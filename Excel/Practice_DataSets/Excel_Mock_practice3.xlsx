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Excel\Practice_DataSets\"/>
    </mc:Choice>
  </mc:AlternateContent>
  <xr:revisionPtr revIDLastSave="0" documentId="13_ncr:1_{39915F85-648D-48AC-8BBD-CECC926DF261}" xr6:coauthVersionLast="47" xr6:coauthVersionMax="47" xr10:uidLastSave="{00000000-0000-0000-0000-000000000000}"/>
  <bookViews>
    <workbookView xWindow="-98" yWindow="-98" windowWidth="21795" windowHeight="13695" firstSheet="2" activeTab="4" xr2:uid="{00000000-000D-0000-FFFF-FFFF00000000}"/>
  </bookViews>
  <sheets>
    <sheet name="Conceptual Questions" sheetId="1" r:id="rId1"/>
    <sheet name="Practical Q1 -Dataset" sheetId="2" r:id="rId2"/>
    <sheet name="Practical Q1 - Formulas" sheetId="3" r:id="rId3"/>
    <sheet name="Practical Q2 - Dataset" sheetId="4" r:id="rId4"/>
    <sheet name="Sheet1" sheetId="6" r:id="rId5"/>
    <sheet name="Practical Q2 - EDA" sheetId="5" r:id="rId6"/>
  </sheets>
  <definedNames>
    <definedName name="Slicer_Payment_Mode">#N/A</definedName>
  </definedNames>
  <calcPr calcId="191029"/>
  <pivotCaches>
    <pivotCache cacheId="7"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6" i="2" l="1"/>
  <c r="P29" i="2"/>
  <c r="P30" i="2"/>
  <c r="P33" i="2"/>
  <c r="T29" i="2" a="1"/>
  <c r="T29" i="2" s="1"/>
  <c r="P31" i="2"/>
  <c r="M98" i="2" a="1"/>
  <c r="M98" i="2" s="1"/>
  <c r="P27" i="2"/>
  <c r="P22" i="2"/>
  <c r="P23" i="2"/>
  <c r="P24" i="2"/>
  <c r="P25" i="2"/>
  <c r="P19" i="2" a="1"/>
  <c r="P19" i="2" s="1"/>
  <c r="P17" i="2"/>
  <c r="P15" i="2"/>
  <c r="P10" i="2"/>
  <c r="P11" i="2"/>
  <c r="P12" i="2"/>
  <c r="P13" i="2"/>
  <c r="P5" i="2"/>
  <c r="P6" i="2"/>
  <c r="P7" i="2"/>
  <c r="P8" i="2"/>
  <c r="P3"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<sst xmlns="http://schemas.openxmlformats.org/spreadsheetml/2006/main" count="3805" uniqueCount="1024">
  <si>
    <t>Q.No</t>
  </si>
  <si>
    <t>Question</t>
  </si>
  <si>
    <t>1</t>
  </si>
  <si>
    <t>How can Excel be used in real-world business scenarios for data analysis and decision-making?</t>
  </si>
  <si>
    <t>2</t>
  </si>
  <si>
    <t>What is the difference between relative, absolute, and mixed cell references in Excel? Explain with examples.</t>
  </si>
  <si>
    <t>OrderID</t>
  </si>
  <si>
    <t>Date</t>
  </si>
  <si>
    <t>Region</t>
  </si>
  <si>
    <t>Category</t>
  </si>
  <si>
    <t>Product</t>
  </si>
  <si>
    <t>Units Sold</t>
  </si>
  <si>
    <t>Unit Price</t>
  </si>
  <si>
    <t>Discount</t>
  </si>
  <si>
    <t>Customer Age</t>
  </si>
  <si>
    <t>Sales Rep</t>
  </si>
  <si>
    <t>8FGMN</t>
  </si>
  <si>
    <t>North</t>
  </si>
  <si>
    <t>C</t>
  </si>
  <si>
    <t>Notebook</t>
  </si>
  <si>
    <t>OPZS</t>
  </si>
  <si>
    <t>7FW9V</t>
  </si>
  <si>
    <t>South</t>
  </si>
  <si>
    <t>A</t>
  </si>
  <si>
    <t>Pen</t>
  </si>
  <si>
    <t>FEDO</t>
  </si>
  <si>
    <t>K7B5Z</t>
  </si>
  <si>
    <t>MA5A</t>
  </si>
  <si>
    <t>VV4E3</t>
  </si>
  <si>
    <t>East</t>
  </si>
  <si>
    <t>Eraser</t>
  </si>
  <si>
    <t>SS7E</t>
  </si>
  <si>
    <t>LY687</t>
  </si>
  <si>
    <t>AMST</t>
  </si>
  <si>
    <t>621GW</t>
  </si>
  <si>
    <t>Pencil</t>
  </si>
  <si>
    <t>U6TK</t>
  </si>
  <si>
    <t>C5A70</t>
  </si>
  <si>
    <t>VEKK</t>
  </si>
  <si>
    <t>HGEWV</t>
  </si>
  <si>
    <t>KA93</t>
  </si>
  <si>
    <t>CIXL1</t>
  </si>
  <si>
    <t>B</t>
  </si>
  <si>
    <t>6UTV</t>
  </si>
  <si>
    <t>KD51N</t>
  </si>
  <si>
    <t>9M0S</t>
  </si>
  <si>
    <t>2G47I</t>
  </si>
  <si>
    <t>CAEK</t>
  </si>
  <si>
    <t>DA0H6</t>
  </si>
  <si>
    <t>9LB4</t>
  </si>
  <si>
    <t>9LRP1</t>
  </si>
  <si>
    <t>BW99</t>
  </si>
  <si>
    <t>L5QLT</t>
  </si>
  <si>
    <t>GTZX</t>
  </si>
  <si>
    <t>78E7O</t>
  </si>
  <si>
    <t>OEBN</t>
  </si>
  <si>
    <t>XUYUZ</t>
  </si>
  <si>
    <t>West</t>
  </si>
  <si>
    <t>LC08</t>
  </si>
  <si>
    <t>M6G56</t>
  </si>
  <si>
    <t>UWVX</t>
  </si>
  <si>
    <t>GWBVF</t>
  </si>
  <si>
    <t>XIQT</t>
  </si>
  <si>
    <t>OW8O9</t>
  </si>
  <si>
    <t>LDLE</t>
  </si>
  <si>
    <t>48XTH</t>
  </si>
  <si>
    <t>VG0R</t>
  </si>
  <si>
    <t>AU4BP</t>
  </si>
  <si>
    <t>74SG</t>
  </si>
  <si>
    <t>KURDS</t>
  </si>
  <si>
    <t>RMQ4</t>
  </si>
  <si>
    <t>8WTDD</t>
  </si>
  <si>
    <t>9YYZ</t>
  </si>
  <si>
    <t>0B6YF</t>
  </si>
  <si>
    <t>GBJB</t>
  </si>
  <si>
    <t>M1JWK</t>
  </si>
  <si>
    <t>C3IV</t>
  </si>
  <si>
    <t>0QFUD</t>
  </si>
  <si>
    <t>6K4J</t>
  </si>
  <si>
    <t>P7LKM</t>
  </si>
  <si>
    <t>32IR</t>
  </si>
  <si>
    <t>DC4QF</t>
  </si>
  <si>
    <t>58PV</t>
  </si>
  <si>
    <t>K9S3O</t>
  </si>
  <si>
    <t>91FS</t>
  </si>
  <si>
    <t>4WYIR</t>
  </si>
  <si>
    <t>4T93</t>
  </si>
  <si>
    <t>3K0P0</t>
  </si>
  <si>
    <t>AW5U</t>
  </si>
  <si>
    <t>B6YP5</t>
  </si>
  <si>
    <t>I0OT</t>
  </si>
  <si>
    <t>M8DYO</t>
  </si>
  <si>
    <t>J2EP</t>
  </si>
  <si>
    <t>ISIJO</t>
  </si>
  <si>
    <t>5185</t>
  </si>
  <si>
    <t>J6LZ3</t>
  </si>
  <si>
    <t>TLJI</t>
  </si>
  <si>
    <t>REWOI</t>
  </si>
  <si>
    <t>K9QY</t>
  </si>
  <si>
    <t>OO56A</t>
  </si>
  <si>
    <t>I4WO</t>
  </si>
  <si>
    <t>VY3F6</t>
  </si>
  <si>
    <t>OA56</t>
  </si>
  <si>
    <t>IPTMZ</t>
  </si>
  <si>
    <t>C4OS</t>
  </si>
  <si>
    <t>67DOL</t>
  </si>
  <si>
    <t>6NNL</t>
  </si>
  <si>
    <t>Z93N3</t>
  </si>
  <si>
    <t>SJYZ</t>
  </si>
  <si>
    <t>TPF8V</t>
  </si>
  <si>
    <t>BZ2R</t>
  </si>
  <si>
    <t>1N1AW</t>
  </si>
  <si>
    <t>S68P</t>
  </si>
  <si>
    <t>I3V12</t>
  </si>
  <si>
    <t>39YA</t>
  </si>
  <si>
    <t>RAUDU</t>
  </si>
  <si>
    <t>OR44</t>
  </si>
  <si>
    <t>OP77C</t>
  </si>
  <si>
    <t>AEVC</t>
  </si>
  <si>
    <t>8TNFE</t>
  </si>
  <si>
    <t>6Q24</t>
  </si>
  <si>
    <t>ZG4OC</t>
  </si>
  <si>
    <t>EN2A</t>
  </si>
  <si>
    <t>A2GZJ</t>
  </si>
  <si>
    <t>1TKH</t>
  </si>
  <si>
    <t>HPAB6</t>
  </si>
  <si>
    <t>FMIL</t>
  </si>
  <si>
    <t>T4DWU</t>
  </si>
  <si>
    <t>DDNN</t>
  </si>
  <si>
    <t>Q0F04</t>
  </si>
  <si>
    <t>R3DR</t>
  </si>
  <si>
    <t>JZA5A</t>
  </si>
  <si>
    <t>ADUH</t>
  </si>
  <si>
    <t>VCSG4</t>
  </si>
  <si>
    <t>0DO6</t>
  </si>
  <si>
    <t>DIOGV</t>
  </si>
  <si>
    <t>04CO</t>
  </si>
  <si>
    <t>ORQWP</t>
  </si>
  <si>
    <t>IDXU</t>
  </si>
  <si>
    <t>64YZE</t>
  </si>
  <si>
    <t>XUZN</t>
  </si>
  <si>
    <t>396VC</t>
  </si>
  <si>
    <t>LW5F</t>
  </si>
  <si>
    <t>CKQI3</t>
  </si>
  <si>
    <t>HR3P</t>
  </si>
  <si>
    <t>AEQ33</t>
  </si>
  <si>
    <t>FVUX</t>
  </si>
  <si>
    <t>6SZI4</t>
  </si>
  <si>
    <t>YYGO</t>
  </si>
  <si>
    <t>1PMAI</t>
  </si>
  <si>
    <t>3ZJD</t>
  </si>
  <si>
    <t>DCLL0</t>
  </si>
  <si>
    <t>E8RM</t>
  </si>
  <si>
    <t>JMK0K</t>
  </si>
  <si>
    <t>8QS0</t>
  </si>
  <si>
    <t>T7VEY</t>
  </si>
  <si>
    <t>SKPV</t>
  </si>
  <si>
    <t>69IUG</t>
  </si>
  <si>
    <t>JN99</t>
  </si>
  <si>
    <t>VIICA</t>
  </si>
  <si>
    <t>RB6M</t>
  </si>
  <si>
    <t>2Y3JE</t>
  </si>
  <si>
    <t>126L</t>
  </si>
  <si>
    <t>L9VER</t>
  </si>
  <si>
    <t>OMSA</t>
  </si>
  <si>
    <t>1KDWL</t>
  </si>
  <si>
    <t>J5GN</t>
  </si>
  <si>
    <t>YTHEP</t>
  </si>
  <si>
    <t>ZNOA</t>
  </si>
  <si>
    <t>5DJOO</t>
  </si>
  <si>
    <t>01JS</t>
  </si>
  <si>
    <t>RSMKK</t>
  </si>
  <si>
    <t>3NOX</t>
  </si>
  <si>
    <t>FJSOU</t>
  </si>
  <si>
    <t>N4GC</t>
  </si>
  <si>
    <t>66O1D</t>
  </si>
  <si>
    <t>T7RG</t>
  </si>
  <si>
    <t>YJYTQ</t>
  </si>
  <si>
    <t>L6FX</t>
  </si>
  <si>
    <t>D710J</t>
  </si>
  <si>
    <t>UUPD</t>
  </si>
  <si>
    <t>D9ELG</t>
  </si>
  <si>
    <t>PWSY</t>
  </si>
  <si>
    <t>17DOU</t>
  </si>
  <si>
    <t>KZ96</t>
  </si>
  <si>
    <t>707W1</t>
  </si>
  <si>
    <t>VQND</t>
  </si>
  <si>
    <t>A4QHO</t>
  </si>
  <si>
    <t>EA0J</t>
  </si>
  <si>
    <t>JFMGV</t>
  </si>
  <si>
    <t>0ZX1</t>
  </si>
  <si>
    <t>X7V9E</t>
  </si>
  <si>
    <t>MLF9</t>
  </si>
  <si>
    <t>4YANX</t>
  </si>
  <si>
    <t>F4E7</t>
  </si>
  <si>
    <t>US7A1</t>
  </si>
  <si>
    <t>ZNF8</t>
  </si>
  <si>
    <t>S6KGN</t>
  </si>
  <si>
    <t>B7XV</t>
  </si>
  <si>
    <t>ZD47J</t>
  </si>
  <si>
    <t>RE0C</t>
  </si>
  <si>
    <t>7TTOD</t>
  </si>
  <si>
    <t>WJ04</t>
  </si>
  <si>
    <t>GF7U3</t>
  </si>
  <si>
    <t>WM6U</t>
  </si>
  <si>
    <t>M6303</t>
  </si>
  <si>
    <t>5KL0</t>
  </si>
  <si>
    <t>610HY</t>
  </si>
  <si>
    <t>MTIE</t>
  </si>
  <si>
    <t>RT510</t>
  </si>
  <si>
    <t>6CT1</t>
  </si>
  <si>
    <t>X1G0L</t>
  </si>
  <si>
    <t>Z6AB</t>
  </si>
  <si>
    <t>6N12B</t>
  </si>
  <si>
    <t>D2KY</t>
  </si>
  <si>
    <t>29OZ5</t>
  </si>
  <si>
    <t>NCAI</t>
  </si>
  <si>
    <t>GS1AF</t>
  </si>
  <si>
    <t>7PL5</t>
  </si>
  <si>
    <t>94OUG</t>
  </si>
  <si>
    <t>TTMR</t>
  </si>
  <si>
    <t>38HUF</t>
  </si>
  <si>
    <t>HJ81</t>
  </si>
  <si>
    <t>3CFIX</t>
  </si>
  <si>
    <t>MDZC</t>
  </si>
  <si>
    <t>HZ1QK</t>
  </si>
  <si>
    <t>J54O</t>
  </si>
  <si>
    <t>P6VWQ</t>
  </si>
  <si>
    <t>PESU</t>
  </si>
  <si>
    <t>4CUYG</t>
  </si>
  <si>
    <t>AUZ1</t>
  </si>
  <si>
    <t>KT753</t>
  </si>
  <si>
    <t>7ORB</t>
  </si>
  <si>
    <t>6FQRJ</t>
  </si>
  <si>
    <t>OV9G</t>
  </si>
  <si>
    <t>95SGE</t>
  </si>
  <si>
    <t>PNYA</t>
  </si>
  <si>
    <t>3ML7D</t>
  </si>
  <si>
    <t>7FHA</t>
  </si>
  <si>
    <t>VEGOK</t>
  </si>
  <si>
    <t>UNGU</t>
  </si>
  <si>
    <t>SK5HV</t>
  </si>
  <si>
    <t>5FHR</t>
  </si>
  <si>
    <t>3THZJ</t>
  </si>
  <si>
    <t>IXFC</t>
  </si>
  <si>
    <t>QI8DD</t>
  </si>
  <si>
    <t>R6DN</t>
  </si>
  <si>
    <t>ISXUR</t>
  </si>
  <si>
    <t>2CJU</t>
  </si>
  <si>
    <t>LCI3Z</t>
  </si>
  <si>
    <t>0DHZ</t>
  </si>
  <si>
    <t>3LUZC</t>
  </si>
  <si>
    <t>WLO7</t>
  </si>
  <si>
    <t>VNLEH</t>
  </si>
  <si>
    <t>ZJ7O</t>
  </si>
  <si>
    <t>OAG7D</t>
  </si>
  <si>
    <t>BRMK</t>
  </si>
  <si>
    <t>0MYUV</t>
  </si>
  <si>
    <t>F28B</t>
  </si>
  <si>
    <t>JNDJ0</t>
  </si>
  <si>
    <t>QHD2</t>
  </si>
  <si>
    <t>RP1QQ</t>
  </si>
  <si>
    <t>YMWD</t>
  </si>
  <si>
    <t>QWHMS</t>
  </si>
  <si>
    <t>2UH6</t>
  </si>
  <si>
    <t>JN9CL</t>
  </si>
  <si>
    <t>7SQ6</t>
  </si>
  <si>
    <t>AE73B</t>
  </si>
  <si>
    <t>XUK9</t>
  </si>
  <si>
    <t>YSQ06</t>
  </si>
  <si>
    <t>78CW</t>
  </si>
  <si>
    <t>MZE45</t>
  </si>
  <si>
    <t>DZ67</t>
  </si>
  <si>
    <t>SCL6B</t>
  </si>
  <si>
    <t>ACQ7</t>
  </si>
  <si>
    <t>98ZJE</t>
  </si>
  <si>
    <t>4EUJ</t>
  </si>
  <si>
    <t>JMZ65</t>
  </si>
  <si>
    <t>U4TS</t>
  </si>
  <si>
    <t>8UVG8</t>
  </si>
  <si>
    <t>V7ZJ</t>
  </si>
  <si>
    <t>PNW5J</t>
  </si>
  <si>
    <t>0990</t>
  </si>
  <si>
    <t>4I6ZP</t>
  </si>
  <si>
    <t>414S</t>
  </si>
  <si>
    <t>5ZRV7</t>
  </si>
  <si>
    <t>JUGS</t>
  </si>
  <si>
    <t>ZL8RE</t>
  </si>
  <si>
    <t>SD53</t>
  </si>
  <si>
    <t>GTD2R</t>
  </si>
  <si>
    <t>D6EV</t>
  </si>
  <si>
    <t>TO860</t>
  </si>
  <si>
    <t>A4HC</t>
  </si>
  <si>
    <t>G1THL</t>
  </si>
  <si>
    <t>UM74</t>
  </si>
  <si>
    <t>TCN0W</t>
  </si>
  <si>
    <t>T3QU</t>
  </si>
  <si>
    <t>5ONGC</t>
  </si>
  <si>
    <t>T0E0</t>
  </si>
  <si>
    <t>5YJN7</t>
  </si>
  <si>
    <t>54LH</t>
  </si>
  <si>
    <t>ZMIO2</t>
  </si>
  <si>
    <t>AH0R</t>
  </si>
  <si>
    <t>VHJS8</t>
  </si>
  <si>
    <t>BBMS</t>
  </si>
  <si>
    <t>16479</t>
  </si>
  <si>
    <t>573O</t>
  </si>
  <si>
    <t>GW1AD</t>
  </si>
  <si>
    <t>5LTF</t>
  </si>
  <si>
    <t>V728M</t>
  </si>
  <si>
    <t>6O75</t>
  </si>
  <si>
    <t>QS2HB</t>
  </si>
  <si>
    <t>EYOP</t>
  </si>
  <si>
    <t>4JG1J</t>
  </si>
  <si>
    <t>KCER</t>
  </si>
  <si>
    <t>CWHNN</t>
  </si>
  <si>
    <t>TQ7I</t>
  </si>
  <si>
    <t>QS7GB</t>
  </si>
  <si>
    <t>02LT</t>
  </si>
  <si>
    <t>HLWTW</t>
  </si>
  <si>
    <t>X0VY</t>
  </si>
  <si>
    <t>4CMN8</t>
  </si>
  <si>
    <t>PKT3</t>
  </si>
  <si>
    <t>LN1EX</t>
  </si>
  <si>
    <t>RRRO</t>
  </si>
  <si>
    <t>IJ488</t>
  </si>
  <si>
    <t>U35A</t>
  </si>
  <si>
    <t>8AQ6G</t>
  </si>
  <si>
    <t>8L7X</t>
  </si>
  <si>
    <t>IGB6Z</t>
  </si>
  <si>
    <t>H2U9</t>
  </si>
  <si>
    <t>RF3BR</t>
  </si>
  <si>
    <t>V8O2</t>
  </si>
  <si>
    <t>H6ADJ</t>
  </si>
  <si>
    <t>U2UJ</t>
  </si>
  <si>
    <t>8Z7VF</t>
  </si>
  <si>
    <t>20L4</t>
  </si>
  <si>
    <t>87AR8</t>
  </si>
  <si>
    <t>VGQF</t>
  </si>
  <si>
    <t>RLLFS</t>
  </si>
  <si>
    <t>MD4Y</t>
  </si>
  <si>
    <t>S7VDU</t>
  </si>
  <si>
    <t>VXVO</t>
  </si>
  <si>
    <t>WS1T4</t>
  </si>
  <si>
    <t>V8YU</t>
  </si>
  <si>
    <t>QC5SO</t>
  </si>
  <si>
    <t>EA6O</t>
  </si>
  <si>
    <t>TO4GG</t>
  </si>
  <si>
    <t>VR09</t>
  </si>
  <si>
    <t>02KAW</t>
  </si>
  <si>
    <t>5ADW</t>
  </si>
  <si>
    <t>1HB4C</t>
  </si>
  <si>
    <t>X4CD</t>
  </si>
  <si>
    <t>9AR87</t>
  </si>
  <si>
    <t>YAU0</t>
  </si>
  <si>
    <t>YQL7E</t>
  </si>
  <si>
    <t>15VV</t>
  </si>
  <si>
    <t>JCDUJ</t>
  </si>
  <si>
    <t>GZOC</t>
  </si>
  <si>
    <t>ODRNI</t>
  </si>
  <si>
    <t>6QD1</t>
  </si>
  <si>
    <t>Z9SEX</t>
  </si>
  <si>
    <t>V9C5</t>
  </si>
  <si>
    <t>ZC806</t>
  </si>
  <si>
    <t>8QGL</t>
  </si>
  <si>
    <t>SVQX6</t>
  </si>
  <si>
    <t>CUFJ</t>
  </si>
  <si>
    <t>7IV30</t>
  </si>
  <si>
    <t>V5KL</t>
  </si>
  <si>
    <t>3TFBQ</t>
  </si>
  <si>
    <t>4U0Q</t>
  </si>
  <si>
    <t>YTVNO</t>
  </si>
  <si>
    <t>36R1</t>
  </si>
  <si>
    <t>ZLS8Z</t>
  </si>
  <si>
    <t>3QG9</t>
  </si>
  <si>
    <t>5I1TF</t>
  </si>
  <si>
    <t>2JSL</t>
  </si>
  <si>
    <t>HZSWG</t>
  </si>
  <si>
    <t>P4OZ</t>
  </si>
  <si>
    <t>FUME3</t>
  </si>
  <si>
    <t>18DL</t>
  </si>
  <si>
    <t>8OKIB</t>
  </si>
  <si>
    <t>1PES</t>
  </si>
  <si>
    <t>RLQ2I</t>
  </si>
  <si>
    <t>33YT</t>
  </si>
  <si>
    <t>9L0GR</t>
  </si>
  <si>
    <t>5RK1</t>
  </si>
  <si>
    <t>VUSYV</t>
  </si>
  <si>
    <t>HWMG</t>
  </si>
  <si>
    <t>2N9S2</t>
  </si>
  <si>
    <t>RV5F</t>
  </si>
  <si>
    <t>QT8TF</t>
  </si>
  <si>
    <t>U95Z</t>
  </si>
  <si>
    <t>N5S6G</t>
  </si>
  <si>
    <t>SIE2</t>
  </si>
  <si>
    <t>M60YX</t>
  </si>
  <si>
    <t>JS7O</t>
  </si>
  <si>
    <t>4DM03</t>
  </si>
  <si>
    <t>5EC3</t>
  </si>
  <si>
    <t>XGAQ7</t>
  </si>
  <si>
    <t>9BAE</t>
  </si>
  <si>
    <t>FSY1V</t>
  </si>
  <si>
    <t>LE6P</t>
  </si>
  <si>
    <t>MV38V</t>
  </si>
  <si>
    <t>1Z14</t>
  </si>
  <si>
    <t>CRDSX</t>
  </si>
  <si>
    <t>UC4W</t>
  </si>
  <si>
    <t>SM3IC</t>
  </si>
  <si>
    <t>BKJR</t>
  </si>
  <si>
    <t>VVQSI</t>
  </si>
  <si>
    <t>VBXQ</t>
  </si>
  <si>
    <t>6X71B</t>
  </si>
  <si>
    <t>G0MH</t>
  </si>
  <si>
    <t>RFNMP</t>
  </si>
  <si>
    <t>SJKL</t>
  </si>
  <si>
    <t>3GL5X</t>
  </si>
  <si>
    <t>XC8E</t>
  </si>
  <si>
    <t>4FW3C</t>
  </si>
  <si>
    <t>FX3P</t>
  </si>
  <si>
    <t>TYH7G</t>
  </si>
  <si>
    <t>3CUF</t>
  </si>
  <si>
    <t>HLFMR</t>
  </si>
  <si>
    <t>XE64</t>
  </si>
  <si>
    <t>AA62M</t>
  </si>
  <si>
    <t>LRL4</t>
  </si>
  <si>
    <t>LOEQH</t>
  </si>
  <si>
    <t>2DCP</t>
  </si>
  <si>
    <t>UVJHL</t>
  </si>
  <si>
    <t>RSDD</t>
  </si>
  <si>
    <t>6RCPV</t>
  </si>
  <si>
    <t>5IER</t>
  </si>
  <si>
    <t>OBV7H</t>
  </si>
  <si>
    <t>ZAJ4</t>
  </si>
  <si>
    <t>BEOVP</t>
  </si>
  <si>
    <t>QASV</t>
  </si>
  <si>
    <t>HG5WC</t>
  </si>
  <si>
    <t>4C9G</t>
  </si>
  <si>
    <t>DOOW0</t>
  </si>
  <si>
    <t>X4CE</t>
  </si>
  <si>
    <t>LV3GL</t>
  </si>
  <si>
    <t>AQ8G</t>
  </si>
  <si>
    <t>947A4</t>
  </si>
  <si>
    <t>YPTJ</t>
  </si>
  <si>
    <t>LGKAG</t>
  </si>
  <si>
    <t>N91J</t>
  </si>
  <si>
    <t>M9WHE</t>
  </si>
  <si>
    <t>MWUK</t>
  </si>
  <si>
    <t>0KRCF</t>
  </si>
  <si>
    <t>XYN8</t>
  </si>
  <si>
    <t>BP2IJ</t>
  </si>
  <si>
    <t>XJKE</t>
  </si>
  <si>
    <t>NZKSJ</t>
  </si>
  <si>
    <t>GJG5</t>
  </si>
  <si>
    <t>MIGHT</t>
  </si>
  <si>
    <t>JNZY</t>
  </si>
  <si>
    <t>X1F3R</t>
  </si>
  <si>
    <t>7GOD</t>
  </si>
  <si>
    <t>9NB6S</t>
  </si>
  <si>
    <t>GKFF</t>
  </si>
  <si>
    <t>3OVCM</t>
  </si>
  <si>
    <t>GHHX</t>
  </si>
  <si>
    <t>N693V</t>
  </si>
  <si>
    <t>7JTP</t>
  </si>
  <si>
    <t>WT70I</t>
  </si>
  <si>
    <t>C2ZC</t>
  </si>
  <si>
    <t>9F2T5</t>
  </si>
  <si>
    <t>9M28</t>
  </si>
  <si>
    <t>RC6NI</t>
  </si>
  <si>
    <t>BD5M</t>
  </si>
  <si>
    <t>3S87F</t>
  </si>
  <si>
    <t>F6NN</t>
  </si>
  <si>
    <t>9R1ED</t>
  </si>
  <si>
    <t>C9Z0</t>
  </si>
  <si>
    <t>VQ5XU</t>
  </si>
  <si>
    <t>3513</t>
  </si>
  <si>
    <t>CBVIP</t>
  </si>
  <si>
    <t>JZ04</t>
  </si>
  <si>
    <t>F1NT8</t>
  </si>
  <si>
    <t>AIDP</t>
  </si>
  <si>
    <t>YEZHV</t>
  </si>
  <si>
    <t>DBTT</t>
  </si>
  <si>
    <t>LMTKA</t>
  </si>
  <si>
    <t>5ACE</t>
  </si>
  <si>
    <t>RVOJI</t>
  </si>
  <si>
    <t>IEUP</t>
  </si>
  <si>
    <t>WRU6R</t>
  </si>
  <si>
    <t>0SF2</t>
  </si>
  <si>
    <t>QXZ3Q</t>
  </si>
  <si>
    <t>L20G</t>
  </si>
  <si>
    <t>WQGZ7</t>
  </si>
  <si>
    <t>PTOI</t>
  </si>
  <si>
    <t>SP5LW</t>
  </si>
  <si>
    <t>SH5M</t>
  </si>
  <si>
    <t>9CIHI</t>
  </si>
  <si>
    <t>MEQ4</t>
  </si>
  <si>
    <t>OICI9</t>
  </si>
  <si>
    <t>RD8N</t>
  </si>
  <si>
    <t>GO7BV</t>
  </si>
  <si>
    <t>OK4T</t>
  </si>
  <si>
    <t>TS3AG</t>
  </si>
  <si>
    <t>N98U</t>
  </si>
  <si>
    <t>9M69D</t>
  </si>
  <si>
    <t>W5QH</t>
  </si>
  <si>
    <t>W7ZPC</t>
  </si>
  <si>
    <t>FVYQ</t>
  </si>
  <si>
    <t>9YI0O</t>
  </si>
  <si>
    <t>L2NO</t>
  </si>
  <si>
    <t>KS7YV</t>
  </si>
  <si>
    <t>ZT20</t>
  </si>
  <si>
    <t>W03Q5</t>
  </si>
  <si>
    <t>KGO7</t>
  </si>
  <si>
    <t>XIS9T</t>
  </si>
  <si>
    <t>GM93</t>
  </si>
  <si>
    <t>VYV9Q</t>
  </si>
  <si>
    <t>0X23</t>
  </si>
  <si>
    <t>TLGS4</t>
  </si>
  <si>
    <t>DFJH</t>
  </si>
  <si>
    <t>WQ40I</t>
  </si>
  <si>
    <t>DS3G</t>
  </si>
  <si>
    <t>54IZR</t>
  </si>
  <si>
    <t>9JEB</t>
  </si>
  <si>
    <t>N3GQV</t>
  </si>
  <si>
    <t>3U7J</t>
  </si>
  <si>
    <t>B2DF5</t>
  </si>
  <si>
    <t>6C8U</t>
  </si>
  <si>
    <t>L9UAJ</t>
  </si>
  <si>
    <t>UDS9</t>
  </si>
  <si>
    <t>2CRTA</t>
  </si>
  <si>
    <t>1C1G</t>
  </si>
  <si>
    <t>4E2HF</t>
  </si>
  <si>
    <t>D0WD</t>
  </si>
  <si>
    <t>5SRL3</t>
  </si>
  <si>
    <t>Z9UX</t>
  </si>
  <si>
    <t>XP2TO</t>
  </si>
  <si>
    <t>I086</t>
  </si>
  <si>
    <t>Z3J1S</t>
  </si>
  <si>
    <t>0N2U</t>
  </si>
  <si>
    <t>QQH8I</t>
  </si>
  <si>
    <t>YCEC</t>
  </si>
  <si>
    <t>G2QXD</t>
  </si>
  <si>
    <t>OXP7</t>
  </si>
  <si>
    <t>CFQ9T</t>
  </si>
  <si>
    <t>H3NR</t>
  </si>
  <si>
    <t>V6YRZ</t>
  </si>
  <si>
    <t>QFW1</t>
  </si>
  <si>
    <t>PR3SY</t>
  </si>
  <si>
    <t>5G08</t>
  </si>
  <si>
    <t>VJADU</t>
  </si>
  <si>
    <t>QH7R</t>
  </si>
  <si>
    <t>QREWJ</t>
  </si>
  <si>
    <t>70BR</t>
  </si>
  <si>
    <t>U9L1E</t>
  </si>
  <si>
    <t>R892</t>
  </si>
  <si>
    <t>F8NS8</t>
  </si>
  <si>
    <t>FHX1</t>
  </si>
  <si>
    <t>KTAAH</t>
  </si>
  <si>
    <t>Z0EN</t>
  </si>
  <si>
    <t>RLUJ7</t>
  </si>
  <si>
    <t>LD2K</t>
  </si>
  <si>
    <t>DDCE6</t>
  </si>
  <si>
    <t>F4DG</t>
  </si>
  <si>
    <t>4TKYN</t>
  </si>
  <si>
    <t>A8Q4</t>
  </si>
  <si>
    <t>DHEZD</t>
  </si>
  <si>
    <t>7CXO</t>
  </si>
  <si>
    <t>2NULT</t>
  </si>
  <si>
    <t>W8AZ</t>
  </si>
  <si>
    <t>1TVQH</t>
  </si>
  <si>
    <t>N38K</t>
  </si>
  <si>
    <t>XLUZC</t>
  </si>
  <si>
    <t>XKSQ</t>
  </si>
  <si>
    <t>KWHJ9</t>
  </si>
  <si>
    <t>FP2U</t>
  </si>
  <si>
    <t>L8JR5</t>
  </si>
  <si>
    <t>OX1O</t>
  </si>
  <si>
    <t>M246H</t>
  </si>
  <si>
    <t>PG2U</t>
  </si>
  <si>
    <t>KU226</t>
  </si>
  <si>
    <t>MFTS</t>
  </si>
  <si>
    <t>L3TXA</t>
  </si>
  <si>
    <t>0WBZ</t>
  </si>
  <si>
    <t>UHE10</t>
  </si>
  <si>
    <t>1LUN</t>
  </si>
  <si>
    <t>34GL9</t>
  </si>
  <si>
    <t>Y82U</t>
  </si>
  <si>
    <t>51P85</t>
  </si>
  <si>
    <t>CDYD</t>
  </si>
  <si>
    <t>CEVHJ</t>
  </si>
  <si>
    <t>9UEV</t>
  </si>
  <si>
    <t>A7SXK</t>
  </si>
  <si>
    <t>WPGJ</t>
  </si>
  <si>
    <t>XX46F</t>
  </si>
  <si>
    <t>ABQ1</t>
  </si>
  <si>
    <t>7ILUI</t>
  </si>
  <si>
    <t>6CI3</t>
  </si>
  <si>
    <t>RP55F</t>
  </si>
  <si>
    <t>ACR6</t>
  </si>
  <si>
    <t>ERCJ3</t>
  </si>
  <si>
    <t>QAV5</t>
  </si>
  <si>
    <t>XDPY6</t>
  </si>
  <si>
    <t>6IC0</t>
  </si>
  <si>
    <t>5HN8F</t>
  </si>
  <si>
    <t>JXA5</t>
  </si>
  <si>
    <t>5SOYS</t>
  </si>
  <si>
    <t>77IL</t>
  </si>
  <si>
    <t>ZEBRH</t>
  </si>
  <si>
    <t>NTZQ</t>
  </si>
  <si>
    <t>W8392</t>
  </si>
  <si>
    <t>Z6TG</t>
  </si>
  <si>
    <t>5PJ2S</t>
  </si>
  <si>
    <t>34BA</t>
  </si>
  <si>
    <t>D4M9H</t>
  </si>
  <si>
    <t>EM7V</t>
  </si>
  <si>
    <t>OQQN0</t>
  </si>
  <si>
    <t>37O9</t>
  </si>
  <si>
    <t>6NIX6</t>
  </si>
  <si>
    <t>Z7J3</t>
  </si>
  <si>
    <t>BC91C</t>
  </si>
  <si>
    <t>CL6K</t>
  </si>
  <si>
    <t>WN4BH</t>
  </si>
  <si>
    <t>OV9W</t>
  </si>
  <si>
    <t>AZUTE</t>
  </si>
  <si>
    <t>EOXX</t>
  </si>
  <si>
    <t>SNYHN</t>
  </si>
  <si>
    <t>ZBGI</t>
  </si>
  <si>
    <t>BT4E7</t>
  </si>
  <si>
    <t>MYUP</t>
  </si>
  <si>
    <t>Calculate the total revenue for each order using Units Sold * Unit Price.</t>
  </si>
  <si>
    <t>Use SUMIFS to calculate total revenue for each Region.</t>
  </si>
  <si>
    <t>3</t>
  </si>
  <si>
    <t>Use COUNTIF to count how many times each product was sold.</t>
  </si>
  <si>
    <t>4</t>
  </si>
  <si>
    <t>Use IF to label whether Discount is above 10% as 'High' or 'Low'.</t>
  </si>
  <si>
    <t>5</t>
  </si>
  <si>
    <t>Use VLOOKUP to fetch Unit Price for a given Product.</t>
  </si>
  <si>
    <t>6</t>
  </si>
  <si>
    <t>Use INDEX-MATCH to retrieve Units Sold for a specific Product and Region.</t>
  </si>
  <si>
    <t>7</t>
  </si>
  <si>
    <t>Use RANK to find top selling Products based on Units Sold.</t>
  </si>
  <si>
    <t>8</t>
  </si>
  <si>
    <t>Use AVERAGEIFS to find average Unit Price for each Category in 'North'.</t>
  </si>
  <si>
    <t>9</t>
  </si>
  <si>
    <t>Use TEXT function to convert Date into 'MMM-YYYY' format.</t>
  </si>
  <si>
    <t>10</t>
  </si>
  <si>
    <t>Use CONCAT or TEXTJOIN to create a unique ID by combining Region and OrderID.</t>
  </si>
  <si>
    <t>SaleID</t>
  </si>
  <si>
    <t>Store</t>
  </si>
  <si>
    <t>Department</t>
  </si>
  <si>
    <t>Sale Amount</t>
  </si>
  <si>
    <t>Customer Type</t>
  </si>
  <si>
    <t>Payment Mode</t>
  </si>
  <si>
    <t>City</t>
  </si>
  <si>
    <t>FEV62</t>
  </si>
  <si>
    <t>Store2</t>
  </si>
  <si>
    <t>Electronics</t>
  </si>
  <si>
    <t>New</t>
  </si>
  <si>
    <t>Net Banking</t>
  </si>
  <si>
    <t>Bangalore</t>
  </si>
  <si>
    <t>HSTS8</t>
  </si>
  <si>
    <t>Cash</t>
  </si>
  <si>
    <t>Delhi</t>
  </si>
  <si>
    <t>CQJZ6</t>
  </si>
  <si>
    <t>Store3</t>
  </si>
  <si>
    <t>Toys</t>
  </si>
  <si>
    <t>6Q3FL</t>
  </si>
  <si>
    <t>Clothing</t>
  </si>
  <si>
    <t>Returning</t>
  </si>
  <si>
    <t>UPI</t>
  </si>
  <si>
    <t>V6XTY</t>
  </si>
  <si>
    <t>Mumbai</t>
  </si>
  <si>
    <t>YGWR1</t>
  </si>
  <si>
    <t>Store1</t>
  </si>
  <si>
    <t>Groceries</t>
  </si>
  <si>
    <t>59FFD</t>
  </si>
  <si>
    <t>Chennai</t>
  </si>
  <si>
    <t>MD328</t>
  </si>
  <si>
    <t>9IVIC</t>
  </si>
  <si>
    <t>UQ9T0</t>
  </si>
  <si>
    <t>6RE77</t>
  </si>
  <si>
    <t>V0N9K</t>
  </si>
  <si>
    <t>6V77E</t>
  </si>
  <si>
    <t>Credit Card</t>
  </si>
  <si>
    <t>8AHBP</t>
  </si>
  <si>
    <t>4Z3NZ</t>
  </si>
  <si>
    <t>D4HE4</t>
  </si>
  <si>
    <t>29PNZ</t>
  </si>
  <si>
    <t>5K9AS</t>
  </si>
  <si>
    <t>38RZ2</t>
  </si>
  <si>
    <t>OEJVX</t>
  </si>
  <si>
    <t>59A5Z</t>
  </si>
  <si>
    <t>S5V0G</t>
  </si>
  <si>
    <t>1U0L0</t>
  </si>
  <si>
    <t>XZBGM</t>
  </si>
  <si>
    <t>HVXG8</t>
  </si>
  <si>
    <t>MQXPI</t>
  </si>
  <si>
    <t>UFLAQ</t>
  </si>
  <si>
    <t>C1C58</t>
  </si>
  <si>
    <t>5PWW6</t>
  </si>
  <si>
    <t>OEWDH</t>
  </si>
  <si>
    <t>T2PVH</t>
  </si>
  <si>
    <t>UERR7</t>
  </si>
  <si>
    <t>4ZPVV</t>
  </si>
  <si>
    <t>U826T</t>
  </si>
  <si>
    <t>BZVB9</t>
  </si>
  <si>
    <t>OQ260</t>
  </si>
  <si>
    <t>ULEPA</t>
  </si>
  <si>
    <t>QPLHF</t>
  </si>
  <si>
    <t>G5YCB</t>
  </si>
  <si>
    <t>W3XDR</t>
  </si>
  <si>
    <t>5APK2</t>
  </si>
  <si>
    <t>IW3SX</t>
  </si>
  <si>
    <t>MD5KA</t>
  </si>
  <si>
    <t>Z6ZDX</t>
  </si>
  <si>
    <t>FH0F7</t>
  </si>
  <si>
    <t>SHIH4</t>
  </si>
  <si>
    <t>NNMN9</t>
  </si>
  <si>
    <t>5JBD4</t>
  </si>
  <si>
    <t>RJQ66</t>
  </si>
  <si>
    <t>05FJU</t>
  </si>
  <si>
    <t>ANHZ9</t>
  </si>
  <si>
    <t>8TRKM</t>
  </si>
  <si>
    <t>2SBE9</t>
  </si>
  <si>
    <t>PH4ZC</t>
  </si>
  <si>
    <t>VA7U5</t>
  </si>
  <si>
    <t>8AX5T</t>
  </si>
  <si>
    <t>N36VO</t>
  </si>
  <si>
    <t>T1Z2Y</t>
  </si>
  <si>
    <t>WSS0T</t>
  </si>
  <si>
    <t>BF6AI</t>
  </si>
  <si>
    <t>PXOQN</t>
  </si>
  <si>
    <t>IGMTI</t>
  </si>
  <si>
    <t>24NKF</t>
  </si>
  <si>
    <t>8DCH0</t>
  </si>
  <si>
    <t>7OL3Q</t>
  </si>
  <si>
    <t>R0AFW</t>
  </si>
  <si>
    <t>429HU</t>
  </si>
  <si>
    <t>4NLVT</t>
  </si>
  <si>
    <t>HQOHQ</t>
  </si>
  <si>
    <t>G8JN5</t>
  </si>
  <si>
    <t>6G4IA</t>
  </si>
  <si>
    <t>Y41UZ</t>
  </si>
  <si>
    <t>XW4DX</t>
  </si>
  <si>
    <t>O3WUS</t>
  </si>
  <si>
    <t>G9L3N</t>
  </si>
  <si>
    <t>DP0M9</t>
  </si>
  <si>
    <t>132RF</t>
  </si>
  <si>
    <t>QZTEP</t>
  </si>
  <si>
    <t>GCKRQ</t>
  </si>
  <si>
    <t>2OC9K</t>
  </si>
  <si>
    <t>6JAFN</t>
  </si>
  <si>
    <t>KQLNV</t>
  </si>
  <si>
    <t>7CA6X</t>
  </si>
  <si>
    <t>2KBT3</t>
  </si>
  <si>
    <t>XVMTI</t>
  </si>
  <si>
    <t>B9F5R</t>
  </si>
  <si>
    <t>UCGZK</t>
  </si>
  <si>
    <t>8038G</t>
  </si>
  <si>
    <t>MNUS0</t>
  </si>
  <si>
    <t>PQUZV</t>
  </si>
  <si>
    <t>U0ED8</t>
  </si>
  <si>
    <t>PHA13</t>
  </si>
  <si>
    <t>Y4RR8</t>
  </si>
  <si>
    <t>WRC3I</t>
  </si>
  <si>
    <t>VRR6R</t>
  </si>
  <si>
    <t>LD1UG</t>
  </si>
  <si>
    <t>3M9IB</t>
  </si>
  <si>
    <t>PF2BY</t>
  </si>
  <si>
    <t>NENMV</t>
  </si>
  <si>
    <t>QGISB</t>
  </si>
  <si>
    <t>TNCZF</t>
  </si>
  <si>
    <t>889VL</t>
  </si>
  <si>
    <t>DO6P4</t>
  </si>
  <si>
    <t>VSFCY</t>
  </si>
  <si>
    <t>OCO0T</t>
  </si>
  <si>
    <t>ENL1H</t>
  </si>
  <si>
    <t>HBJOO</t>
  </si>
  <si>
    <t>VLUIX</t>
  </si>
  <si>
    <t>MVCZE</t>
  </si>
  <si>
    <t>LH0TK</t>
  </si>
  <si>
    <t>SJSVU</t>
  </si>
  <si>
    <t>HT1K4</t>
  </si>
  <si>
    <t>RD4ZE</t>
  </si>
  <si>
    <t>PO6WR</t>
  </si>
  <si>
    <t>T8JB1</t>
  </si>
  <si>
    <t>RJ8S7</t>
  </si>
  <si>
    <t>NIAUI</t>
  </si>
  <si>
    <t>8XVDH</t>
  </si>
  <si>
    <t>WUCFO</t>
  </si>
  <si>
    <t>AXTW4</t>
  </si>
  <si>
    <t>Q6U3W</t>
  </si>
  <si>
    <t>K9G5J</t>
  </si>
  <si>
    <t>JTWLN</t>
  </si>
  <si>
    <t>X39FJ</t>
  </si>
  <si>
    <t>AONJN</t>
  </si>
  <si>
    <t>7USPY</t>
  </si>
  <si>
    <t>TMU2Z</t>
  </si>
  <si>
    <t>C3DM5</t>
  </si>
  <si>
    <t>TQD8D</t>
  </si>
  <si>
    <t>7Z9LJ</t>
  </si>
  <si>
    <t>HT7XA</t>
  </si>
  <si>
    <t>BLJAF</t>
  </si>
  <si>
    <t>RB6Y4</t>
  </si>
  <si>
    <t>MYDVL</t>
  </si>
  <si>
    <t>1O8C9</t>
  </si>
  <si>
    <t>KARQY</t>
  </si>
  <si>
    <t>R9Z5B</t>
  </si>
  <si>
    <t>OOABI</t>
  </si>
  <si>
    <t>5UQ6J</t>
  </si>
  <si>
    <t>UA2W3</t>
  </si>
  <si>
    <t>125CK</t>
  </si>
  <si>
    <t>SUYYM</t>
  </si>
  <si>
    <t>PSA18</t>
  </si>
  <si>
    <t>1HW3R</t>
  </si>
  <si>
    <t>VNZIM</t>
  </si>
  <si>
    <t>IDEKG</t>
  </si>
  <si>
    <t>T6TMK</t>
  </si>
  <si>
    <t>NUS2W</t>
  </si>
  <si>
    <t>Q60QG</t>
  </si>
  <si>
    <t>2YOLZ</t>
  </si>
  <si>
    <t>4I4E3</t>
  </si>
  <si>
    <t>TJSLF</t>
  </si>
  <si>
    <t>4PM9S</t>
  </si>
  <si>
    <t>L4X6Q</t>
  </si>
  <si>
    <t>HIPQ5</t>
  </si>
  <si>
    <t>TT556</t>
  </si>
  <si>
    <t>SNPRQ</t>
  </si>
  <si>
    <t>4WJU1</t>
  </si>
  <si>
    <t>R3CDZ</t>
  </si>
  <si>
    <t>DX7BA</t>
  </si>
  <si>
    <t>4UL5N</t>
  </si>
  <si>
    <t>DGTPV</t>
  </si>
  <si>
    <t>37JMT</t>
  </si>
  <si>
    <t>MQ9Z9</t>
  </si>
  <si>
    <t>HSAPA</t>
  </si>
  <si>
    <t>5GGOU</t>
  </si>
  <si>
    <t>3DBL6</t>
  </si>
  <si>
    <t>OS8ML</t>
  </si>
  <si>
    <t>WJGCO</t>
  </si>
  <si>
    <t>YZ4OA</t>
  </si>
  <si>
    <t>2B03K</t>
  </si>
  <si>
    <t>PGIB6</t>
  </si>
  <si>
    <t>FSJ24</t>
  </si>
  <si>
    <t>B78FH</t>
  </si>
  <si>
    <t>T2LQV</t>
  </si>
  <si>
    <t>0N40Z</t>
  </si>
  <si>
    <t>TDRIQ</t>
  </si>
  <si>
    <t>CM4OY</t>
  </si>
  <si>
    <t>O2VX5</t>
  </si>
  <si>
    <t>K6A18</t>
  </si>
  <si>
    <t>LIX4R</t>
  </si>
  <si>
    <t>FZ5GD</t>
  </si>
  <si>
    <t>RJ67X</t>
  </si>
  <si>
    <t>ZJQOP</t>
  </si>
  <si>
    <t>N5VZ3</t>
  </si>
  <si>
    <t>N4PB5</t>
  </si>
  <si>
    <t>7Z1DN</t>
  </si>
  <si>
    <t>2PBXB</t>
  </si>
  <si>
    <t>RSFB3</t>
  </si>
  <si>
    <t>W0V45</t>
  </si>
  <si>
    <t>HR0D5</t>
  </si>
  <si>
    <t>XJTYI</t>
  </si>
  <si>
    <t>F825D</t>
  </si>
  <si>
    <t>7UWY3</t>
  </si>
  <si>
    <t>BINZY</t>
  </si>
  <si>
    <t>HER3A</t>
  </si>
  <si>
    <t>MXDQX</t>
  </si>
  <si>
    <t>N1L98</t>
  </si>
  <si>
    <t>E2MPX</t>
  </si>
  <si>
    <t>N9WXR</t>
  </si>
  <si>
    <t>PC156</t>
  </si>
  <si>
    <t>O40M1</t>
  </si>
  <si>
    <t>OECY2</t>
  </si>
  <si>
    <t>G1B8X</t>
  </si>
  <si>
    <t>CVKJW</t>
  </si>
  <si>
    <t>1SUCG</t>
  </si>
  <si>
    <t>MRYHZ</t>
  </si>
  <si>
    <t>C6GPY</t>
  </si>
  <si>
    <t>XIT3X</t>
  </si>
  <si>
    <t>8E1GO</t>
  </si>
  <si>
    <t>VXMLL</t>
  </si>
  <si>
    <t>RL1UR</t>
  </si>
  <si>
    <t>1C7IC</t>
  </si>
  <si>
    <t>3RL8P</t>
  </si>
  <si>
    <t>XPJVO</t>
  </si>
  <si>
    <t>U2YEQ</t>
  </si>
  <si>
    <t>D4LB5</t>
  </si>
  <si>
    <t>Q8N36</t>
  </si>
  <si>
    <t>JGNXU</t>
  </si>
  <si>
    <t>43LSD</t>
  </si>
  <si>
    <t>Z760B</t>
  </si>
  <si>
    <t>8BFUR</t>
  </si>
  <si>
    <t>VYXC7</t>
  </si>
  <si>
    <t>CNGP4</t>
  </si>
  <si>
    <t>155IX</t>
  </si>
  <si>
    <t>NEQFC</t>
  </si>
  <si>
    <t>9ZWVB</t>
  </si>
  <si>
    <t>OTQ1O</t>
  </si>
  <si>
    <t>IM03F</t>
  </si>
  <si>
    <t>79YO4</t>
  </si>
  <si>
    <t>8RPOY</t>
  </si>
  <si>
    <t>WX9I4</t>
  </si>
  <si>
    <t>LCUGN</t>
  </si>
  <si>
    <t>GV8Z6</t>
  </si>
  <si>
    <t>A4PAH</t>
  </si>
  <si>
    <t>M5PRL</t>
  </si>
  <si>
    <t>RCR1Z</t>
  </si>
  <si>
    <t>DWKOF</t>
  </si>
  <si>
    <t>JIE5V</t>
  </si>
  <si>
    <t>SCHXR</t>
  </si>
  <si>
    <t>TLT1Y</t>
  </si>
  <si>
    <t>JJHNO</t>
  </si>
  <si>
    <t>73NVV</t>
  </si>
  <si>
    <t>337H7</t>
  </si>
  <si>
    <t>KT2RD</t>
  </si>
  <si>
    <t>3AC52</t>
  </si>
  <si>
    <t>UCQVR</t>
  </si>
  <si>
    <t>R73PK</t>
  </si>
  <si>
    <t>1B1DZ</t>
  </si>
  <si>
    <t>JN7XU</t>
  </si>
  <si>
    <t>1L8C5</t>
  </si>
  <si>
    <t>X6GRC</t>
  </si>
  <si>
    <t>59W1S</t>
  </si>
  <si>
    <t>4SM21</t>
  </si>
  <si>
    <t>69GR1</t>
  </si>
  <si>
    <t>XIR9C</t>
  </si>
  <si>
    <t>SA77Q</t>
  </si>
  <si>
    <t>JD52Q</t>
  </si>
  <si>
    <t>G18VX</t>
  </si>
  <si>
    <t>69O19</t>
  </si>
  <si>
    <t>NE8RJ</t>
  </si>
  <si>
    <t>43R4N</t>
  </si>
  <si>
    <t>WQ9BS</t>
  </si>
  <si>
    <t>7M0UN</t>
  </si>
  <si>
    <t>NP513</t>
  </si>
  <si>
    <t>73JBK</t>
  </si>
  <si>
    <t>A6OSQ</t>
  </si>
  <si>
    <t>UXO9G</t>
  </si>
  <si>
    <t>3G6IP</t>
  </si>
  <si>
    <t>PTYTX</t>
  </si>
  <si>
    <t>UBWB2</t>
  </si>
  <si>
    <t>EEGMG</t>
  </si>
  <si>
    <t>B3ZT0</t>
  </si>
  <si>
    <t>3GM71</t>
  </si>
  <si>
    <t>MRKKZ</t>
  </si>
  <si>
    <t>DOJLJ</t>
  </si>
  <si>
    <t>W9ZKY</t>
  </si>
  <si>
    <t>96WCY</t>
  </si>
  <si>
    <t>XP8G6</t>
  </si>
  <si>
    <t>3GNFD</t>
  </si>
  <si>
    <t>ED520</t>
  </si>
  <si>
    <t>8FP7J</t>
  </si>
  <si>
    <t>3M1MH</t>
  </si>
  <si>
    <t>DMRT2</t>
  </si>
  <si>
    <t>KVSOV</t>
  </si>
  <si>
    <t>MQWFF</t>
  </si>
  <si>
    <t>7KHP8</t>
  </si>
  <si>
    <t>N8O63</t>
  </si>
  <si>
    <t>YCQ6B</t>
  </si>
  <si>
    <t>YVCDP</t>
  </si>
  <si>
    <t>FF6RN</t>
  </si>
  <si>
    <t>2DTKM</t>
  </si>
  <si>
    <t>JQD1J</t>
  </si>
  <si>
    <t>5EQ6N</t>
  </si>
  <si>
    <t>99HNB</t>
  </si>
  <si>
    <t>GORMS</t>
  </si>
  <si>
    <t>TKJMO</t>
  </si>
  <si>
    <t>YT05A</t>
  </si>
  <si>
    <t>AEP5U</t>
  </si>
  <si>
    <t>PLTLC</t>
  </si>
  <si>
    <t>Create a Pivot Table to show total Sale Amount by Store and Department.</t>
  </si>
  <si>
    <t>Create a bar chart of total Units Sold by Product.</t>
  </si>
  <si>
    <t>Filter the data to show only sales from 'Returning' customers.</t>
  </si>
  <si>
    <t>Use slicers to filter the Pivot Table by Payment Mode.</t>
  </si>
  <si>
    <t>Group the dates by month and summarize total sales.</t>
  </si>
  <si>
    <t>Sort the departments by highest to lowest Sale Amount.</t>
  </si>
  <si>
    <t>Use conditional formatting to highlight sales above Rs. 900.</t>
  </si>
  <si>
    <t>Create a pie chart showing the share of each Payment Mode.</t>
  </si>
  <si>
    <t>Use a line chart to show sales trend over time.</t>
  </si>
  <si>
    <t>Identify the city with highest average Sale Amount.</t>
  </si>
  <si>
    <t>total_Revenue</t>
  </si>
  <si>
    <t>Q1</t>
  </si>
  <si>
    <t>G2*F2</t>
  </si>
  <si>
    <t>Qn.No</t>
  </si>
  <si>
    <t>Ans</t>
  </si>
  <si>
    <t>Formula</t>
  </si>
  <si>
    <t>Q2</t>
  </si>
  <si>
    <t>Q3</t>
  </si>
  <si>
    <t>Q4</t>
  </si>
  <si>
    <t>countif(E2:E301,T10)</t>
  </si>
  <si>
    <t>SUMIFS(K2:K301,C2:C301,T5)</t>
  </si>
  <si>
    <t>References</t>
  </si>
  <si>
    <t>IF(H2&gt;10,"High","Low")</t>
  </si>
  <si>
    <t>Q5</t>
  </si>
  <si>
    <t>Q6</t>
  </si>
  <si>
    <t>VLOOKUP(E2,E2:G301,3,0)</t>
  </si>
  <si>
    <t>Q10</t>
  </si>
  <si>
    <t>Q9</t>
  </si>
  <si>
    <t>Q7</t>
  </si>
  <si>
    <t>Ttl Units sold</t>
  </si>
  <si>
    <t>pencil rank</t>
  </si>
  <si>
    <t>SUMIFS(F2:F301,E2:E301,O22)</t>
  </si>
  <si>
    <t>RANK.EQ(P22,P22:P25,0)</t>
  </si>
  <si>
    <t>Q8</t>
  </si>
  <si>
    <t>UNIQUE(D2:D301)</t>
  </si>
  <si>
    <t>TEXT(B2, "MMM-YYYY" )</t>
  </si>
  <si>
    <t>AVERAGEIFS(G2:G301,C2:C301,T6,D2:D301,T29)</t>
  </si>
  <si>
    <t>CONCAT(C2,"_",A2)</t>
  </si>
  <si>
    <t>Row Labels</t>
  </si>
  <si>
    <t>Grand Total</t>
  </si>
  <si>
    <t>Sum of Sale Amount</t>
  </si>
  <si>
    <t>Sum of Units Sold</t>
  </si>
  <si>
    <t>Answer in Dataset 2</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</si>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</sst>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9">
    <xf numFmtId="0" fontId="0" fillId="0" borderId="0" xfId="0"/>
    <xf numFmtId="164" fontId="0" fillId="0" borderId="0" xfId="0" applyNumberFormat="1"/>
    <xf numFmtId="0" fontId="0" fillId="0" borderId="1" xfId="0" applyBorder="1"/>
    <xf numFmtId="0" fontId="0" fillId="0" borderId="2" xfId="0" applyBorder="1"/>
    <xf numFmtId="0" fontId="0" fillId="0" borderId="3"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
    <dxf>
      <numFmt numFmtId="164" formatCode="yyyy\-mm\-dd\ 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[Excel_Mock_practice3.xlsx]Sheet1!PivotTable2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07109491375604"/>
          <c:y val="0.27122399295183575"/>
          <c:w val="0.67495092925628242"/>
          <c:h val="0.41261765041499482"/>
        </c:manualLayout>
      </c:layout>
      <c:barChart>
        <c:barDir val="col"/>
        <c:grouping val="clustered"/>
        <c:varyColors val="0"/>
        <c:ser>
          <c:idx val="0"/>
          <c:order val="0"/>
          <c:tx>
            <c:strRef>
              <c:f>Sheet1!$D$27</c:f>
              <c:strCache>
                <c:ptCount val="1"/>
                <c:pt idx="0">
                  <c:v>Total</c:v>
                </c:pt>
              </c:strCache>
            </c:strRef>
          </c:tx>
          <c:spPr>
            <a:solidFill>
              <a:schemeClr val="accent1"/>
            </a:solidFill>
            <a:ln>
              <a:noFill/>
            </a:ln>
            <a:effectLst/>
          </c:spPr>
          <c:invertIfNegative val="0"/>
          <c:cat>
            <c:strRef>
              <c:f>Sheet1!$C$28:$C$32</c:f>
              <c:strCache>
                <c:ptCount val="4"/>
                <c:pt idx="0">
                  <c:v>Eraser</c:v>
                </c:pt>
                <c:pt idx="1">
                  <c:v>Notebook</c:v>
                </c:pt>
                <c:pt idx="2">
                  <c:v>Pen</c:v>
                </c:pt>
                <c:pt idx="3">
                  <c:v>Pencil</c:v>
                </c:pt>
              </c:strCache>
            </c:strRef>
          </c:cat>
          <c:val>
            <c:numRef>
              <c:f>Sheet1!$D$28:$D$32</c:f>
              <c:numCache>
                <c:formatCode>General</c:formatCode>
                <c:ptCount val="4"/>
                <c:pt idx="0">
                  <c:v>3733</c:v>
                </c:pt>
                <c:pt idx="1">
                  <c:v>4180</c:v>
                </c:pt>
                <c:pt idx="2">
                  <c:v>3202</c:v>
                </c:pt>
                <c:pt idx="3">
                  <c:v>3883</c:v>
                </c:pt>
              </c:numCache>
            </c:numRef>
          </c:val>
          <c:extLst>
            <c:ext xmlns:c16="http://schemas.microsoft.com/office/drawing/2014/chart" uri="{C3380CC4-5D6E-409C-BE32-E72D297353CC}">
              <c16:uniqueId val="{00000000-483B-45AC-B425-856C2BF6A7D6}"/>
            </c:ext>
          </c:extLst>
        </c:ser>
        <c:dLbls>
          <c:showLegendKey val="0"/>
          <c:showVal val="0"/>
          <c:showCatName val="0"/>
          <c:showSerName val="0"/>
          <c:showPercent val="0"/>
          <c:showBubbleSize val="0"/>
        </c:dLbls>
        <c:gapWidth val="219"/>
        <c:overlap val="-27"/>
        <c:axId val="1283850336"/>
        <c:axId val="1283850816"/>
      </c:barChart>
      <c:catAx>
        <c:axId val="12838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850816"/>
        <c:crosses val="autoZero"/>
        <c:auto val="1"/>
        <c:lblAlgn val="ctr"/>
        <c:lblOffset val="100"/>
        <c:noMultiLvlLbl val="0"/>
      </c:catAx>
      <c:valAx>
        <c:axId val="128385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85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21430</xdr:colOff>
      <xdr:row>23</xdr:row>
      <xdr:rowOff>159544</xdr:rowOff>
    </xdr:from>
    <xdr:to>
      <xdr:col>9</xdr:col>
      <xdr:colOff>585787</xdr:colOff>
      <xdr:row>33</xdr:row>
      <xdr:rowOff>76201</xdr:rowOff>
    </xdr:to>
    <xdr:graphicFrame macro="">
      <xdr:nvGraphicFramePr>
        <xdr:cNvPr id="2" name="Chart 1">
          <a:extLst>
            <a:ext uri="{FF2B5EF4-FFF2-40B4-BE49-F238E27FC236}">
              <a16:creationId xmlns:a16="http://schemas.microsoft.com/office/drawing/2014/main" id="{EEFBAEF9-47A5-D996-3829-1A1398276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12688</xdr:colOff>
      <xdr:row>41</xdr:row>
      <xdr:rowOff>19325</xdr:rowOff>
    </xdr:from>
    <xdr:to>
      <xdr:col>3</xdr:col>
      <xdr:colOff>949773</xdr:colOff>
      <xdr:row>49</xdr:row>
      <xdr:rowOff>162358</xdr:rowOff>
    </xdr:to>
    <mc:AlternateContent xmlns:mc="http://schemas.openxmlformats.org/markup-compatibility/2006">
      <mc:Choice xmlns:a14="http://schemas.microsoft.com/office/drawing/2010/main" Requires="a14">
        <xdr:graphicFrame macro="">
          <xdr:nvGraphicFramePr>
            <xdr:cNvPr id="3" name="Payment Mode">
              <a:extLst>
                <a:ext uri="{FF2B5EF4-FFF2-40B4-BE49-F238E27FC236}">
                  <a16:creationId xmlns:a16="http://schemas.microsoft.com/office/drawing/2014/main" id="{A21EBCED-E827-AEFB-081C-BBF38937D637}"/>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398143" y="7341669"/>
              <a:ext cx="1830054" cy="1571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Venky" refreshedDate="46065.835208217592" createdVersion="8" refreshedVersion="8" minRefreshableVersion="3" recordCount="300" xr:uid="{6FD506F9-8F13-4CD2-989C-3DF55E47BDE9}">
  <cacheSource type="worksheet">
    <worksheetSource name="Table1"/>
  </cacheSource>
  <cacheFields count="13">
    <cacheField name="SaleID" numFmtId="0">
      <sharedItems/>
    </cacheField>
    <cacheField name="Date" numFmtId="164">
      <sharedItems containsSemiMixedTypes="0" containsNonDate="0" containsDate="1" containsString="0" minDate="2022-01-03T00:00:00" maxDate="2024-01-01T00:00:00" count="248">
        <d v="2023-09-22T00:00:00"/>
        <d v="2022-09-12T00:00:00"/>
        <d v="2023-06-14T00:00:00"/>
        <d v="2023-02-26T00:00:00"/>
        <d v="2022-12-05T00:00:00"/>
        <d v="2023-05-26T00:00:00"/>
        <d v="2023-06-01T00:00:00"/>
        <d v="2023-04-09T00:00:00"/>
        <d v="2022-04-26T00:00:00"/>
        <d v="2022-07-16T00:00:00"/>
        <d v="2023-11-08T00:00:00"/>
        <d v="2023-11-06T00:00:00"/>
        <d v="2023-10-20T00:00:00"/>
        <d v="2023-05-14T00:00:00"/>
        <d v="2023-06-18T00:00:00"/>
        <d v="2023-03-12T00:00:00"/>
        <d v="2022-07-12T00:00:00"/>
        <d v="2023-10-23T00:00:00"/>
        <d v="2022-01-23T00:00:00"/>
        <d v="2023-08-01T00:00:00"/>
        <d v="2022-12-28T00:00:00"/>
        <d v="2022-02-08T00:00:00"/>
        <d v="2023-01-29T00:00:00"/>
        <d v="2023-03-18T00:00:00"/>
        <d v="2023-12-29T00:00:00"/>
        <d v="2022-11-28T00:00:00"/>
        <d v="2023-01-20T00:00:00"/>
        <d v="2022-08-22T00:00:00"/>
        <d v="2022-08-10T00:00:00"/>
        <d v="2023-10-08T00:00:00"/>
        <d v="2023-05-02T00:00:00"/>
        <d v="2022-09-23T00:00:00"/>
        <d v="2023-11-16T00:00:00"/>
        <d v="2023-05-03T00:00:00"/>
        <d v="2022-02-25T00:00:00"/>
        <d v="2022-09-01T00:00:00"/>
        <d v="2022-06-18T00:00:00"/>
        <d v="2023-11-17T00:00:00"/>
        <d v="2022-10-03T00:00:00"/>
        <d v="2023-12-22T00:00:00"/>
        <d v="2022-04-23T00:00:00"/>
        <d v="2022-11-14T00:00:00"/>
        <d v="2022-07-25T00:00:00"/>
        <d v="2023-05-10T00:00:00"/>
        <d v="2022-12-13T00:00:00"/>
        <d v="2023-04-19T00:00:00"/>
        <d v="2023-03-17T00:00:00"/>
        <d v="2022-06-15T00:00:00"/>
        <d v="2023-03-31T00:00:00"/>
        <d v="2022-08-04T00:00:00"/>
        <d v="2023-02-24T00:00:00"/>
        <d v="2023-05-23T00:00:00"/>
        <d v="2022-04-06T00:00:00"/>
        <d v="2022-09-21T00:00:00"/>
        <d v="2022-11-20T00:00:00"/>
        <d v="2023-10-18T00:00:00"/>
        <d v="2023-10-12T00:00:00"/>
        <d v="2023-06-15T00:00:00"/>
        <d v="2023-07-18T00:00:00"/>
        <d v="2022-05-12T00:00:00"/>
        <d v="2022-03-13T00:00:00"/>
        <d v="2022-10-23T00:00:00"/>
        <d v="2023-11-30T00:00:00"/>
        <d v="2023-10-02T00:00:00"/>
        <d v="2022-01-18T00:00:00"/>
        <d v="2023-01-23T00:00:00"/>
        <d v="2023-02-13T00:00:00"/>
        <d v="2023-06-27T00:00:00"/>
        <d v="2022-03-02T00:00:00"/>
        <d v="2022-07-17T00:00:00"/>
        <d v="2022-10-17T00:00:00"/>
        <d v="2022-02-28T00:00:00"/>
        <d v="2022-12-11T00:00:00"/>
        <d v="2023-08-18T00:00:00"/>
        <d v="2023-04-17T00:00:00"/>
        <d v="2022-11-30T00:00:00"/>
        <d v="2022-12-24T00:00:00"/>
        <d v="2023-05-17T00:00:00"/>
        <d v="2022-03-30T00:00:00"/>
        <d v="2022-02-24T00:00:00"/>
        <d v="2022-10-21T00:00:00"/>
        <d v="2023-12-24T00:00:00"/>
        <d v="2022-09-06T00:00:00"/>
        <d v="2023-02-17T00:00:00"/>
        <d v="2023-08-13T00:00:00"/>
        <d v="2023-11-07T00:00:00"/>
        <d v="2023-06-26T00:00:00"/>
        <d v="2023-05-20T00:00:00"/>
        <d v="2022-05-17T00:00:00"/>
        <d v="2023-04-10T00:00:00"/>
        <d v="2023-04-06T00:00:00"/>
        <d v="2023-07-03T00:00:00"/>
        <d v="2023-02-07T00:00:00"/>
        <d v="2023-12-19T00:00:00"/>
        <d v="2022-03-28T00:00:00"/>
        <d v="2022-05-15T00:00:00"/>
        <d v="2023-03-09T00:00:00"/>
        <d v="2023-08-28T00:00:00"/>
        <d v="2023-12-11T00:00:00"/>
        <d v="2022-01-22T00:00:00"/>
        <d v="2023-03-06T00:00:00"/>
        <d v="2022-02-07T00:00:00"/>
        <d v="2023-07-28T00:00:00"/>
        <d v="2023-11-20T00:00:00"/>
        <d v="2023-08-14T00:00:00"/>
        <d v="2022-01-03T00:00:00"/>
        <d v="2023-08-24T00:00:00"/>
        <d v="2023-06-05T00:00:00"/>
        <d v="2023-12-30T00:00:00"/>
        <d v="2023-10-31T00:00:00"/>
        <d v="2022-11-12T00:00:00"/>
        <d v="2023-07-27T00:00:00"/>
        <d v="2022-03-23T00:00:00"/>
        <d v="2023-08-05T00:00:00"/>
        <d v="2023-10-26T00:00:00"/>
        <d v="2022-03-17T00:00:00"/>
        <d v="2022-05-23T00:00:00"/>
        <d v="2022-07-05T00:00:00"/>
        <d v="2023-08-22T00:00:00"/>
        <d v="2023-02-28T00:00:00"/>
        <d v="2022-08-18T00:00:00"/>
        <d v="2022-06-25T00:00:00"/>
        <d v="2023-10-01T00:00:00"/>
        <d v="2023-04-12T00:00:00"/>
        <d v="2023-12-12T00:00:00"/>
        <d v="2023-06-29T00:00:00"/>
        <d v="2023-12-28T00:00:00"/>
        <d v="2022-10-26T00:00:00"/>
        <d v="2022-04-28T00:00:00"/>
        <d v="2022-04-17T00:00:00"/>
        <d v="2023-12-31T00:00:00"/>
        <d v="2022-05-01T00:00:00"/>
        <d v="2023-03-04T00:00:00"/>
        <d v="2022-12-19T00:00:00"/>
        <d v="2023-11-09T00:00:00"/>
        <d v="2023-05-06T00:00:00"/>
        <d v="2022-08-28T00:00:00"/>
        <d v="2022-12-20T00:00:00"/>
        <d v="2022-12-27T00:00:00"/>
        <d v="2022-12-09T00:00:00"/>
        <d v="2023-09-17T00:00:00"/>
        <d v="2022-07-28T00:00:00"/>
        <d v="2022-11-06T00:00:00"/>
        <d v="2022-04-04T00:00:00"/>
        <d v="2022-02-12T00:00:00"/>
        <d v="2022-08-13T00:00:00"/>
        <d v="2022-03-09T00:00:00"/>
        <d v="2022-11-22T00:00:00"/>
        <d v="2023-09-04T00:00:00"/>
        <d v="2022-01-27T00:00:00"/>
        <d v="2022-10-25T00:00:00"/>
        <d v="2022-01-24T00:00:00"/>
        <d v="2022-11-03T00:00:00"/>
        <d v="2023-04-30T00:00:00"/>
        <d v="2023-07-25T00:00:00"/>
        <d v="2022-03-07T00:00:00"/>
        <d v="2022-04-25T00:00:00"/>
        <d v="2023-05-21T00:00:00"/>
        <d v="2023-10-22T00:00:00"/>
        <d v="2023-05-25T00:00:00"/>
        <d v="2022-09-27T00:00:00"/>
        <d v="2023-07-17T00:00:00"/>
        <d v="2022-04-01T00:00:00"/>
        <d v="2023-08-30T00:00:00"/>
        <d v="2023-01-06T00:00:00"/>
        <d v="2023-01-01T00:00:00"/>
        <d v="2022-01-15T00:00:00"/>
        <d v="2023-06-30T00:00:00"/>
        <d v="2022-05-19T00:00:00"/>
        <d v="2023-01-10T00:00:00"/>
        <d v="2023-10-21T00:00:00"/>
        <d v="2023-10-14T00:00:00"/>
        <d v="2023-07-15T00:00:00"/>
        <d v="2022-12-23T00:00:00"/>
        <d v="2023-04-14T00:00:00"/>
        <d v="2023-05-28T00:00:00"/>
        <d v="2023-09-02T00:00:00"/>
        <d v="2022-12-10T00:00:00"/>
        <d v="2022-12-18T00:00:00"/>
        <d v="2023-08-20T00:00:00"/>
        <d v="2023-04-07T00:00:00"/>
        <d v="2022-06-17T00:00:00"/>
        <d v="2023-06-24T00:00:00"/>
        <d v="2023-01-15T00:00:00"/>
        <d v="2023-10-09T00:00:00"/>
        <d v="2023-05-08T00:00:00"/>
        <d v="2022-04-15T00:00:00"/>
        <d v="2022-01-29T00:00:00"/>
        <d v="2023-12-26T00:00:00"/>
        <d v="2022-02-18T00:00:00"/>
        <d v="2023-03-23T00:00:00"/>
        <d v="2023-07-05T00:00:00"/>
        <d v="2023-01-13T00:00:00"/>
        <d v="2022-07-13T00:00:00"/>
        <d v="2023-01-02T00:00:00"/>
        <d v="2022-05-22T00:00:00"/>
        <d v="2022-11-27T00:00:00"/>
        <d v="2023-09-27T00:00:00"/>
        <d v="2022-10-20T00:00:00"/>
        <d v="2023-04-05T00:00:00"/>
        <d v="2023-05-04T00:00:00"/>
        <d v="2022-05-20T00:00:00"/>
        <d v="2023-03-01T00:00:00"/>
        <d v="2022-10-30T00:00:00"/>
        <d v="2022-09-05T00:00:00"/>
        <d v="2022-01-12T00:00:00"/>
        <d v="2023-01-08T00:00:00"/>
        <d v="2022-10-04T00:00:00"/>
        <d v="2023-11-25T00:00:00"/>
        <d v="2023-12-06T00:00:00"/>
        <d v="2023-07-31T00:00:00"/>
        <d v="2022-09-11T00:00:00"/>
        <d v="2023-12-01T00:00:00"/>
        <d v="2022-07-20T00:00:00"/>
        <d v="2023-04-29T00:00:00"/>
        <d v="2023-10-25T00:00:00"/>
        <d v="2022-10-05T00:00:00"/>
        <d v="2022-08-16T00:00:00"/>
        <d v="2022-09-29T00:00:00"/>
        <d v="2023-11-12T00:00:00"/>
        <d v="2023-07-02T00:00:00"/>
        <d v="2022-08-05T00:00:00"/>
        <d v="2023-12-13T00:00:00"/>
        <d v="2023-03-08T00:00:00"/>
        <d v="2022-08-20T00:00:00"/>
        <d v="2022-06-30T00:00:00"/>
        <d v="2022-07-02T00:00:00"/>
        <d v="2023-10-15T00:00:00"/>
        <d v="2022-08-25T00:00:00"/>
        <d v="2022-05-07T00:00:00"/>
        <d v="2022-05-02T00:00:00"/>
        <d v="2023-05-16T00:00:00"/>
        <d v="2023-01-25T00:00:00"/>
        <d v="2022-09-03T00:00:00"/>
        <d v="2022-03-26T00:00:00"/>
        <d v="2022-03-27T00:00:00"/>
        <d v="2023-05-30T00:00:00"/>
        <d v="2023-02-11T00:00:00"/>
        <d v="2022-09-09T00:00:00"/>
        <d v="2023-01-12T00:00:00"/>
        <d v="2022-05-14T00:00:00"/>
        <d v="2023-02-10T00:00:00"/>
        <d v="2023-02-05T00:00:00"/>
        <d v="2022-05-21T00:00:00"/>
        <d v="2022-02-21T00:00:00"/>
        <d v="2023-04-03T00:00:00"/>
        <d v="2023-08-25T00:00:00"/>
        <d v="2023-01-07T00:00:00"/>
      </sharedItems>
      <fieldGroup par="12"/>
    </cacheField>
    <cacheField name="Store" numFmtId="0">
      <sharedItems count="3">
        <s v="Store2"/>
        <s v="Store3"/>
        <s v="Store1"/>
      </sharedItems>
    </cacheField>
    <cacheField name="Department" numFmtId="0">
      <sharedItems count="4">
        <s v="Electronics"/>
        <s v="Toys"/>
        <s v="Clothing"/>
        <s v="Groceries"/>
      </sharedItems>
    </cacheField>
    <cacheField name="Product" numFmtId="0">
      <sharedItems count="4">
        <s v="Notebook"/>
        <s v="Eraser"/>
        <s v="Pencil"/>
        <s v="Pen"/>
      </sharedItems>
    </cacheField>
    <cacheField name="Units Sold" numFmtId="0">
      <sharedItems containsSemiMixedTypes="0" containsString="0" containsNumber="1" containsInteger="1" minValue="1" maxValue="99"/>
    </cacheField>
    <cacheField name="Sale Amount" numFmtId="0">
      <sharedItems containsSemiMixedTypes="0" containsString="0" containsNumber="1" minValue="14.89" maxValue="997.15"/>
    </cacheField>
    <cacheField name="Customer Type" numFmtId="0">
      <sharedItems/>
    </cacheField>
    <cacheField name="Payment Mode" numFmtId="0">
      <sharedItems count="4">
        <s v="Net Banking"/>
        <s v="Cash"/>
        <s v="UPI"/>
        <s v="Credit Card"/>
      </sharedItems>
    </cacheField>
    <cacheField name="City" numFmtId="0">
      <sharedItems/>
    </cacheField>
    <cacheField name="Months (Date)" numFmtId="0" databaseField="0">
      <fieldGroup base="1">
        <rangePr groupBy="months" startDate="2022-01-03T00:00:00" endDate="2024-01-01T00:00:00"/>
        <groupItems count="14">
          <s v="&lt;03-01-2022"/>
          <s v="Jan"/>
          <s v="Feb"/>
          <s v="Mar"/>
          <s v="Apr"/>
          <s v="May"/>
          <s v="Jun"/>
          <s v="Jul"/>
          <s v="Aug"/>
          <s v="Sep"/>
          <s v="Oct"/>
          <s v="Nov"/>
          <s v="Dec"/>
          <s v="&gt;01-01-2024"/>
        </groupItems>
      </fieldGroup>
    </cacheField>
    <cacheField name="Quarters (Date)" numFmtId="0" databaseField="0">
      <fieldGroup base="1">
        <rangePr groupBy="quarters" startDate="2022-01-03T00:00:00" endDate="2024-01-01T00:00:00"/>
        <groupItems count="6">
          <s v="&lt;03-01-2022"/>
          <s v="Qtr1"/>
          <s v="Qtr2"/>
          <s v="Qtr3"/>
          <s v="Qtr4"/>
          <s v="&gt;01-01-2024"/>
        </groupItems>
      </fieldGroup>
    </cacheField>
    <cacheField name="Years (Date)" numFmtId="0" databaseField="0">
      <fieldGroup base="1">
        <rangePr groupBy="years" startDate="2022-01-03T00:00:00" endDate="2024-01-01T00:00:00"/>
        <groupItems count="5">
          <s v="&lt;03-01-2022"/>
          <s v="2022"/>
          <s v="2023"/>
          <s v="2024"/>
          <s v="&gt;01-01-2024"/>
        </groupItems>
      </fieldGroup>
    </cacheField>
  </cacheFields>
  <extLst>
    <ext xmlns:x14="http://schemas.microsoft.com/office/spreadsheetml/2009/9/main" uri="{725AE2AE-9491-48be-B2B4-4EB974FC3084}">
      <x14:pivotCacheDefinition pivotCacheId="2105207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FEV62"/>
    <x v="0"/>
    <x v="0"/>
    <x v="0"/>
    <x v="0"/>
    <n v="85"/>
    <n v="227.98"/>
    <s v="New"/>
    <x v="0"/>
    <s v="Bangalore"/>
  </r>
  <r>
    <s v="HSTS8"/>
    <x v="1"/>
    <x v="0"/>
    <x v="0"/>
    <x v="1"/>
    <n v="42"/>
    <n v="686.43"/>
    <s v="New"/>
    <x v="1"/>
    <s v="Delhi"/>
  </r>
  <r>
    <s v="CQJZ6"/>
    <x v="2"/>
    <x v="1"/>
    <x v="1"/>
    <x v="0"/>
    <n v="41"/>
    <n v="85.37"/>
    <s v="New"/>
    <x v="0"/>
    <s v="Delhi"/>
  </r>
  <r>
    <s v="6Q3FL"/>
    <x v="3"/>
    <x v="0"/>
    <x v="2"/>
    <x v="2"/>
    <n v="38"/>
    <n v="852.69"/>
    <s v="Returning"/>
    <x v="2"/>
    <s v="Delhi"/>
  </r>
  <r>
    <s v="V6XTY"/>
    <x v="4"/>
    <x v="1"/>
    <x v="1"/>
    <x v="1"/>
    <n v="34"/>
    <n v="500.2"/>
    <s v="New"/>
    <x v="0"/>
    <s v="Mumbai"/>
  </r>
  <r>
    <s v="YGWR1"/>
    <x v="5"/>
    <x v="2"/>
    <x v="3"/>
    <x v="3"/>
    <n v="17"/>
    <n v="485.78"/>
    <s v="Returning"/>
    <x v="0"/>
    <s v="Mumbai"/>
  </r>
  <r>
    <s v="59FFD"/>
    <x v="6"/>
    <x v="1"/>
    <x v="0"/>
    <x v="0"/>
    <n v="37"/>
    <n v="596.48"/>
    <s v="Returning"/>
    <x v="0"/>
    <s v="Chennai"/>
  </r>
  <r>
    <s v="MD328"/>
    <x v="7"/>
    <x v="0"/>
    <x v="3"/>
    <x v="0"/>
    <n v="25"/>
    <n v="826.43"/>
    <s v="New"/>
    <x v="1"/>
    <s v="Bangalore"/>
  </r>
  <r>
    <s v="9IVIC"/>
    <x v="8"/>
    <x v="0"/>
    <x v="1"/>
    <x v="0"/>
    <n v="76"/>
    <n v="354.33"/>
    <s v="New"/>
    <x v="1"/>
    <s v="Delhi"/>
  </r>
  <r>
    <s v="UQ9T0"/>
    <x v="9"/>
    <x v="1"/>
    <x v="2"/>
    <x v="1"/>
    <n v="87"/>
    <n v="681.24"/>
    <s v="Returning"/>
    <x v="1"/>
    <s v="Chennai"/>
  </r>
  <r>
    <s v="6RE77"/>
    <x v="10"/>
    <x v="2"/>
    <x v="0"/>
    <x v="0"/>
    <n v="86"/>
    <n v="570.07000000000005"/>
    <s v="Returning"/>
    <x v="2"/>
    <s v="Bangalore"/>
  </r>
  <r>
    <s v="V0N9K"/>
    <x v="11"/>
    <x v="1"/>
    <x v="0"/>
    <x v="1"/>
    <n v="85"/>
    <n v="274.36"/>
    <s v="New"/>
    <x v="0"/>
    <s v="Bangalore"/>
  </r>
  <r>
    <s v="6V77E"/>
    <x v="12"/>
    <x v="1"/>
    <x v="1"/>
    <x v="2"/>
    <n v="27"/>
    <n v="879.84"/>
    <s v="New"/>
    <x v="3"/>
    <s v="Mumbai"/>
  </r>
  <r>
    <s v="8AHBP"/>
    <x v="13"/>
    <x v="1"/>
    <x v="0"/>
    <x v="3"/>
    <n v="57"/>
    <n v="799.45"/>
    <s v="Returning"/>
    <x v="3"/>
    <s v="Delhi"/>
  </r>
  <r>
    <s v="4Z3NZ"/>
    <x v="14"/>
    <x v="1"/>
    <x v="2"/>
    <x v="2"/>
    <n v="31"/>
    <n v="661.87"/>
    <s v="Returning"/>
    <x v="2"/>
    <s v="Mumbai"/>
  </r>
  <r>
    <s v="D4HE4"/>
    <x v="15"/>
    <x v="1"/>
    <x v="2"/>
    <x v="3"/>
    <n v="6"/>
    <n v="852.08"/>
    <s v="New"/>
    <x v="2"/>
    <s v="Chennai"/>
  </r>
  <r>
    <s v="29PNZ"/>
    <x v="16"/>
    <x v="1"/>
    <x v="3"/>
    <x v="2"/>
    <n v="91"/>
    <n v="868.62"/>
    <s v="Returning"/>
    <x v="1"/>
    <s v="Delhi"/>
  </r>
  <r>
    <s v="5K9AS"/>
    <x v="17"/>
    <x v="0"/>
    <x v="1"/>
    <x v="1"/>
    <n v="40"/>
    <n v="711.28"/>
    <s v="Returning"/>
    <x v="0"/>
    <s v="Mumbai"/>
  </r>
  <r>
    <s v="38RZ2"/>
    <x v="18"/>
    <x v="1"/>
    <x v="3"/>
    <x v="1"/>
    <n v="98"/>
    <n v="838.64"/>
    <s v="Returning"/>
    <x v="1"/>
    <s v="Mumbai"/>
  </r>
  <r>
    <s v="OEJVX"/>
    <x v="19"/>
    <x v="0"/>
    <x v="3"/>
    <x v="3"/>
    <n v="12"/>
    <n v="700.5"/>
    <s v="Returning"/>
    <x v="1"/>
    <s v="Delhi"/>
  </r>
  <r>
    <s v="59A5Z"/>
    <x v="20"/>
    <x v="0"/>
    <x v="2"/>
    <x v="2"/>
    <n v="53"/>
    <n v="683.34"/>
    <s v="New"/>
    <x v="2"/>
    <s v="Bangalore"/>
  </r>
  <r>
    <s v="S5V0G"/>
    <x v="21"/>
    <x v="1"/>
    <x v="3"/>
    <x v="1"/>
    <n v="71"/>
    <n v="622.42999999999995"/>
    <s v="Returning"/>
    <x v="3"/>
    <s v="Mumbai"/>
  </r>
  <r>
    <s v="1U0L0"/>
    <x v="22"/>
    <x v="2"/>
    <x v="3"/>
    <x v="2"/>
    <n v="10"/>
    <n v="755.19"/>
    <s v="Returning"/>
    <x v="2"/>
    <s v="Bangalore"/>
  </r>
  <r>
    <s v="XZBGM"/>
    <x v="23"/>
    <x v="1"/>
    <x v="2"/>
    <x v="0"/>
    <n v="45"/>
    <n v="167.02"/>
    <s v="New"/>
    <x v="3"/>
    <s v="Delhi"/>
  </r>
  <r>
    <s v="HVXG8"/>
    <x v="24"/>
    <x v="2"/>
    <x v="0"/>
    <x v="0"/>
    <n v="17"/>
    <n v="882.06"/>
    <s v="Returning"/>
    <x v="1"/>
    <s v="Mumbai"/>
  </r>
  <r>
    <s v="MQXPI"/>
    <x v="25"/>
    <x v="0"/>
    <x v="1"/>
    <x v="2"/>
    <n v="26"/>
    <n v="873.13"/>
    <s v="New"/>
    <x v="3"/>
    <s v="Bangalore"/>
  </r>
  <r>
    <s v="UFLAQ"/>
    <x v="26"/>
    <x v="2"/>
    <x v="1"/>
    <x v="2"/>
    <n v="85"/>
    <n v="38.950000000000003"/>
    <s v="Returning"/>
    <x v="3"/>
    <s v="Bangalore"/>
  </r>
  <r>
    <s v="C1C58"/>
    <x v="27"/>
    <x v="2"/>
    <x v="1"/>
    <x v="3"/>
    <n v="92"/>
    <n v="827.56"/>
    <s v="New"/>
    <x v="0"/>
    <s v="Delhi"/>
  </r>
  <r>
    <s v="5PWW6"/>
    <x v="28"/>
    <x v="2"/>
    <x v="2"/>
    <x v="1"/>
    <n v="62"/>
    <n v="137.58000000000001"/>
    <s v="Returning"/>
    <x v="0"/>
    <s v="Bangalore"/>
  </r>
  <r>
    <s v="OEWDH"/>
    <x v="29"/>
    <x v="0"/>
    <x v="2"/>
    <x v="2"/>
    <n v="46"/>
    <n v="341.77"/>
    <s v="New"/>
    <x v="2"/>
    <s v="Delhi"/>
  </r>
  <r>
    <s v="T2PVH"/>
    <x v="30"/>
    <x v="0"/>
    <x v="1"/>
    <x v="2"/>
    <n v="64"/>
    <n v="746.07"/>
    <s v="New"/>
    <x v="1"/>
    <s v="Bangalore"/>
  </r>
  <r>
    <s v="UERR7"/>
    <x v="31"/>
    <x v="0"/>
    <x v="1"/>
    <x v="3"/>
    <n v="2"/>
    <n v="169.15"/>
    <s v="New"/>
    <x v="0"/>
    <s v="Delhi"/>
  </r>
  <r>
    <s v="4ZPVV"/>
    <x v="32"/>
    <x v="1"/>
    <x v="1"/>
    <x v="1"/>
    <n v="54"/>
    <n v="819.79"/>
    <s v="New"/>
    <x v="3"/>
    <s v="Mumbai"/>
  </r>
  <r>
    <s v="U826T"/>
    <x v="33"/>
    <x v="0"/>
    <x v="2"/>
    <x v="1"/>
    <n v="65"/>
    <n v="833.81"/>
    <s v="New"/>
    <x v="0"/>
    <s v="Mumbai"/>
  </r>
  <r>
    <s v="BZVB9"/>
    <x v="34"/>
    <x v="1"/>
    <x v="2"/>
    <x v="3"/>
    <n v="51"/>
    <n v="512.39"/>
    <s v="Returning"/>
    <x v="0"/>
    <s v="Mumbai"/>
  </r>
  <r>
    <s v="OQ260"/>
    <x v="35"/>
    <x v="0"/>
    <x v="3"/>
    <x v="1"/>
    <n v="53"/>
    <n v="16.32"/>
    <s v="New"/>
    <x v="3"/>
    <s v="Delhi"/>
  </r>
  <r>
    <s v="ULEPA"/>
    <x v="36"/>
    <x v="1"/>
    <x v="0"/>
    <x v="0"/>
    <n v="36"/>
    <n v="294.17"/>
    <s v="Returning"/>
    <x v="2"/>
    <s v="Bangalore"/>
  </r>
  <r>
    <s v="QPLHF"/>
    <x v="37"/>
    <x v="0"/>
    <x v="1"/>
    <x v="3"/>
    <n v="26"/>
    <n v="620.76"/>
    <s v="New"/>
    <x v="2"/>
    <s v="Bangalore"/>
  </r>
  <r>
    <s v="G5YCB"/>
    <x v="38"/>
    <x v="0"/>
    <x v="3"/>
    <x v="0"/>
    <n v="29"/>
    <n v="981.37"/>
    <s v="New"/>
    <x v="0"/>
    <s v="Chennai"/>
  </r>
  <r>
    <s v="W3XDR"/>
    <x v="39"/>
    <x v="2"/>
    <x v="3"/>
    <x v="2"/>
    <n v="21"/>
    <n v="635.5"/>
    <s v="Returning"/>
    <x v="1"/>
    <s v="Chennai"/>
  </r>
  <r>
    <s v="5APK2"/>
    <x v="40"/>
    <x v="0"/>
    <x v="1"/>
    <x v="3"/>
    <n v="11"/>
    <n v="267.20999999999998"/>
    <s v="New"/>
    <x v="3"/>
    <s v="Mumbai"/>
  </r>
  <r>
    <s v="IW3SX"/>
    <x v="41"/>
    <x v="2"/>
    <x v="1"/>
    <x v="1"/>
    <n v="40"/>
    <n v="637.66999999999996"/>
    <s v="New"/>
    <x v="1"/>
    <s v="Mumbai"/>
  </r>
  <r>
    <s v="MD5KA"/>
    <x v="42"/>
    <x v="2"/>
    <x v="2"/>
    <x v="0"/>
    <n v="11"/>
    <n v="544.59"/>
    <s v="New"/>
    <x v="0"/>
    <s v="Chennai"/>
  </r>
  <r>
    <s v="Z6ZDX"/>
    <x v="43"/>
    <x v="0"/>
    <x v="2"/>
    <x v="2"/>
    <n v="36"/>
    <n v="782.05"/>
    <s v="New"/>
    <x v="0"/>
    <s v="Chennai"/>
  </r>
  <r>
    <s v="FH0F7"/>
    <x v="44"/>
    <x v="2"/>
    <x v="0"/>
    <x v="3"/>
    <n v="59"/>
    <n v="115.91"/>
    <s v="New"/>
    <x v="0"/>
    <s v="Delhi"/>
  </r>
  <r>
    <s v="SHIH4"/>
    <x v="45"/>
    <x v="1"/>
    <x v="0"/>
    <x v="2"/>
    <n v="39"/>
    <n v="763.42"/>
    <s v="Returning"/>
    <x v="1"/>
    <s v="Mumbai"/>
  </r>
  <r>
    <s v="NNMN9"/>
    <x v="46"/>
    <x v="2"/>
    <x v="1"/>
    <x v="0"/>
    <n v="99"/>
    <n v="545.85"/>
    <s v="New"/>
    <x v="2"/>
    <s v="Delhi"/>
  </r>
  <r>
    <s v="5JBD4"/>
    <x v="47"/>
    <x v="0"/>
    <x v="2"/>
    <x v="3"/>
    <n v="54"/>
    <n v="963.36"/>
    <s v="Returning"/>
    <x v="0"/>
    <s v="Chennai"/>
  </r>
  <r>
    <s v="RJQ66"/>
    <x v="48"/>
    <x v="2"/>
    <x v="1"/>
    <x v="0"/>
    <n v="98"/>
    <n v="348.45"/>
    <s v="New"/>
    <x v="2"/>
    <s v="Mumbai"/>
  </r>
  <r>
    <s v="05FJU"/>
    <x v="49"/>
    <x v="0"/>
    <x v="2"/>
    <x v="3"/>
    <n v="55"/>
    <n v="636.29999999999995"/>
    <s v="New"/>
    <x v="3"/>
    <s v="Delhi"/>
  </r>
  <r>
    <s v="ANHZ9"/>
    <x v="13"/>
    <x v="2"/>
    <x v="1"/>
    <x v="1"/>
    <n v="24"/>
    <n v="932.71"/>
    <s v="New"/>
    <x v="2"/>
    <s v="Bangalore"/>
  </r>
  <r>
    <s v="8TRKM"/>
    <x v="50"/>
    <x v="1"/>
    <x v="0"/>
    <x v="0"/>
    <n v="22"/>
    <n v="111.48"/>
    <s v="Returning"/>
    <x v="0"/>
    <s v="Mumbai"/>
  </r>
  <r>
    <s v="2SBE9"/>
    <x v="51"/>
    <x v="0"/>
    <x v="0"/>
    <x v="2"/>
    <n v="69"/>
    <n v="937.86"/>
    <s v="New"/>
    <x v="0"/>
    <s v="Chennai"/>
  </r>
  <r>
    <s v="PH4ZC"/>
    <x v="52"/>
    <x v="2"/>
    <x v="0"/>
    <x v="2"/>
    <n v="56"/>
    <n v="691.01"/>
    <s v="New"/>
    <x v="0"/>
    <s v="Bangalore"/>
  </r>
  <r>
    <s v="VA7U5"/>
    <x v="53"/>
    <x v="2"/>
    <x v="2"/>
    <x v="2"/>
    <n v="33"/>
    <n v="77.16"/>
    <s v="Returning"/>
    <x v="3"/>
    <s v="Bangalore"/>
  </r>
  <r>
    <s v="8AX5T"/>
    <x v="54"/>
    <x v="1"/>
    <x v="0"/>
    <x v="3"/>
    <n v="36"/>
    <n v="307.95"/>
    <s v="Returning"/>
    <x v="2"/>
    <s v="Delhi"/>
  </r>
  <r>
    <s v="N36VO"/>
    <x v="55"/>
    <x v="2"/>
    <x v="1"/>
    <x v="2"/>
    <n v="20"/>
    <n v="711.09"/>
    <s v="Returning"/>
    <x v="0"/>
    <s v="Chennai"/>
  </r>
  <r>
    <s v="T1Z2Y"/>
    <x v="56"/>
    <x v="1"/>
    <x v="0"/>
    <x v="3"/>
    <n v="83"/>
    <n v="76.680000000000007"/>
    <s v="New"/>
    <x v="2"/>
    <s v="Delhi"/>
  </r>
  <r>
    <s v="WSS0T"/>
    <x v="57"/>
    <x v="1"/>
    <x v="0"/>
    <x v="0"/>
    <n v="99"/>
    <n v="586.35"/>
    <s v="Returning"/>
    <x v="3"/>
    <s v="Delhi"/>
  </r>
  <r>
    <s v="BF6AI"/>
    <x v="58"/>
    <x v="0"/>
    <x v="0"/>
    <x v="1"/>
    <n v="81"/>
    <n v="352.42"/>
    <s v="Returning"/>
    <x v="1"/>
    <s v="Delhi"/>
  </r>
  <r>
    <s v="PXOQN"/>
    <x v="59"/>
    <x v="2"/>
    <x v="1"/>
    <x v="1"/>
    <n v="62"/>
    <n v="624.71"/>
    <s v="Returning"/>
    <x v="3"/>
    <s v="Delhi"/>
  </r>
  <r>
    <s v="IGMTI"/>
    <x v="60"/>
    <x v="0"/>
    <x v="3"/>
    <x v="2"/>
    <n v="98"/>
    <n v="55.28"/>
    <s v="New"/>
    <x v="3"/>
    <s v="Mumbai"/>
  </r>
  <r>
    <s v="24NKF"/>
    <x v="61"/>
    <x v="2"/>
    <x v="2"/>
    <x v="3"/>
    <n v="73"/>
    <n v="872.82"/>
    <s v="Returning"/>
    <x v="3"/>
    <s v="Bangalore"/>
  </r>
  <r>
    <s v="8DCH0"/>
    <x v="62"/>
    <x v="0"/>
    <x v="1"/>
    <x v="3"/>
    <n v="26"/>
    <n v="973.75"/>
    <s v="Returning"/>
    <x v="1"/>
    <s v="Chennai"/>
  </r>
  <r>
    <s v="7OL3Q"/>
    <x v="63"/>
    <x v="0"/>
    <x v="3"/>
    <x v="1"/>
    <n v="66"/>
    <n v="969.19"/>
    <s v="Returning"/>
    <x v="0"/>
    <s v="Bangalore"/>
  </r>
  <r>
    <s v="R0AFW"/>
    <x v="64"/>
    <x v="0"/>
    <x v="1"/>
    <x v="2"/>
    <n v="73"/>
    <n v="752.16"/>
    <s v="Returning"/>
    <x v="0"/>
    <s v="Delhi"/>
  </r>
  <r>
    <s v="429HU"/>
    <x v="65"/>
    <x v="1"/>
    <x v="3"/>
    <x v="3"/>
    <n v="73"/>
    <n v="138.79"/>
    <s v="Returning"/>
    <x v="0"/>
    <s v="Delhi"/>
  </r>
  <r>
    <s v="4NLVT"/>
    <x v="66"/>
    <x v="0"/>
    <x v="1"/>
    <x v="3"/>
    <n v="40"/>
    <n v="760.68"/>
    <s v="New"/>
    <x v="3"/>
    <s v="Bangalore"/>
  </r>
  <r>
    <s v="HQOHQ"/>
    <x v="67"/>
    <x v="1"/>
    <x v="1"/>
    <x v="3"/>
    <n v="17"/>
    <n v="34.340000000000003"/>
    <s v="Returning"/>
    <x v="3"/>
    <s v="Mumbai"/>
  </r>
  <r>
    <s v="G8JN5"/>
    <x v="68"/>
    <x v="2"/>
    <x v="1"/>
    <x v="2"/>
    <n v="1"/>
    <n v="31.9"/>
    <s v="Returning"/>
    <x v="1"/>
    <s v="Bangalore"/>
  </r>
  <r>
    <s v="6G4IA"/>
    <x v="10"/>
    <x v="0"/>
    <x v="3"/>
    <x v="3"/>
    <n v="89"/>
    <n v="330.37"/>
    <s v="New"/>
    <x v="0"/>
    <s v="Bangalore"/>
  </r>
  <r>
    <s v="Y41UZ"/>
    <x v="69"/>
    <x v="0"/>
    <x v="3"/>
    <x v="1"/>
    <n v="61"/>
    <n v="493.76"/>
    <s v="Returning"/>
    <x v="0"/>
    <s v="Bangalore"/>
  </r>
  <r>
    <s v="XW4DX"/>
    <x v="70"/>
    <x v="0"/>
    <x v="0"/>
    <x v="1"/>
    <n v="43"/>
    <n v="772.7"/>
    <s v="New"/>
    <x v="1"/>
    <s v="Bangalore"/>
  </r>
  <r>
    <s v="O3WUS"/>
    <x v="71"/>
    <x v="0"/>
    <x v="0"/>
    <x v="0"/>
    <n v="42"/>
    <n v="686.46"/>
    <s v="Returning"/>
    <x v="2"/>
    <s v="Delhi"/>
  </r>
  <r>
    <s v="G9L3N"/>
    <x v="72"/>
    <x v="0"/>
    <x v="1"/>
    <x v="2"/>
    <n v="25"/>
    <n v="451.44"/>
    <s v="Returning"/>
    <x v="1"/>
    <s v="Bangalore"/>
  </r>
  <r>
    <s v="DP0M9"/>
    <x v="73"/>
    <x v="0"/>
    <x v="2"/>
    <x v="1"/>
    <n v="39"/>
    <n v="280.89"/>
    <s v="Returning"/>
    <x v="0"/>
    <s v="Delhi"/>
  </r>
  <r>
    <s v="132RF"/>
    <x v="11"/>
    <x v="0"/>
    <x v="1"/>
    <x v="1"/>
    <n v="35"/>
    <n v="997.15"/>
    <s v="New"/>
    <x v="0"/>
    <s v="Delhi"/>
  </r>
  <r>
    <s v="QZTEP"/>
    <x v="74"/>
    <x v="0"/>
    <x v="1"/>
    <x v="2"/>
    <n v="3"/>
    <n v="431.92"/>
    <s v="Returning"/>
    <x v="1"/>
    <s v="Bangalore"/>
  </r>
  <r>
    <s v="GCKRQ"/>
    <x v="75"/>
    <x v="2"/>
    <x v="3"/>
    <x v="1"/>
    <n v="44"/>
    <n v="456.87"/>
    <s v="New"/>
    <x v="2"/>
    <s v="Chennai"/>
  </r>
  <r>
    <s v="2OC9K"/>
    <x v="76"/>
    <x v="0"/>
    <x v="2"/>
    <x v="0"/>
    <n v="51"/>
    <n v="171.99"/>
    <s v="Returning"/>
    <x v="0"/>
    <s v="Bangalore"/>
  </r>
  <r>
    <s v="6JAFN"/>
    <x v="77"/>
    <x v="1"/>
    <x v="2"/>
    <x v="0"/>
    <n v="94"/>
    <n v="796.86"/>
    <s v="New"/>
    <x v="0"/>
    <s v="Bangalore"/>
  </r>
  <r>
    <s v="KQLNV"/>
    <x v="78"/>
    <x v="1"/>
    <x v="3"/>
    <x v="2"/>
    <n v="98"/>
    <n v="696.75"/>
    <s v="New"/>
    <x v="1"/>
    <s v="Delhi"/>
  </r>
  <r>
    <s v="7CA6X"/>
    <x v="79"/>
    <x v="0"/>
    <x v="0"/>
    <x v="1"/>
    <n v="12"/>
    <n v="228.56"/>
    <s v="New"/>
    <x v="0"/>
    <s v="Chennai"/>
  </r>
  <r>
    <s v="2KBT3"/>
    <x v="68"/>
    <x v="2"/>
    <x v="3"/>
    <x v="0"/>
    <n v="19"/>
    <n v="91.56"/>
    <s v="Returning"/>
    <x v="2"/>
    <s v="Bangalore"/>
  </r>
  <r>
    <s v="XVMTI"/>
    <x v="80"/>
    <x v="0"/>
    <x v="1"/>
    <x v="3"/>
    <n v="44"/>
    <n v="683.69"/>
    <s v="Returning"/>
    <x v="1"/>
    <s v="Delhi"/>
  </r>
  <r>
    <s v="B9F5R"/>
    <x v="81"/>
    <x v="1"/>
    <x v="3"/>
    <x v="3"/>
    <n v="59"/>
    <n v="657.97"/>
    <s v="New"/>
    <x v="1"/>
    <s v="Chennai"/>
  </r>
  <r>
    <s v="UCGZK"/>
    <x v="82"/>
    <x v="2"/>
    <x v="2"/>
    <x v="3"/>
    <n v="49"/>
    <n v="280.52999999999997"/>
    <s v="Returning"/>
    <x v="3"/>
    <s v="Chennai"/>
  </r>
  <r>
    <s v="8038G"/>
    <x v="83"/>
    <x v="0"/>
    <x v="1"/>
    <x v="0"/>
    <n v="61"/>
    <n v="951.35"/>
    <s v="New"/>
    <x v="3"/>
    <s v="Chennai"/>
  </r>
  <r>
    <s v="MNUS0"/>
    <x v="84"/>
    <x v="0"/>
    <x v="3"/>
    <x v="1"/>
    <n v="17"/>
    <n v="159.55000000000001"/>
    <s v="New"/>
    <x v="2"/>
    <s v="Bangalore"/>
  </r>
  <r>
    <s v="PQUZV"/>
    <x v="85"/>
    <x v="1"/>
    <x v="3"/>
    <x v="3"/>
    <n v="74"/>
    <n v="438.01"/>
    <s v="Returning"/>
    <x v="0"/>
    <s v="Chennai"/>
  </r>
  <r>
    <s v="U0ED8"/>
    <x v="86"/>
    <x v="2"/>
    <x v="3"/>
    <x v="3"/>
    <n v="57"/>
    <n v="944.18"/>
    <s v="New"/>
    <x v="2"/>
    <s v="Mumbai"/>
  </r>
  <r>
    <s v="PHA13"/>
    <x v="87"/>
    <x v="2"/>
    <x v="2"/>
    <x v="2"/>
    <n v="55"/>
    <n v="425.53"/>
    <s v="New"/>
    <x v="2"/>
    <s v="Delhi"/>
  </r>
  <r>
    <s v="Y4RR8"/>
    <x v="88"/>
    <x v="2"/>
    <x v="1"/>
    <x v="2"/>
    <n v="47"/>
    <n v="642.14"/>
    <s v="New"/>
    <x v="0"/>
    <s v="Chennai"/>
  </r>
  <r>
    <s v="WRC3I"/>
    <x v="89"/>
    <x v="1"/>
    <x v="2"/>
    <x v="2"/>
    <n v="12"/>
    <n v="403.62"/>
    <s v="Returning"/>
    <x v="2"/>
    <s v="Mumbai"/>
  </r>
  <r>
    <s v="VRR6R"/>
    <x v="3"/>
    <x v="2"/>
    <x v="3"/>
    <x v="0"/>
    <n v="62"/>
    <n v="281.47000000000003"/>
    <s v="Returning"/>
    <x v="2"/>
    <s v="Mumbai"/>
  </r>
  <r>
    <s v="LD1UG"/>
    <x v="90"/>
    <x v="0"/>
    <x v="0"/>
    <x v="1"/>
    <n v="80"/>
    <n v="984.14"/>
    <s v="New"/>
    <x v="0"/>
    <s v="Delhi"/>
  </r>
  <r>
    <s v="3M9IB"/>
    <x v="91"/>
    <x v="2"/>
    <x v="2"/>
    <x v="2"/>
    <n v="88"/>
    <n v="415.24"/>
    <s v="Returning"/>
    <x v="0"/>
    <s v="Delhi"/>
  </r>
  <r>
    <s v="PF2BY"/>
    <x v="92"/>
    <x v="0"/>
    <x v="0"/>
    <x v="1"/>
    <n v="83"/>
    <n v="895.16"/>
    <s v="New"/>
    <x v="0"/>
    <s v="Delhi"/>
  </r>
  <r>
    <s v="NENMV"/>
    <x v="93"/>
    <x v="1"/>
    <x v="2"/>
    <x v="1"/>
    <n v="8"/>
    <n v="237.66"/>
    <s v="New"/>
    <x v="3"/>
    <s v="Chennai"/>
  </r>
  <r>
    <s v="QGISB"/>
    <x v="94"/>
    <x v="1"/>
    <x v="1"/>
    <x v="3"/>
    <n v="95"/>
    <n v="220.97"/>
    <s v="Returning"/>
    <x v="1"/>
    <s v="Mumbai"/>
  </r>
  <r>
    <s v="TNCZF"/>
    <x v="40"/>
    <x v="2"/>
    <x v="1"/>
    <x v="0"/>
    <n v="21"/>
    <n v="40.82"/>
    <s v="Returning"/>
    <x v="3"/>
    <s v="Bangalore"/>
  </r>
  <r>
    <s v="889VL"/>
    <x v="95"/>
    <x v="2"/>
    <x v="3"/>
    <x v="3"/>
    <n v="81"/>
    <n v="655.15"/>
    <s v="Returning"/>
    <x v="1"/>
    <s v="Mumbai"/>
  </r>
  <r>
    <s v="DO6P4"/>
    <x v="96"/>
    <x v="1"/>
    <x v="2"/>
    <x v="0"/>
    <n v="87"/>
    <n v="374.84"/>
    <s v="New"/>
    <x v="2"/>
    <s v="Bangalore"/>
  </r>
  <r>
    <s v="VSFCY"/>
    <x v="97"/>
    <x v="0"/>
    <x v="0"/>
    <x v="2"/>
    <n v="80"/>
    <n v="865.71"/>
    <s v="Returning"/>
    <x v="3"/>
    <s v="Chennai"/>
  </r>
  <r>
    <s v="OCO0T"/>
    <x v="98"/>
    <x v="0"/>
    <x v="3"/>
    <x v="1"/>
    <n v="70"/>
    <n v="478.48"/>
    <s v="New"/>
    <x v="2"/>
    <s v="Mumbai"/>
  </r>
  <r>
    <s v="ENL1H"/>
    <x v="99"/>
    <x v="2"/>
    <x v="1"/>
    <x v="1"/>
    <n v="72"/>
    <n v="968.51"/>
    <s v="Returning"/>
    <x v="2"/>
    <s v="Delhi"/>
  </r>
  <r>
    <s v="HBJOO"/>
    <x v="100"/>
    <x v="1"/>
    <x v="1"/>
    <x v="2"/>
    <n v="25"/>
    <n v="193.67"/>
    <s v="Returning"/>
    <x v="2"/>
    <s v="Chennai"/>
  </r>
  <r>
    <s v="VLUIX"/>
    <x v="101"/>
    <x v="0"/>
    <x v="0"/>
    <x v="2"/>
    <n v="82"/>
    <n v="869.94"/>
    <s v="New"/>
    <x v="3"/>
    <s v="Chennai"/>
  </r>
  <r>
    <s v="MVCZE"/>
    <x v="5"/>
    <x v="1"/>
    <x v="2"/>
    <x v="0"/>
    <n v="89"/>
    <n v="778.83"/>
    <s v="New"/>
    <x v="3"/>
    <s v="Bangalore"/>
  </r>
  <r>
    <s v="LH0TK"/>
    <x v="67"/>
    <x v="1"/>
    <x v="3"/>
    <x v="2"/>
    <n v="12"/>
    <n v="773.21"/>
    <s v="Returning"/>
    <x v="1"/>
    <s v="Chennai"/>
  </r>
  <r>
    <s v="SJSVU"/>
    <x v="102"/>
    <x v="1"/>
    <x v="0"/>
    <x v="1"/>
    <n v="15"/>
    <n v="846.34"/>
    <s v="Returning"/>
    <x v="1"/>
    <s v="Mumbai"/>
  </r>
  <r>
    <s v="HT1K4"/>
    <x v="103"/>
    <x v="2"/>
    <x v="0"/>
    <x v="1"/>
    <n v="59"/>
    <n v="763.41"/>
    <s v="New"/>
    <x v="0"/>
    <s v="Chennai"/>
  </r>
  <r>
    <s v="RD4ZE"/>
    <x v="74"/>
    <x v="0"/>
    <x v="0"/>
    <x v="1"/>
    <n v="26"/>
    <n v="629.96"/>
    <s v="New"/>
    <x v="0"/>
    <s v="Delhi"/>
  </r>
  <r>
    <s v="PO6WR"/>
    <x v="104"/>
    <x v="2"/>
    <x v="2"/>
    <x v="0"/>
    <n v="26"/>
    <n v="139.93"/>
    <s v="New"/>
    <x v="1"/>
    <s v="Bangalore"/>
  </r>
  <r>
    <s v="T8JB1"/>
    <x v="105"/>
    <x v="0"/>
    <x v="1"/>
    <x v="2"/>
    <n v="47"/>
    <n v="42.2"/>
    <s v="New"/>
    <x v="2"/>
    <s v="Chennai"/>
  </r>
  <r>
    <s v="RJ8S7"/>
    <x v="76"/>
    <x v="1"/>
    <x v="1"/>
    <x v="2"/>
    <n v="32"/>
    <n v="921.64"/>
    <s v="New"/>
    <x v="0"/>
    <s v="Bangalore"/>
  </r>
  <r>
    <s v="NIAUI"/>
    <x v="106"/>
    <x v="2"/>
    <x v="1"/>
    <x v="3"/>
    <n v="10"/>
    <n v="620.48"/>
    <s v="Returning"/>
    <x v="3"/>
    <s v="Delhi"/>
  </r>
  <r>
    <s v="8XVDH"/>
    <x v="107"/>
    <x v="2"/>
    <x v="1"/>
    <x v="1"/>
    <n v="16"/>
    <n v="798.57"/>
    <s v="Returning"/>
    <x v="2"/>
    <s v="Delhi"/>
  </r>
  <r>
    <s v="WUCFO"/>
    <x v="108"/>
    <x v="2"/>
    <x v="2"/>
    <x v="1"/>
    <n v="71"/>
    <n v="486.71"/>
    <s v="New"/>
    <x v="2"/>
    <s v="Bangalore"/>
  </r>
  <r>
    <s v="AXTW4"/>
    <x v="109"/>
    <x v="1"/>
    <x v="2"/>
    <x v="1"/>
    <n v="17"/>
    <n v="126.14"/>
    <s v="New"/>
    <x v="2"/>
    <s v="Bangalore"/>
  </r>
  <r>
    <s v="Q6U3W"/>
    <x v="110"/>
    <x v="1"/>
    <x v="0"/>
    <x v="1"/>
    <n v="23"/>
    <n v="133.93"/>
    <s v="Returning"/>
    <x v="1"/>
    <s v="Delhi"/>
  </r>
  <r>
    <s v="K9G5J"/>
    <x v="52"/>
    <x v="2"/>
    <x v="1"/>
    <x v="0"/>
    <n v="26"/>
    <n v="688.71"/>
    <s v="Returning"/>
    <x v="1"/>
    <s v="Bangalore"/>
  </r>
  <r>
    <s v="JTWLN"/>
    <x v="111"/>
    <x v="0"/>
    <x v="3"/>
    <x v="1"/>
    <n v="85"/>
    <n v="436"/>
    <s v="New"/>
    <x v="1"/>
    <s v="Mumbai"/>
  </r>
  <r>
    <s v="X39FJ"/>
    <x v="112"/>
    <x v="1"/>
    <x v="3"/>
    <x v="3"/>
    <n v="86"/>
    <n v="208.52"/>
    <s v="New"/>
    <x v="3"/>
    <s v="Delhi"/>
  </r>
  <r>
    <s v="AONJN"/>
    <x v="113"/>
    <x v="1"/>
    <x v="1"/>
    <x v="3"/>
    <n v="7"/>
    <n v="496.68"/>
    <s v="New"/>
    <x v="1"/>
    <s v="Chennai"/>
  </r>
  <r>
    <s v="7USPY"/>
    <x v="114"/>
    <x v="2"/>
    <x v="3"/>
    <x v="0"/>
    <n v="14"/>
    <n v="73.569999999999993"/>
    <s v="New"/>
    <x v="2"/>
    <s v="Bangalore"/>
  </r>
  <r>
    <s v="TMU2Z"/>
    <x v="115"/>
    <x v="1"/>
    <x v="0"/>
    <x v="3"/>
    <n v="79"/>
    <n v="586.15"/>
    <s v="Returning"/>
    <x v="1"/>
    <s v="Delhi"/>
  </r>
  <r>
    <s v="C3DM5"/>
    <x v="116"/>
    <x v="2"/>
    <x v="0"/>
    <x v="2"/>
    <n v="7"/>
    <n v="276.3"/>
    <s v="New"/>
    <x v="0"/>
    <s v="Mumbai"/>
  </r>
  <r>
    <s v="TQD8D"/>
    <x v="117"/>
    <x v="2"/>
    <x v="0"/>
    <x v="1"/>
    <n v="9"/>
    <n v="799.58"/>
    <s v="New"/>
    <x v="3"/>
    <s v="Chennai"/>
  </r>
  <r>
    <s v="7Z9LJ"/>
    <x v="118"/>
    <x v="2"/>
    <x v="0"/>
    <x v="2"/>
    <n v="48"/>
    <n v="317.26"/>
    <s v="New"/>
    <x v="0"/>
    <s v="Mumbai"/>
  </r>
  <r>
    <s v="HT7XA"/>
    <x v="15"/>
    <x v="1"/>
    <x v="2"/>
    <x v="2"/>
    <n v="72"/>
    <n v="460.67"/>
    <s v="New"/>
    <x v="3"/>
    <s v="Chennai"/>
  </r>
  <r>
    <s v="BLJAF"/>
    <x v="119"/>
    <x v="0"/>
    <x v="0"/>
    <x v="3"/>
    <n v="59"/>
    <n v="21.5"/>
    <s v="Returning"/>
    <x v="3"/>
    <s v="Delhi"/>
  </r>
  <r>
    <s v="RB6Y4"/>
    <x v="120"/>
    <x v="1"/>
    <x v="3"/>
    <x v="2"/>
    <n v="87"/>
    <n v="81.72"/>
    <s v="Returning"/>
    <x v="0"/>
    <s v="Bangalore"/>
  </r>
  <r>
    <s v="MYDVL"/>
    <x v="121"/>
    <x v="2"/>
    <x v="2"/>
    <x v="1"/>
    <n v="93"/>
    <n v="398.57"/>
    <s v="New"/>
    <x v="2"/>
    <s v="Chennai"/>
  </r>
  <r>
    <s v="1O8C9"/>
    <x v="122"/>
    <x v="2"/>
    <x v="1"/>
    <x v="0"/>
    <n v="82"/>
    <n v="485.14"/>
    <s v="New"/>
    <x v="3"/>
    <s v="Chennai"/>
  </r>
  <r>
    <s v="KARQY"/>
    <x v="105"/>
    <x v="2"/>
    <x v="1"/>
    <x v="3"/>
    <n v="95"/>
    <n v="604.02"/>
    <s v="Returning"/>
    <x v="0"/>
    <s v="Chennai"/>
  </r>
  <r>
    <s v="R9Z5B"/>
    <x v="123"/>
    <x v="0"/>
    <x v="0"/>
    <x v="1"/>
    <n v="94"/>
    <n v="298.75"/>
    <s v="New"/>
    <x v="2"/>
    <s v="Chennai"/>
  </r>
  <r>
    <s v="OOABI"/>
    <x v="124"/>
    <x v="2"/>
    <x v="3"/>
    <x v="1"/>
    <n v="39"/>
    <n v="698.03"/>
    <s v="Returning"/>
    <x v="0"/>
    <s v="Delhi"/>
  </r>
  <r>
    <s v="5UQ6J"/>
    <x v="125"/>
    <x v="0"/>
    <x v="0"/>
    <x v="2"/>
    <n v="99"/>
    <n v="861.52"/>
    <s v="New"/>
    <x v="1"/>
    <s v="Delhi"/>
  </r>
  <r>
    <s v="UA2W3"/>
    <x v="126"/>
    <x v="2"/>
    <x v="0"/>
    <x v="0"/>
    <n v="18"/>
    <n v="782.05"/>
    <s v="Returning"/>
    <x v="3"/>
    <s v="Chennai"/>
  </r>
  <r>
    <s v="125CK"/>
    <x v="127"/>
    <x v="0"/>
    <x v="0"/>
    <x v="3"/>
    <n v="59"/>
    <n v="49.22"/>
    <s v="Returning"/>
    <x v="2"/>
    <s v="Mumbai"/>
  </r>
  <r>
    <s v="SUYYM"/>
    <x v="128"/>
    <x v="1"/>
    <x v="2"/>
    <x v="3"/>
    <n v="17"/>
    <n v="485.7"/>
    <s v="Returning"/>
    <x v="2"/>
    <s v="Delhi"/>
  </r>
  <r>
    <s v="PSA18"/>
    <x v="129"/>
    <x v="1"/>
    <x v="3"/>
    <x v="2"/>
    <n v="14"/>
    <n v="113.88"/>
    <s v="Returning"/>
    <x v="1"/>
    <s v="Chennai"/>
  </r>
  <r>
    <s v="1HW3R"/>
    <x v="130"/>
    <x v="0"/>
    <x v="0"/>
    <x v="1"/>
    <n v="31"/>
    <n v="249.62"/>
    <s v="Returning"/>
    <x v="2"/>
    <s v="Mumbai"/>
  </r>
  <r>
    <s v="VNZIM"/>
    <x v="78"/>
    <x v="2"/>
    <x v="3"/>
    <x v="0"/>
    <n v="24"/>
    <n v="986.8"/>
    <s v="New"/>
    <x v="1"/>
    <s v="Chennai"/>
  </r>
  <r>
    <s v="IDEKG"/>
    <x v="21"/>
    <x v="1"/>
    <x v="3"/>
    <x v="0"/>
    <n v="99"/>
    <n v="151.07"/>
    <s v="New"/>
    <x v="3"/>
    <s v="Bangalore"/>
  </r>
  <r>
    <s v="T6TMK"/>
    <x v="131"/>
    <x v="1"/>
    <x v="1"/>
    <x v="1"/>
    <n v="60"/>
    <n v="503.9"/>
    <s v="New"/>
    <x v="2"/>
    <s v="Delhi"/>
  </r>
  <r>
    <s v="NUS2W"/>
    <x v="132"/>
    <x v="1"/>
    <x v="0"/>
    <x v="2"/>
    <n v="45"/>
    <n v="621.97"/>
    <s v="New"/>
    <x v="2"/>
    <s v="Mumbai"/>
  </r>
  <r>
    <s v="Q60QG"/>
    <x v="133"/>
    <x v="0"/>
    <x v="2"/>
    <x v="0"/>
    <n v="98"/>
    <n v="705.44"/>
    <s v="Returning"/>
    <x v="2"/>
    <s v="Bangalore"/>
  </r>
  <r>
    <s v="2YOLZ"/>
    <x v="134"/>
    <x v="0"/>
    <x v="0"/>
    <x v="1"/>
    <n v="3"/>
    <n v="564.04999999999995"/>
    <s v="New"/>
    <x v="0"/>
    <s v="Bangalore"/>
  </r>
  <r>
    <s v="4I4E3"/>
    <x v="135"/>
    <x v="0"/>
    <x v="2"/>
    <x v="2"/>
    <n v="37"/>
    <n v="19.670000000000002"/>
    <s v="New"/>
    <x v="2"/>
    <s v="Chennai"/>
  </r>
  <r>
    <s v="TJSLF"/>
    <x v="15"/>
    <x v="0"/>
    <x v="0"/>
    <x v="3"/>
    <n v="43"/>
    <n v="333.2"/>
    <s v="Returning"/>
    <x v="2"/>
    <s v="Delhi"/>
  </r>
  <r>
    <s v="4PM9S"/>
    <x v="136"/>
    <x v="1"/>
    <x v="0"/>
    <x v="1"/>
    <n v="40"/>
    <n v="522.53"/>
    <s v="New"/>
    <x v="3"/>
    <s v="Bangalore"/>
  </r>
  <r>
    <s v="L4X6Q"/>
    <x v="137"/>
    <x v="2"/>
    <x v="0"/>
    <x v="0"/>
    <n v="90"/>
    <n v="96.99"/>
    <s v="New"/>
    <x v="2"/>
    <s v="Delhi"/>
  </r>
  <r>
    <s v="HIPQ5"/>
    <x v="138"/>
    <x v="0"/>
    <x v="2"/>
    <x v="2"/>
    <n v="55"/>
    <n v="357.12"/>
    <s v="New"/>
    <x v="1"/>
    <s v="Delhi"/>
  </r>
  <r>
    <s v="TT556"/>
    <x v="139"/>
    <x v="0"/>
    <x v="0"/>
    <x v="0"/>
    <n v="87"/>
    <n v="42.87"/>
    <s v="Returning"/>
    <x v="3"/>
    <s v="Bangalore"/>
  </r>
  <r>
    <s v="SNPRQ"/>
    <x v="140"/>
    <x v="1"/>
    <x v="2"/>
    <x v="1"/>
    <n v="39"/>
    <n v="87.79"/>
    <s v="New"/>
    <x v="1"/>
    <s v="Mumbai"/>
  </r>
  <r>
    <s v="4WJU1"/>
    <x v="141"/>
    <x v="1"/>
    <x v="2"/>
    <x v="2"/>
    <n v="15"/>
    <n v="402.95"/>
    <s v="New"/>
    <x v="1"/>
    <s v="Mumbai"/>
  </r>
  <r>
    <s v="R3CDZ"/>
    <x v="142"/>
    <x v="1"/>
    <x v="1"/>
    <x v="2"/>
    <n v="4"/>
    <n v="141.38999999999999"/>
    <s v="Returning"/>
    <x v="0"/>
    <s v="Delhi"/>
  </r>
  <r>
    <s v="DX7BA"/>
    <x v="143"/>
    <x v="2"/>
    <x v="3"/>
    <x v="1"/>
    <n v="93"/>
    <n v="571.87"/>
    <s v="New"/>
    <x v="1"/>
    <s v="Delhi"/>
  </r>
  <r>
    <s v="4UL5N"/>
    <x v="144"/>
    <x v="0"/>
    <x v="0"/>
    <x v="1"/>
    <n v="86"/>
    <n v="692.57"/>
    <s v="New"/>
    <x v="2"/>
    <s v="Bangalore"/>
  </r>
  <r>
    <s v="DGTPV"/>
    <x v="17"/>
    <x v="2"/>
    <x v="1"/>
    <x v="1"/>
    <n v="25"/>
    <n v="802.58"/>
    <s v="New"/>
    <x v="3"/>
    <s v="Delhi"/>
  </r>
  <r>
    <s v="37JMT"/>
    <x v="145"/>
    <x v="0"/>
    <x v="0"/>
    <x v="3"/>
    <n v="13"/>
    <n v="208.15"/>
    <s v="New"/>
    <x v="2"/>
    <s v="Mumbai"/>
  </r>
  <r>
    <s v="MQ9Z9"/>
    <x v="146"/>
    <x v="1"/>
    <x v="2"/>
    <x v="1"/>
    <n v="82"/>
    <n v="175.81"/>
    <s v="Returning"/>
    <x v="0"/>
    <s v="Mumbai"/>
  </r>
  <r>
    <s v="HSAPA"/>
    <x v="34"/>
    <x v="2"/>
    <x v="3"/>
    <x v="0"/>
    <n v="33"/>
    <n v="113.52"/>
    <s v="New"/>
    <x v="1"/>
    <s v="Delhi"/>
  </r>
  <r>
    <s v="5GGOU"/>
    <x v="147"/>
    <x v="2"/>
    <x v="3"/>
    <x v="0"/>
    <n v="16"/>
    <n v="640.07000000000005"/>
    <s v="New"/>
    <x v="2"/>
    <s v="Mumbai"/>
  </r>
  <r>
    <s v="3DBL6"/>
    <x v="148"/>
    <x v="1"/>
    <x v="3"/>
    <x v="1"/>
    <n v="42"/>
    <n v="709.41"/>
    <s v="New"/>
    <x v="2"/>
    <s v="Bangalore"/>
  </r>
  <r>
    <s v="OS8ML"/>
    <x v="149"/>
    <x v="1"/>
    <x v="3"/>
    <x v="2"/>
    <n v="66"/>
    <n v="41.27"/>
    <s v="New"/>
    <x v="2"/>
    <s v="Delhi"/>
  </r>
  <r>
    <s v="WJGCO"/>
    <x v="150"/>
    <x v="0"/>
    <x v="2"/>
    <x v="2"/>
    <n v="55"/>
    <n v="936.85"/>
    <s v="Returning"/>
    <x v="1"/>
    <s v="Mumbai"/>
  </r>
  <r>
    <s v="YZ4OA"/>
    <x v="26"/>
    <x v="2"/>
    <x v="2"/>
    <x v="1"/>
    <n v="99"/>
    <n v="61.45"/>
    <s v="Returning"/>
    <x v="2"/>
    <s v="Bangalore"/>
  </r>
  <r>
    <s v="2B03K"/>
    <x v="151"/>
    <x v="2"/>
    <x v="0"/>
    <x v="3"/>
    <n v="42"/>
    <n v="545.88"/>
    <s v="New"/>
    <x v="3"/>
    <s v="Chennai"/>
  </r>
  <r>
    <s v="PGIB6"/>
    <x v="152"/>
    <x v="1"/>
    <x v="0"/>
    <x v="0"/>
    <n v="34"/>
    <n v="711.97"/>
    <s v="Returning"/>
    <x v="3"/>
    <s v="Bangalore"/>
  </r>
  <r>
    <s v="FSJ24"/>
    <x v="153"/>
    <x v="2"/>
    <x v="2"/>
    <x v="0"/>
    <n v="30"/>
    <n v="872.26"/>
    <s v="New"/>
    <x v="0"/>
    <s v="Delhi"/>
  </r>
  <r>
    <s v="B78FH"/>
    <x v="122"/>
    <x v="1"/>
    <x v="2"/>
    <x v="1"/>
    <n v="13"/>
    <n v="716.95"/>
    <s v="Returning"/>
    <x v="1"/>
    <s v="Bangalore"/>
  </r>
  <r>
    <s v="T2LQV"/>
    <x v="154"/>
    <x v="1"/>
    <x v="0"/>
    <x v="1"/>
    <n v="13"/>
    <n v="803.71"/>
    <s v="Returning"/>
    <x v="3"/>
    <s v="Chennai"/>
  </r>
  <r>
    <s v="0N40Z"/>
    <x v="155"/>
    <x v="2"/>
    <x v="1"/>
    <x v="0"/>
    <n v="18"/>
    <n v="346.06"/>
    <s v="New"/>
    <x v="2"/>
    <s v="Bangalore"/>
  </r>
  <r>
    <s v="TDRIQ"/>
    <x v="156"/>
    <x v="2"/>
    <x v="3"/>
    <x v="1"/>
    <n v="32"/>
    <n v="816.68"/>
    <s v="Returning"/>
    <x v="0"/>
    <s v="Mumbai"/>
  </r>
  <r>
    <s v="CM4OY"/>
    <x v="157"/>
    <x v="1"/>
    <x v="0"/>
    <x v="0"/>
    <n v="96"/>
    <n v="89.31"/>
    <s v="New"/>
    <x v="0"/>
    <s v="Mumbai"/>
  </r>
  <r>
    <s v="O2VX5"/>
    <x v="158"/>
    <x v="0"/>
    <x v="3"/>
    <x v="0"/>
    <n v="99"/>
    <n v="895.87"/>
    <s v="Returning"/>
    <x v="3"/>
    <s v="Bangalore"/>
  </r>
  <r>
    <s v="K6A18"/>
    <x v="159"/>
    <x v="2"/>
    <x v="3"/>
    <x v="3"/>
    <n v="39"/>
    <n v="552.12"/>
    <s v="New"/>
    <x v="3"/>
    <s v="Bangalore"/>
  </r>
  <r>
    <s v="LIX4R"/>
    <x v="160"/>
    <x v="2"/>
    <x v="3"/>
    <x v="3"/>
    <n v="46"/>
    <n v="819.12"/>
    <s v="New"/>
    <x v="3"/>
    <s v="Mumbai"/>
  </r>
  <r>
    <s v="FZ5GD"/>
    <x v="137"/>
    <x v="1"/>
    <x v="0"/>
    <x v="1"/>
    <n v="29"/>
    <n v="457.8"/>
    <s v="Returning"/>
    <x v="2"/>
    <s v="Delhi"/>
  </r>
  <r>
    <s v="RJ67X"/>
    <x v="161"/>
    <x v="1"/>
    <x v="3"/>
    <x v="3"/>
    <n v="62"/>
    <n v="647.14"/>
    <s v="New"/>
    <x v="2"/>
    <s v="Delhi"/>
  </r>
  <r>
    <s v="ZJQOP"/>
    <x v="162"/>
    <x v="1"/>
    <x v="1"/>
    <x v="0"/>
    <n v="93"/>
    <n v="531.14"/>
    <s v="New"/>
    <x v="1"/>
    <s v="Chennai"/>
  </r>
  <r>
    <s v="N5VZ3"/>
    <x v="163"/>
    <x v="0"/>
    <x v="1"/>
    <x v="2"/>
    <n v="62"/>
    <n v="734.27"/>
    <s v="Returning"/>
    <x v="0"/>
    <s v="Bangalore"/>
  </r>
  <r>
    <s v="N4PB5"/>
    <x v="164"/>
    <x v="0"/>
    <x v="0"/>
    <x v="2"/>
    <n v="57"/>
    <n v="90.81"/>
    <s v="New"/>
    <x v="1"/>
    <s v="Bangalore"/>
  </r>
  <r>
    <s v="7Z1DN"/>
    <x v="165"/>
    <x v="0"/>
    <x v="2"/>
    <x v="3"/>
    <n v="16"/>
    <n v="69.75"/>
    <s v="New"/>
    <x v="2"/>
    <s v="Mumbai"/>
  </r>
  <r>
    <s v="2PBXB"/>
    <x v="166"/>
    <x v="2"/>
    <x v="3"/>
    <x v="3"/>
    <n v="56"/>
    <n v="254.63"/>
    <s v="Returning"/>
    <x v="0"/>
    <s v="Bangalore"/>
  </r>
  <r>
    <s v="RSFB3"/>
    <x v="167"/>
    <x v="2"/>
    <x v="2"/>
    <x v="0"/>
    <n v="10"/>
    <n v="167.95"/>
    <s v="New"/>
    <x v="3"/>
    <s v="Chennai"/>
  </r>
  <r>
    <s v="W0V45"/>
    <x v="115"/>
    <x v="2"/>
    <x v="3"/>
    <x v="2"/>
    <n v="30"/>
    <n v="873.07"/>
    <s v="New"/>
    <x v="0"/>
    <s v="Mumbai"/>
  </r>
  <r>
    <s v="HR0D5"/>
    <x v="23"/>
    <x v="1"/>
    <x v="2"/>
    <x v="0"/>
    <n v="25"/>
    <n v="227.02"/>
    <s v="Returning"/>
    <x v="0"/>
    <s v="Mumbai"/>
  </r>
  <r>
    <s v="XJTYI"/>
    <x v="168"/>
    <x v="0"/>
    <x v="0"/>
    <x v="2"/>
    <n v="84"/>
    <n v="976.11"/>
    <s v="New"/>
    <x v="0"/>
    <s v="Bangalore"/>
  </r>
  <r>
    <s v="F825D"/>
    <x v="169"/>
    <x v="2"/>
    <x v="0"/>
    <x v="3"/>
    <n v="5"/>
    <n v="343.53"/>
    <s v="Returning"/>
    <x v="1"/>
    <s v="Bangalore"/>
  </r>
  <r>
    <s v="7UWY3"/>
    <x v="169"/>
    <x v="0"/>
    <x v="2"/>
    <x v="1"/>
    <n v="65"/>
    <n v="190.3"/>
    <s v="New"/>
    <x v="1"/>
    <s v="Delhi"/>
  </r>
  <r>
    <s v="BINZY"/>
    <x v="170"/>
    <x v="0"/>
    <x v="2"/>
    <x v="2"/>
    <n v="94"/>
    <n v="791.8"/>
    <s v="Returning"/>
    <x v="0"/>
    <s v="Mumbai"/>
  </r>
  <r>
    <s v="HER3A"/>
    <x v="171"/>
    <x v="1"/>
    <x v="2"/>
    <x v="1"/>
    <n v="49"/>
    <n v="662.12"/>
    <s v="New"/>
    <x v="1"/>
    <s v="Delhi"/>
  </r>
  <r>
    <s v="MXDQX"/>
    <x v="172"/>
    <x v="0"/>
    <x v="1"/>
    <x v="2"/>
    <n v="3"/>
    <n v="503.21"/>
    <s v="Returning"/>
    <x v="0"/>
    <s v="Mumbai"/>
  </r>
  <r>
    <s v="N1L98"/>
    <x v="173"/>
    <x v="0"/>
    <x v="0"/>
    <x v="0"/>
    <n v="45"/>
    <n v="559.80999999999995"/>
    <s v="New"/>
    <x v="2"/>
    <s v="Delhi"/>
  </r>
  <r>
    <s v="E2MPX"/>
    <x v="174"/>
    <x v="1"/>
    <x v="0"/>
    <x v="3"/>
    <n v="14"/>
    <n v="722.01"/>
    <s v="New"/>
    <x v="1"/>
    <s v="Bangalore"/>
  </r>
  <r>
    <s v="N9WXR"/>
    <x v="175"/>
    <x v="1"/>
    <x v="2"/>
    <x v="1"/>
    <n v="30"/>
    <n v="236.17"/>
    <s v="Returning"/>
    <x v="0"/>
    <s v="Chennai"/>
  </r>
  <r>
    <s v="PC156"/>
    <x v="176"/>
    <x v="1"/>
    <x v="1"/>
    <x v="0"/>
    <n v="68"/>
    <n v="996.37"/>
    <s v="Returning"/>
    <x v="0"/>
    <s v="Bangalore"/>
  </r>
  <r>
    <s v="O40M1"/>
    <x v="177"/>
    <x v="1"/>
    <x v="3"/>
    <x v="3"/>
    <n v="18"/>
    <n v="975.05"/>
    <s v="Returning"/>
    <x v="0"/>
    <s v="Bangalore"/>
  </r>
  <r>
    <s v="OECY2"/>
    <x v="150"/>
    <x v="2"/>
    <x v="1"/>
    <x v="1"/>
    <n v="62"/>
    <n v="653.82000000000005"/>
    <s v="Returning"/>
    <x v="1"/>
    <s v="Delhi"/>
  </r>
  <r>
    <s v="G1B8X"/>
    <x v="178"/>
    <x v="1"/>
    <x v="1"/>
    <x v="1"/>
    <n v="37"/>
    <n v="207.55"/>
    <s v="New"/>
    <x v="0"/>
    <s v="Delhi"/>
  </r>
  <r>
    <s v="CVKJW"/>
    <x v="179"/>
    <x v="1"/>
    <x v="2"/>
    <x v="0"/>
    <n v="25"/>
    <n v="683.43"/>
    <s v="New"/>
    <x v="1"/>
    <s v="Bangalore"/>
  </r>
  <r>
    <s v="1SUCG"/>
    <x v="180"/>
    <x v="2"/>
    <x v="0"/>
    <x v="0"/>
    <n v="48"/>
    <n v="81.48"/>
    <s v="Returning"/>
    <x v="0"/>
    <s v="Delhi"/>
  </r>
  <r>
    <s v="MRYHZ"/>
    <x v="181"/>
    <x v="1"/>
    <x v="2"/>
    <x v="1"/>
    <n v="65"/>
    <n v="40.35"/>
    <s v="New"/>
    <x v="3"/>
    <s v="Bangalore"/>
  </r>
  <r>
    <s v="C6GPY"/>
    <x v="173"/>
    <x v="2"/>
    <x v="0"/>
    <x v="1"/>
    <n v="53"/>
    <n v="265.11"/>
    <s v="New"/>
    <x v="3"/>
    <s v="Delhi"/>
  </r>
  <r>
    <s v="XIT3X"/>
    <x v="27"/>
    <x v="2"/>
    <x v="1"/>
    <x v="1"/>
    <n v="79"/>
    <n v="468"/>
    <s v="Returning"/>
    <x v="0"/>
    <s v="Mumbai"/>
  </r>
  <r>
    <s v="8E1GO"/>
    <x v="182"/>
    <x v="0"/>
    <x v="0"/>
    <x v="2"/>
    <n v="73"/>
    <n v="869.59"/>
    <s v="Returning"/>
    <x v="1"/>
    <s v="Chennai"/>
  </r>
  <r>
    <s v="VXMLL"/>
    <x v="183"/>
    <x v="1"/>
    <x v="0"/>
    <x v="3"/>
    <n v="15"/>
    <n v="729.9"/>
    <s v="Returning"/>
    <x v="2"/>
    <s v="Bangalore"/>
  </r>
  <r>
    <s v="RL1UR"/>
    <x v="184"/>
    <x v="2"/>
    <x v="2"/>
    <x v="1"/>
    <n v="49"/>
    <n v="745.28"/>
    <s v="New"/>
    <x v="0"/>
    <s v="Bangalore"/>
  </r>
  <r>
    <s v="1C7IC"/>
    <x v="185"/>
    <x v="0"/>
    <x v="3"/>
    <x v="0"/>
    <n v="88"/>
    <n v="431.24"/>
    <s v="Returning"/>
    <x v="1"/>
    <s v="Chennai"/>
  </r>
  <r>
    <s v="3RL8P"/>
    <x v="186"/>
    <x v="0"/>
    <x v="1"/>
    <x v="0"/>
    <n v="68"/>
    <n v="352.48"/>
    <s v="New"/>
    <x v="0"/>
    <s v="Mumbai"/>
  </r>
  <r>
    <s v="XPJVO"/>
    <x v="170"/>
    <x v="2"/>
    <x v="1"/>
    <x v="3"/>
    <n v="12"/>
    <n v="377.33"/>
    <s v="Returning"/>
    <x v="0"/>
    <s v="Chennai"/>
  </r>
  <r>
    <s v="U2YEQ"/>
    <x v="187"/>
    <x v="1"/>
    <x v="1"/>
    <x v="1"/>
    <n v="59"/>
    <n v="987.77"/>
    <s v="Returning"/>
    <x v="3"/>
    <s v="Chennai"/>
  </r>
  <r>
    <s v="D4LB5"/>
    <x v="188"/>
    <x v="0"/>
    <x v="3"/>
    <x v="0"/>
    <n v="37"/>
    <n v="49.71"/>
    <s v="Returning"/>
    <x v="1"/>
    <s v="Delhi"/>
  </r>
  <r>
    <s v="Q8N36"/>
    <x v="182"/>
    <x v="0"/>
    <x v="0"/>
    <x v="2"/>
    <n v="61"/>
    <n v="868.36"/>
    <s v="Returning"/>
    <x v="2"/>
    <s v="Chennai"/>
  </r>
  <r>
    <s v="JGNXU"/>
    <x v="189"/>
    <x v="0"/>
    <x v="0"/>
    <x v="2"/>
    <n v="43"/>
    <n v="582.89"/>
    <s v="New"/>
    <x v="2"/>
    <s v="Bangalore"/>
  </r>
  <r>
    <s v="43LSD"/>
    <x v="190"/>
    <x v="0"/>
    <x v="0"/>
    <x v="2"/>
    <n v="70"/>
    <n v="444.23"/>
    <s v="New"/>
    <x v="0"/>
    <s v="Mumbai"/>
  </r>
  <r>
    <s v="Z760B"/>
    <x v="191"/>
    <x v="0"/>
    <x v="2"/>
    <x v="0"/>
    <n v="39"/>
    <n v="728.01"/>
    <s v="New"/>
    <x v="3"/>
    <s v="Chennai"/>
  </r>
  <r>
    <s v="8BFUR"/>
    <x v="192"/>
    <x v="0"/>
    <x v="3"/>
    <x v="2"/>
    <n v="56"/>
    <n v="491.8"/>
    <s v="New"/>
    <x v="0"/>
    <s v="Mumbai"/>
  </r>
  <r>
    <s v="VYXC7"/>
    <x v="193"/>
    <x v="2"/>
    <x v="0"/>
    <x v="2"/>
    <n v="63"/>
    <n v="874.69"/>
    <s v="New"/>
    <x v="3"/>
    <s v="Chennai"/>
  </r>
  <r>
    <s v="CNGP4"/>
    <x v="194"/>
    <x v="1"/>
    <x v="0"/>
    <x v="0"/>
    <n v="46"/>
    <n v="901.69"/>
    <s v="New"/>
    <x v="1"/>
    <s v="Delhi"/>
  </r>
  <r>
    <s v="155IX"/>
    <x v="195"/>
    <x v="2"/>
    <x v="1"/>
    <x v="0"/>
    <n v="88"/>
    <n v="427.5"/>
    <s v="New"/>
    <x v="2"/>
    <s v="Chennai"/>
  </r>
  <r>
    <s v="NEQFC"/>
    <x v="196"/>
    <x v="0"/>
    <x v="3"/>
    <x v="3"/>
    <n v="11"/>
    <n v="284.06"/>
    <s v="Returning"/>
    <x v="3"/>
    <s v="Chennai"/>
  </r>
  <r>
    <s v="9ZWVB"/>
    <x v="197"/>
    <x v="0"/>
    <x v="2"/>
    <x v="2"/>
    <n v="62"/>
    <n v="596.42999999999995"/>
    <s v="Returning"/>
    <x v="1"/>
    <s v="Delhi"/>
  </r>
  <r>
    <s v="OTQ1O"/>
    <x v="198"/>
    <x v="2"/>
    <x v="3"/>
    <x v="3"/>
    <n v="77"/>
    <n v="913.24"/>
    <s v="Returning"/>
    <x v="0"/>
    <s v="Delhi"/>
  </r>
  <r>
    <s v="IM03F"/>
    <x v="199"/>
    <x v="2"/>
    <x v="3"/>
    <x v="2"/>
    <n v="98"/>
    <n v="218.56"/>
    <s v="New"/>
    <x v="1"/>
    <s v="Chennai"/>
  </r>
  <r>
    <s v="79YO4"/>
    <x v="200"/>
    <x v="0"/>
    <x v="2"/>
    <x v="3"/>
    <n v="25"/>
    <n v="626.74"/>
    <s v="New"/>
    <x v="1"/>
    <s v="Delhi"/>
  </r>
  <r>
    <s v="8RPOY"/>
    <x v="201"/>
    <x v="0"/>
    <x v="1"/>
    <x v="3"/>
    <n v="71"/>
    <n v="635.24"/>
    <s v="New"/>
    <x v="3"/>
    <s v="Chennai"/>
  </r>
  <r>
    <s v="WX9I4"/>
    <x v="202"/>
    <x v="2"/>
    <x v="0"/>
    <x v="1"/>
    <n v="52"/>
    <n v="735.78"/>
    <s v="Returning"/>
    <x v="0"/>
    <s v="Delhi"/>
  </r>
  <r>
    <s v="LCUGN"/>
    <x v="203"/>
    <x v="0"/>
    <x v="2"/>
    <x v="1"/>
    <n v="4"/>
    <n v="140.25"/>
    <s v="New"/>
    <x v="1"/>
    <s v="Delhi"/>
  </r>
  <r>
    <s v="GV8Z6"/>
    <x v="170"/>
    <x v="1"/>
    <x v="0"/>
    <x v="2"/>
    <n v="59"/>
    <n v="718.67"/>
    <s v="Returning"/>
    <x v="2"/>
    <s v="Bangalore"/>
  </r>
  <r>
    <s v="A4PAH"/>
    <x v="204"/>
    <x v="1"/>
    <x v="3"/>
    <x v="3"/>
    <n v="72"/>
    <n v="909.94"/>
    <s v="New"/>
    <x v="2"/>
    <s v="Chennai"/>
  </r>
  <r>
    <s v="M5PRL"/>
    <x v="205"/>
    <x v="1"/>
    <x v="2"/>
    <x v="2"/>
    <n v="20"/>
    <n v="187.89"/>
    <s v="New"/>
    <x v="1"/>
    <s v="Chennai"/>
  </r>
  <r>
    <s v="RCR1Z"/>
    <x v="206"/>
    <x v="2"/>
    <x v="0"/>
    <x v="2"/>
    <n v="93"/>
    <n v="245.17"/>
    <s v="New"/>
    <x v="2"/>
    <s v="Chennai"/>
  </r>
  <r>
    <s v="DWKOF"/>
    <x v="207"/>
    <x v="1"/>
    <x v="1"/>
    <x v="0"/>
    <n v="63"/>
    <n v="971.68"/>
    <s v="New"/>
    <x v="2"/>
    <s v="Delhi"/>
  </r>
  <r>
    <s v="JIE5V"/>
    <x v="197"/>
    <x v="1"/>
    <x v="1"/>
    <x v="3"/>
    <n v="54"/>
    <n v="189.17"/>
    <s v="Returning"/>
    <x v="0"/>
    <s v="Bangalore"/>
  </r>
  <r>
    <s v="SCHXR"/>
    <x v="154"/>
    <x v="2"/>
    <x v="1"/>
    <x v="2"/>
    <n v="74"/>
    <n v="855.84"/>
    <s v="New"/>
    <x v="1"/>
    <s v="Chennai"/>
  </r>
  <r>
    <s v="TLT1Y"/>
    <x v="208"/>
    <x v="0"/>
    <x v="1"/>
    <x v="3"/>
    <n v="98"/>
    <n v="497.36"/>
    <s v="New"/>
    <x v="2"/>
    <s v="Delhi"/>
  </r>
  <r>
    <s v="JJHNO"/>
    <x v="209"/>
    <x v="2"/>
    <x v="2"/>
    <x v="3"/>
    <n v="57"/>
    <n v="254.76"/>
    <s v="New"/>
    <x v="1"/>
    <s v="Delhi"/>
  </r>
  <r>
    <s v="73NVV"/>
    <x v="210"/>
    <x v="0"/>
    <x v="3"/>
    <x v="0"/>
    <n v="90"/>
    <n v="872.04"/>
    <s v="Returning"/>
    <x v="1"/>
    <s v="Bangalore"/>
  </r>
  <r>
    <s v="337H7"/>
    <x v="112"/>
    <x v="0"/>
    <x v="3"/>
    <x v="0"/>
    <n v="41"/>
    <n v="450.85"/>
    <s v="Returning"/>
    <x v="0"/>
    <s v="Delhi"/>
  </r>
  <r>
    <s v="KT2RD"/>
    <x v="211"/>
    <x v="1"/>
    <x v="1"/>
    <x v="0"/>
    <n v="3"/>
    <n v="519.66999999999996"/>
    <s v="New"/>
    <x v="1"/>
    <s v="Mumbai"/>
  </r>
  <r>
    <s v="3AC52"/>
    <x v="27"/>
    <x v="2"/>
    <x v="1"/>
    <x v="0"/>
    <n v="6"/>
    <n v="365.64"/>
    <s v="Returning"/>
    <x v="3"/>
    <s v="Mumbai"/>
  </r>
  <r>
    <s v="UCQVR"/>
    <x v="212"/>
    <x v="2"/>
    <x v="2"/>
    <x v="1"/>
    <n v="5"/>
    <n v="597.02"/>
    <s v="New"/>
    <x v="3"/>
    <s v="Bangalore"/>
  </r>
  <r>
    <s v="R73PK"/>
    <x v="139"/>
    <x v="2"/>
    <x v="1"/>
    <x v="0"/>
    <n v="5"/>
    <n v="171.89"/>
    <s v="Returning"/>
    <x v="0"/>
    <s v="Delhi"/>
  </r>
  <r>
    <s v="1B1DZ"/>
    <x v="213"/>
    <x v="0"/>
    <x v="0"/>
    <x v="2"/>
    <n v="54"/>
    <n v="397.17"/>
    <s v="New"/>
    <x v="3"/>
    <s v="Mumbai"/>
  </r>
  <r>
    <s v="JN7XU"/>
    <x v="214"/>
    <x v="1"/>
    <x v="2"/>
    <x v="0"/>
    <n v="47"/>
    <n v="969.72"/>
    <s v="New"/>
    <x v="1"/>
    <s v="Bangalore"/>
  </r>
  <r>
    <s v="1L8C5"/>
    <x v="215"/>
    <x v="0"/>
    <x v="0"/>
    <x v="0"/>
    <n v="87"/>
    <n v="265.55"/>
    <s v="New"/>
    <x v="0"/>
    <s v="Delhi"/>
  </r>
  <r>
    <s v="X6GRC"/>
    <x v="216"/>
    <x v="0"/>
    <x v="2"/>
    <x v="2"/>
    <n v="49"/>
    <n v="660.17"/>
    <s v="New"/>
    <x v="3"/>
    <s v="Bangalore"/>
  </r>
  <r>
    <s v="59W1S"/>
    <x v="13"/>
    <x v="1"/>
    <x v="3"/>
    <x v="0"/>
    <n v="9"/>
    <n v="331.94"/>
    <s v="Returning"/>
    <x v="2"/>
    <s v="Mumbai"/>
  </r>
  <r>
    <s v="4SM21"/>
    <x v="217"/>
    <x v="0"/>
    <x v="2"/>
    <x v="3"/>
    <n v="99"/>
    <n v="775.74"/>
    <s v="New"/>
    <x v="2"/>
    <s v="Bangalore"/>
  </r>
  <r>
    <s v="69GR1"/>
    <x v="169"/>
    <x v="2"/>
    <x v="2"/>
    <x v="1"/>
    <n v="20"/>
    <n v="139.56"/>
    <s v="New"/>
    <x v="1"/>
    <s v="Chennai"/>
  </r>
  <r>
    <s v="XIR9C"/>
    <x v="218"/>
    <x v="2"/>
    <x v="1"/>
    <x v="1"/>
    <n v="61"/>
    <n v="970.12"/>
    <s v="New"/>
    <x v="1"/>
    <s v="Chennai"/>
  </r>
  <r>
    <s v="SA77Q"/>
    <x v="219"/>
    <x v="0"/>
    <x v="1"/>
    <x v="1"/>
    <n v="35"/>
    <n v="459.25"/>
    <s v="New"/>
    <x v="3"/>
    <s v="Delhi"/>
  </r>
  <r>
    <s v="JD52Q"/>
    <x v="220"/>
    <x v="0"/>
    <x v="1"/>
    <x v="3"/>
    <n v="50"/>
    <n v="243.69"/>
    <s v="New"/>
    <x v="2"/>
    <s v="Bangalore"/>
  </r>
  <r>
    <s v="G18VX"/>
    <x v="64"/>
    <x v="0"/>
    <x v="2"/>
    <x v="2"/>
    <n v="82"/>
    <n v="82.76"/>
    <s v="New"/>
    <x v="1"/>
    <s v="Bangalore"/>
  </r>
  <r>
    <s v="69O19"/>
    <x v="105"/>
    <x v="2"/>
    <x v="3"/>
    <x v="0"/>
    <n v="62"/>
    <n v="178.06"/>
    <s v="New"/>
    <x v="3"/>
    <s v="Bangalore"/>
  </r>
  <r>
    <s v="NE8RJ"/>
    <x v="221"/>
    <x v="2"/>
    <x v="3"/>
    <x v="1"/>
    <n v="17"/>
    <n v="524.58000000000004"/>
    <s v="New"/>
    <x v="1"/>
    <s v="Bangalore"/>
  </r>
  <r>
    <s v="43R4N"/>
    <x v="24"/>
    <x v="0"/>
    <x v="1"/>
    <x v="2"/>
    <n v="88"/>
    <n v="343.63"/>
    <s v="New"/>
    <x v="2"/>
    <s v="Delhi"/>
  </r>
  <r>
    <s v="WQ9BS"/>
    <x v="222"/>
    <x v="1"/>
    <x v="0"/>
    <x v="2"/>
    <n v="3"/>
    <n v="830.59"/>
    <s v="New"/>
    <x v="1"/>
    <s v="Bangalore"/>
  </r>
  <r>
    <s v="7M0UN"/>
    <x v="223"/>
    <x v="2"/>
    <x v="0"/>
    <x v="1"/>
    <n v="32"/>
    <n v="436.58"/>
    <s v="Returning"/>
    <x v="1"/>
    <s v="Mumbai"/>
  </r>
  <r>
    <s v="NP513"/>
    <x v="224"/>
    <x v="2"/>
    <x v="0"/>
    <x v="3"/>
    <n v="99"/>
    <n v="256.23"/>
    <s v="New"/>
    <x v="0"/>
    <s v="Delhi"/>
  </r>
  <r>
    <s v="73JBK"/>
    <x v="225"/>
    <x v="1"/>
    <x v="1"/>
    <x v="0"/>
    <n v="13"/>
    <n v="620.97"/>
    <s v="Returning"/>
    <x v="2"/>
    <s v="Chennai"/>
  </r>
  <r>
    <s v="A6OSQ"/>
    <x v="226"/>
    <x v="0"/>
    <x v="2"/>
    <x v="1"/>
    <n v="89"/>
    <n v="709.71"/>
    <s v="New"/>
    <x v="2"/>
    <s v="Delhi"/>
  </r>
  <r>
    <s v="UXO9G"/>
    <x v="227"/>
    <x v="2"/>
    <x v="0"/>
    <x v="3"/>
    <n v="73"/>
    <n v="175.37"/>
    <s v="New"/>
    <x v="1"/>
    <s v="Chennai"/>
  </r>
  <r>
    <s v="3G6IP"/>
    <x v="21"/>
    <x v="2"/>
    <x v="1"/>
    <x v="1"/>
    <n v="68"/>
    <n v="175.94"/>
    <s v="New"/>
    <x v="3"/>
    <s v="Mumbai"/>
  </r>
  <r>
    <s v="PTYTX"/>
    <x v="228"/>
    <x v="2"/>
    <x v="2"/>
    <x v="0"/>
    <n v="14"/>
    <n v="46.3"/>
    <s v="Returning"/>
    <x v="3"/>
    <s v="Delhi"/>
  </r>
  <r>
    <s v="UBWB2"/>
    <x v="90"/>
    <x v="0"/>
    <x v="2"/>
    <x v="3"/>
    <n v="98"/>
    <n v="739.04"/>
    <s v="New"/>
    <x v="1"/>
    <s v="Bangalore"/>
  </r>
  <r>
    <s v="EEGMG"/>
    <x v="229"/>
    <x v="0"/>
    <x v="2"/>
    <x v="1"/>
    <n v="11"/>
    <n v="667.17"/>
    <s v="New"/>
    <x v="2"/>
    <s v="Chennai"/>
  </r>
  <r>
    <s v="B3ZT0"/>
    <x v="230"/>
    <x v="0"/>
    <x v="0"/>
    <x v="3"/>
    <n v="56"/>
    <n v="479.88"/>
    <s v="Returning"/>
    <x v="2"/>
    <s v="Delhi"/>
  </r>
  <r>
    <s v="3GM71"/>
    <x v="231"/>
    <x v="0"/>
    <x v="0"/>
    <x v="2"/>
    <n v="67"/>
    <n v="845.73"/>
    <s v="New"/>
    <x v="0"/>
    <s v="Mumbai"/>
  </r>
  <r>
    <s v="MRKKZ"/>
    <x v="232"/>
    <x v="0"/>
    <x v="1"/>
    <x v="2"/>
    <n v="92"/>
    <n v="807.61"/>
    <s v="Returning"/>
    <x v="3"/>
    <s v="Delhi"/>
  </r>
  <r>
    <s v="DOJLJ"/>
    <x v="59"/>
    <x v="2"/>
    <x v="1"/>
    <x v="1"/>
    <n v="29"/>
    <n v="589.5"/>
    <s v="New"/>
    <x v="3"/>
    <s v="Mumbai"/>
  </r>
  <r>
    <s v="W9ZKY"/>
    <x v="119"/>
    <x v="0"/>
    <x v="3"/>
    <x v="2"/>
    <n v="9"/>
    <n v="869.59"/>
    <s v="New"/>
    <x v="0"/>
    <s v="Bangalore"/>
  </r>
  <r>
    <s v="96WCY"/>
    <x v="102"/>
    <x v="1"/>
    <x v="0"/>
    <x v="0"/>
    <n v="67"/>
    <n v="213.78"/>
    <s v="New"/>
    <x v="2"/>
    <s v="Delhi"/>
  </r>
  <r>
    <s v="XP8G6"/>
    <x v="187"/>
    <x v="0"/>
    <x v="1"/>
    <x v="2"/>
    <n v="25"/>
    <n v="120.8"/>
    <s v="Returning"/>
    <x v="0"/>
    <s v="Mumbai"/>
  </r>
  <r>
    <s v="3GNFD"/>
    <x v="233"/>
    <x v="1"/>
    <x v="0"/>
    <x v="0"/>
    <n v="98"/>
    <n v="277.05"/>
    <s v="New"/>
    <x v="2"/>
    <s v="Bangalore"/>
  </r>
  <r>
    <s v="ED520"/>
    <x v="16"/>
    <x v="1"/>
    <x v="0"/>
    <x v="0"/>
    <n v="76"/>
    <n v="66.52"/>
    <s v="Returning"/>
    <x v="3"/>
    <s v="Chennai"/>
  </r>
  <r>
    <s v="8FP7J"/>
    <x v="234"/>
    <x v="0"/>
    <x v="1"/>
    <x v="0"/>
    <n v="42"/>
    <n v="535.86"/>
    <s v="New"/>
    <x v="2"/>
    <s v="Mumbai"/>
  </r>
  <r>
    <s v="3M1MH"/>
    <x v="235"/>
    <x v="0"/>
    <x v="3"/>
    <x v="0"/>
    <n v="9"/>
    <n v="937.24"/>
    <s v="New"/>
    <x v="2"/>
    <s v="Bangalore"/>
  </r>
  <r>
    <s v="DMRT2"/>
    <x v="236"/>
    <x v="2"/>
    <x v="1"/>
    <x v="2"/>
    <n v="79"/>
    <n v="48.95"/>
    <s v="Returning"/>
    <x v="3"/>
    <s v="Bangalore"/>
  </r>
  <r>
    <s v="KVSOV"/>
    <x v="237"/>
    <x v="2"/>
    <x v="3"/>
    <x v="3"/>
    <n v="40"/>
    <n v="130.88999999999999"/>
    <s v="Returning"/>
    <x v="2"/>
    <s v="Bangalore"/>
  </r>
  <r>
    <s v="MQWFF"/>
    <x v="197"/>
    <x v="2"/>
    <x v="2"/>
    <x v="0"/>
    <n v="25"/>
    <n v="457.68"/>
    <s v="Returning"/>
    <x v="3"/>
    <s v="Bangalore"/>
  </r>
  <r>
    <s v="7KHP8"/>
    <x v="67"/>
    <x v="1"/>
    <x v="0"/>
    <x v="2"/>
    <n v="5"/>
    <n v="934.54"/>
    <s v="Returning"/>
    <x v="0"/>
    <s v="Chennai"/>
  </r>
  <r>
    <s v="N8O63"/>
    <x v="58"/>
    <x v="2"/>
    <x v="0"/>
    <x v="2"/>
    <n v="11"/>
    <n v="322.99"/>
    <s v="New"/>
    <x v="3"/>
    <s v="Bangalore"/>
  </r>
  <r>
    <s v="YCQ6B"/>
    <x v="238"/>
    <x v="1"/>
    <x v="2"/>
    <x v="0"/>
    <n v="59"/>
    <n v="512.16"/>
    <s v="New"/>
    <x v="0"/>
    <s v="Delhi"/>
  </r>
  <r>
    <s v="YVCDP"/>
    <x v="239"/>
    <x v="2"/>
    <x v="1"/>
    <x v="0"/>
    <n v="98"/>
    <n v="51.16"/>
    <s v="New"/>
    <x v="2"/>
    <s v="Chennai"/>
  </r>
  <r>
    <s v="FF6RN"/>
    <x v="48"/>
    <x v="2"/>
    <x v="1"/>
    <x v="0"/>
    <n v="88"/>
    <n v="156.86000000000001"/>
    <s v="New"/>
    <x v="2"/>
    <s v="Chennai"/>
  </r>
  <r>
    <s v="2DTKM"/>
    <x v="240"/>
    <x v="2"/>
    <x v="0"/>
    <x v="0"/>
    <n v="79"/>
    <n v="986.76"/>
    <s v="Returning"/>
    <x v="1"/>
    <s v="Chennai"/>
  </r>
  <r>
    <s v="JQD1J"/>
    <x v="241"/>
    <x v="0"/>
    <x v="0"/>
    <x v="3"/>
    <n v="38"/>
    <n v="965.47"/>
    <s v="New"/>
    <x v="3"/>
    <s v="Mumbai"/>
  </r>
  <r>
    <s v="5EQ6N"/>
    <x v="242"/>
    <x v="2"/>
    <x v="2"/>
    <x v="2"/>
    <n v="72"/>
    <n v="14.89"/>
    <s v="New"/>
    <x v="2"/>
    <s v="Bangalore"/>
  </r>
  <r>
    <s v="99HNB"/>
    <x v="243"/>
    <x v="1"/>
    <x v="3"/>
    <x v="3"/>
    <n v="5"/>
    <n v="952.29"/>
    <s v="New"/>
    <x v="0"/>
    <s v="Bangalore"/>
  </r>
  <r>
    <s v="GORMS"/>
    <x v="103"/>
    <x v="2"/>
    <x v="3"/>
    <x v="3"/>
    <n v="48"/>
    <n v="642.73"/>
    <s v="Returning"/>
    <x v="2"/>
    <s v="Bangalore"/>
  </r>
  <r>
    <s v="TKJMO"/>
    <x v="244"/>
    <x v="0"/>
    <x v="2"/>
    <x v="0"/>
    <n v="90"/>
    <n v="869.24"/>
    <s v="New"/>
    <x v="0"/>
    <s v="Delhi"/>
  </r>
  <r>
    <s v="YT05A"/>
    <x v="245"/>
    <x v="2"/>
    <x v="0"/>
    <x v="2"/>
    <n v="18"/>
    <n v="460.19"/>
    <s v="New"/>
    <x v="1"/>
    <s v="Chennai"/>
  </r>
  <r>
    <s v="AEP5U"/>
    <x v="246"/>
    <x v="2"/>
    <x v="3"/>
    <x v="0"/>
    <n v="70"/>
    <n v="520.44000000000005"/>
    <s v="Returning"/>
    <x v="3"/>
    <s v="Mumbai"/>
  </r>
  <r>
    <s v="PLTLC"/>
    <x v="247"/>
    <x v="2"/>
    <x v="2"/>
    <x v="0"/>
    <n v="37"/>
    <n v="493.96"/>
    <s v="Returning"/>
    <x v="0"/>
    <s v="Chenna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3EE003-DE52-4A6F-826B-AE680A6E78AB}"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71:D76" firstHeaderRow="1" firstDataRow="1" firstDataCol="1"/>
  <pivotFields count="13">
    <pivotField showAll="0"/>
    <pivotField numFmtId="164" showAll="0">
      <items count="249">
        <item x="105"/>
        <item x="205"/>
        <item x="166"/>
        <item x="64"/>
        <item x="99"/>
        <item x="18"/>
        <item x="151"/>
        <item x="149"/>
        <item x="187"/>
        <item x="101"/>
        <item x="21"/>
        <item x="144"/>
        <item x="189"/>
        <item x="244"/>
        <item x="79"/>
        <item x="34"/>
        <item x="71"/>
        <item x="68"/>
        <item x="155"/>
        <item x="146"/>
        <item x="60"/>
        <item x="115"/>
        <item x="112"/>
        <item x="234"/>
        <item x="235"/>
        <item x="94"/>
        <item x="78"/>
        <item x="162"/>
        <item x="143"/>
        <item x="52"/>
        <item x="186"/>
        <item x="129"/>
        <item x="40"/>
        <item x="156"/>
        <item x="8"/>
        <item x="128"/>
        <item x="131"/>
        <item x="230"/>
        <item x="229"/>
        <item x="59"/>
        <item x="240"/>
        <item x="95"/>
        <item x="88"/>
        <item x="168"/>
        <item x="201"/>
        <item x="243"/>
        <item x="195"/>
        <item x="116"/>
        <item x="47"/>
        <item x="181"/>
        <item x="36"/>
        <item x="121"/>
        <item x="225"/>
        <item x="226"/>
        <item x="117"/>
        <item x="16"/>
        <item x="193"/>
        <item x="9"/>
        <item x="69"/>
        <item x="213"/>
        <item x="42"/>
        <item x="141"/>
        <item x="49"/>
        <item x="221"/>
        <item x="28"/>
        <item x="145"/>
        <item x="217"/>
        <item x="120"/>
        <item x="224"/>
        <item x="27"/>
        <item x="228"/>
        <item x="136"/>
        <item x="35"/>
        <item x="233"/>
        <item x="204"/>
        <item x="82"/>
        <item x="238"/>
        <item x="211"/>
        <item x="1"/>
        <item x="53"/>
        <item x="31"/>
        <item x="160"/>
        <item x="218"/>
        <item x="38"/>
        <item x="207"/>
        <item x="216"/>
        <item x="70"/>
        <item x="198"/>
        <item x="80"/>
        <item x="61"/>
        <item x="150"/>
        <item x="127"/>
        <item x="203"/>
        <item x="152"/>
        <item x="142"/>
        <item x="110"/>
        <item x="41"/>
        <item x="54"/>
        <item x="147"/>
        <item x="196"/>
        <item x="25"/>
        <item x="75"/>
        <item x="4"/>
        <item x="139"/>
        <item x="177"/>
        <item x="72"/>
        <item x="44"/>
        <item x="178"/>
        <item x="133"/>
        <item x="137"/>
        <item x="173"/>
        <item x="76"/>
        <item x="138"/>
        <item x="20"/>
        <item x="165"/>
        <item x="194"/>
        <item x="164"/>
        <item x="247"/>
        <item x="206"/>
        <item x="169"/>
        <item x="239"/>
        <item x="192"/>
        <item x="183"/>
        <item x="26"/>
        <item x="65"/>
        <item x="232"/>
        <item x="22"/>
        <item x="242"/>
        <item x="92"/>
        <item x="241"/>
        <item x="237"/>
        <item x="66"/>
        <item x="83"/>
        <item x="50"/>
        <item x="3"/>
        <item x="119"/>
        <item x="202"/>
        <item x="132"/>
        <item x="100"/>
        <item x="223"/>
        <item x="96"/>
        <item x="15"/>
        <item x="46"/>
        <item x="23"/>
        <item x="190"/>
        <item x="48"/>
        <item x="245"/>
        <item x="199"/>
        <item x="90"/>
        <item x="180"/>
        <item x="7"/>
        <item x="89"/>
        <item x="123"/>
        <item x="174"/>
        <item x="74"/>
        <item x="45"/>
        <item x="214"/>
        <item x="153"/>
        <item x="30"/>
        <item x="33"/>
        <item x="200"/>
        <item x="135"/>
        <item x="185"/>
        <item x="43"/>
        <item x="13"/>
        <item x="231"/>
        <item x="77"/>
        <item x="87"/>
        <item x="157"/>
        <item x="51"/>
        <item x="159"/>
        <item x="5"/>
        <item x="175"/>
        <item x="236"/>
        <item x="6"/>
        <item x="107"/>
        <item x="2"/>
        <item x="57"/>
        <item x="14"/>
        <item x="182"/>
        <item x="86"/>
        <item x="67"/>
        <item x="125"/>
        <item x="167"/>
        <item x="220"/>
        <item x="91"/>
        <item x="191"/>
        <item x="172"/>
        <item x="161"/>
        <item x="58"/>
        <item x="154"/>
        <item x="111"/>
        <item x="102"/>
        <item x="210"/>
        <item x="19"/>
        <item x="113"/>
        <item x="84"/>
        <item x="104"/>
        <item x="73"/>
        <item x="179"/>
        <item x="118"/>
        <item x="106"/>
        <item x="246"/>
        <item x="97"/>
        <item x="163"/>
        <item x="176"/>
        <item x="148"/>
        <item x="140"/>
        <item x="0"/>
        <item x="197"/>
        <item x="122"/>
        <item x="63"/>
        <item x="29"/>
        <item x="184"/>
        <item x="56"/>
        <item x="171"/>
        <item x="227"/>
        <item x="55"/>
        <item x="12"/>
        <item x="170"/>
        <item x="158"/>
        <item x="17"/>
        <item x="215"/>
        <item x="114"/>
        <item x="109"/>
        <item x="11"/>
        <item x="85"/>
        <item x="10"/>
        <item x="134"/>
        <item x="219"/>
        <item x="32"/>
        <item x="37"/>
        <item x="103"/>
        <item x="208"/>
        <item x="62"/>
        <item x="212"/>
        <item x="209"/>
        <item x="98"/>
        <item x="124"/>
        <item x="222"/>
        <item x="93"/>
        <item x="39"/>
        <item x="81"/>
        <item x="188"/>
        <item x="126"/>
        <item x="24"/>
        <item x="108"/>
        <item x="130"/>
        <item t="default"/>
      </items>
    </pivotField>
    <pivotField showAll="0">
      <items count="4">
        <item x="2"/>
        <item x="0"/>
        <item x="1"/>
        <item t="default"/>
      </items>
    </pivotField>
    <pivotField axis="axisRow" showAll="0" measureFilter="1">
      <items count="5">
        <item x="2"/>
        <item x="0"/>
        <item x="3"/>
        <item x="1"/>
        <item t="default"/>
      </items>
    </pivotField>
    <pivotField showAll="0">
      <items count="5">
        <item x="1"/>
        <item x="0"/>
        <item x="3"/>
        <item x="2"/>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5">
    <i>
      <x/>
    </i>
    <i>
      <x v="1"/>
    </i>
    <i>
      <x v="2"/>
    </i>
    <i>
      <x v="3"/>
    </i>
    <i t="grand">
      <x/>
    </i>
  </rowItems>
  <colItems count="1">
    <i/>
  </colItems>
  <dataFields count="1">
    <dataField name="Sum of Sale Amount" fld="6" baseField="0" baseItem="0"/>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165DC2-D174-4470-AC7E-CE8C4BA1CAE4}"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54:D67" firstHeaderRow="1" firstDataRow="1" firstDataCol="1"/>
  <pivotFields count="13">
    <pivotField showAll="0"/>
    <pivotField axis="axisRow" numFmtId="164" showAll="0">
      <items count="249">
        <item x="105"/>
        <item x="205"/>
        <item x="166"/>
        <item x="64"/>
        <item x="99"/>
        <item x="18"/>
        <item x="151"/>
        <item x="149"/>
        <item x="187"/>
        <item x="101"/>
        <item x="21"/>
        <item x="144"/>
        <item x="189"/>
        <item x="244"/>
        <item x="79"/>
        <item x="34"/>
        <item x="71"/>
        <item x="68"/>
        <item x="155"/>
        <item x="146"/>
        <item x="60"/>
        <item x="115"/>
        <item x="112"/>
        <item x="234"/>
        <item x="235"/>
        <item x="94"/>
        <item x="78"/>
        <item x="162"/>
        <item x="143"/>
        <item x="52"/>
        <item x="186"/>
        <item x="129"/>
        <item x="40"/>
        <item x="156"/>
        <item x="8"/>
        <item x="128"/>
        <item x="131"/>
        <item x="230"/>
        <item x="229"/>
        <item x="59"/>
        <item x="240"/>
        <item x="95"/>
        <item x="88"/>
        <item x="168"/>
        <item x="201"/>
        <item x="243"/>
        <item x="195"/>
        <item x="116"/>
        <item x="47"/>
        <item x="181"/>
        <item x="36"/>
        <item x="121"/>
        <item x="225"/>
        <item x="226"/>
        <item x="117"/>
        <item x="16"/>
        <item x="193"/>
        <item x="9"/>
        <item x="69"/>
        <item x="213"/>
        <item x="42"/>
        <item x="141"/>
        <item x="49"/>
        <item x="221"/>
        <item x="28"/>
        <item x="145"/>
        <item x="217"/>
        <item x="120"/>
        <item x="224"/>
        <item x="27"/>
        <item x="228"/>
        <item x="136"/>
        <item x="35"/>
        <item x="233"/>
        <item x="204"/>
        <item x="82"/>
        <item x="238"/>
        <item x="211"/>
        <item x="1"/>
        <item x="53"/>
        <item x="31"/>
        <item x="160"/>
        <item x="218"/>
        <item x="38"/>
        <item x="207"/>
        <item x="216"/>
        <item x="70"/>
        <item x="198"/>
        <item x="80"/>
        <item x="61"/>
        <item x="150"/>
        <item x="127"/>
        <item x="203"/>
        <item x="152"/>
        <item x="142"/>
        <item x="110"/>
        <item x="41"/>
        <item x="54"/>
        <item x="147"/>
        <item x="196"/>
        <item x="25"/>
        <item x="75"/>
        <item x="4"/>
        <item x="139"/>
        <item x="177"/>
        <item x="72"/>
        <item x="44"/>
        <item x="178"/>
        <item x="133"/>
        <item x="137"/>
        <item x="173"/>
        <item x="76"/>
        <item x="138"/>
        <item x="20"/>
        <item x="165"/>
        <item x="194"/>
        <item x="164"/>
        <item x="247"/>
        <item x="206"/>
        <item x="169"/>
        <item x="239"/>
        <item x="192"/>
        <item x="183"/>
        <item x="26"/>
        <item x="65"/>
        <item x="232"/>
        <item x="22"/>
        <item x="242"/>
        <item x="92"/>
        <item x="241"/>
        <item x="237"/>
        <item x="66"/>
        <item x="83"/>
        <item x="50"/>
        <item x="3"/>
        <item x="119"/>
        <item x="202"/>
        <item x="132"/>
        <item x="100"/>
        <item x="223"/>
        <item x="96"/>
        <item x="15"/>
        <item x="46"/>
        <item x="23"/>
        <item x="190"/>
        <item x="48"/>
        <item x="245"/>
        <item x="199"/>
        <item x="90"/>
        <item x="180"/>
        <item x="7"/>
        <item x="89"/>
        <item x="123"/>
        <item x="174"/>
        <item x="74"/>
        <item x="45"/>
        <item x="214"/>
        <item x="153"/>
        <item x="30"/>
        <item x="33"/>
        <item x="200"/>
        <item x="135"/>
        <item x="185"/>
        <item x="43"/>
        <item x="13"/>
        <item x="231"/>
        <item x="77"/>
        <item x="87"/>
        <item x="157"/>
        <item x="51"/>
        <item x="159"/>
        <item x="5"/>
        <item x="175"/>
        <item x="236"/>
        <item x="6"/>
        <item x="107"/>
        <item x="2"/>
        <item x="57"/>
        <item x="14"/>
        <item x="182"/>
        <item x="86"/>
        <item x="67"/>
        <item x="125"/>
        <item x="167"/>
        <item x="220"/>
        <item x="91"/>
        <item x="191"/>
        <item x="172"/>
        <item x="161"/>
        <item x="58"/>
        <item x="154"/>
        <item x="111"/>
        <item x="102"/>
        <item x="210"/>
        <item x="19"/>
        <item x="113"/>
        <item x="84"/>
        <item x="104"/>
        <item x="73"/>
        <item x="179"/>
        <item x="118"/>
        <item x="106"/>
        <item x="246"/>
        <item x="97"/>
        <item x="163"/>
        <item x="176"/>
        <item x="148"/>
        <item x="140"/>
        <item x="0"/>
        <item x="197"/>
        <item x="122"/>
        <item x="63"/>
        <item x="29"/>
        <item x="184"/>
        <item x="56"/>
        <item x="171"/>
        <item x="227"/>
        <item x="55"/>
        <item x="12"/>
        <item x="170"/>
        <item x="158"/>
        <item x="17"/>
        <item x="215"/>
        <item x="114"/>
        <item x="109"/>
        <item x="11"/>
        <item x="85"/>
        <item x="10"/>
        <item x="134"/>
        <item x="219"/>
        <item x="32"/>
        <item x="37"/>
        <item x="103"/>
        <item x="208"/>
        <item x="62"/>
        <item x="212"/>
        <item x="209"/>
        <item x="98"/>
        <item x="124"/>
        <item x="222"/>
        <item x="93"/>
        <item x="39"/>
        <item x="81"/>
        <item x="188"/>
        <item x="126"/>
        <item x="24"/>
        <item x="108"/>
        <item x="130"/>
        <item t="default"/>
      </items>
    </pivotField>
    <pivotField showAll="0">
      <items count="4">
        <item x="2"/>
        <item x="0"/>
        <item x="1"/>
        <item t="default"/>
      </items>
    </pivotField>
    <pivotField showAll="0">
      <items count="5">
        <item x="2"/>
        <item x="0"/>
        <item x="3"/>
        <item x="1"/>
        <item t="default"/>
      </items>
    </pivotField>
    <pivotField showAll="0">
      <items count="5">
        <item x="1"/>
        <item x="0"/>
        <item x="3"/>
        <item x="2"/>
        <item t="default"/>
      </items>
    </pivotField>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0"/>
    <field x="1"/>
  </rowFields>
  <rowItems count="13">
    <i>
      <x v="1"/>
    </i>
    <i>
      <x v="2"/>
    </i>
    <i>
      <x v="3"/>
    </i>
    <i>
      <x v="4"/>
    </i>
    <i>
      <x v="5"/>
    </i>
    <i>
      <x v="6"/>
    </i>
    <i>
      <x v="7"/>
    </i>
    <i>
      <x v="8"/>
    </i>
    <i>
      <x v="9"/>
    </i>
    <i>
      <x v="10"/>
    </i>
    <i>
      <x v="11"/>
    </i>
    <i>
      <x v="12"/>
    </i>
    <i t="grand">
      <x/>
    </i>
  </rowItems>
  <colItems count="1">
    <i/>
  </colItems>
  <dataFields count="1">
    <dataField name="Sum of Sale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5F4073-9413-4C66-912E-9F0B8E4CFA35}"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27:D32" firstHeaderRow="1" firstDataRow="1" firstDataCol="1"/>
  <pivotFields count="13">
    <pivotField showAll="0"/>
    <pivotField numFmtId="164" showAll="0">
      <items count="249">
        <item x="105"/>
        <item x="205"/>
        <item x="166"/>
        <item x="64"/>
        <item x="99"/>
        <item x="18"/>
        <item x="151"/>
        <item x="149"/>
        <item x="187"/>
        <item x="101"/>
        <item x="21"/>
        <item x="144"/>
        <item x="189"/>
        <item x="244"/>
        <item x="79"/>
        <item x="34"/>
        <item x="71"/>
        <item x="68"/>
        <item x="155"/>
        <item x="146"/>
        <item x="60"/>
        <item x="115"/>
        <item x="112"/>
        <item x="234"/>
        <item x="235"/>
        <item x="94"/>
        <item x="78"/>
        <item x="162"/>
        <item x="143"/>
        <item x="52"/>
        <item x="186"/>
        <item x="129"/>
        <item x="40"/>
        <item x="156"/>
        <item x="8"/>
        <item x="128"/>
        <item x="131"/>
        <item x="230"/>
        <item x="229"/>
        <item x="59"/>
        <item x="240"/>
        <item x="95"/>
        <item x="88"/>
        <item x="168"/>
        <item x="201"/>
        <item x="243"/>
        <item x="195"/>
        <item x="116"/>
        <item x="47"/>
        <item x="181"/>
        <item x="36"/>
        <item x="121"/>
        <item x="225"/>
        <item x="226"/>
        <item x="117"/>
        <item x="16"/>
        <item x="193"/>
        <item x="9"/>
        <item x="69"/>
        <item x="213"/>
        <item x="42"/>
        <item x="141"/>
        <item x="49"/>
        <item x="221"/>
        <item x="28"/>
        <item x="145"/>
        <item x="217"/>
        <item x="120"/>
        <item x="224"/>
        <item x="27"/>
        <item x="228"/>
        <item x="136"/>
        <item x="35"/>
        <item x="233"/>
        <item x="204"/>
        <item x="82"/>
        <item x="238"/>
        <item x="211"/>
        <item x="1"/>
        <item x="53"/>
        <item x="31"/>
        <item x="160"/>
        <item x="218"/>
        <item x="38"/>
        <item x="207"/>
        <item x="216"/>
        <item x="70"/>
        <item x="198"/>
        <item x="80"/>
        <item x="61"/>
        <item x="150"/>
        <item x="127"/>
        <item x="203"/>
        <item x="152"/>
        <item x="142"/>
        <item x="110"/>
        <item x="41"/>
        <item x="54"/>
        <item x="147"/>
        <item x="196"/>
        <item x="25"/>
        <item x="75"/>
        <item x="4"/>
        <item x="139"/>
        <item x="177"/>
        <item x="72"/>
        <item x="44"/>
        <item x="178"/>
        <item x="133"/>
        <item x="137"/>
        <item x="173"/>
        <item x="76"/>
        <item x="138"/>
        <item x="20"/>
        <item x="165"/>
        <item x="194"/>
        <item x="164"/>
        <item x="247"/>
        <item x="206"/>
        <item x="169"/>
        <item x="239"/>
        <item x="192"/>
        <item x="183"/>
        <item x="26"/>
        <item x="65"/>
        <item x="232"/>
        <item x="22"/>
        <item x="242"/>
        <item x="92"/>
        <item x="241"/>
        <item x="237"/>
        <item x="66"/>
        <item x="83"/>
        <item x="50"/>
        <item x="3"/>
        <item x="119"/>
        <item x="202"/>
        <item x="132"/>
        <item x="100"/>
        <item x="223"/>
        <item x="96"/>
        <item x="15"/>
        <item x="46"/>
        <item x="23"/>
        <item x="190"/>
        <item x="48"/>
        <item x="245"/>
        <item x="199"/>
        <item x="90"/>
        <item x="180"/>
        <item x="7"/>
        <item x="89"/>
        <item x="123"/>
        <item x="174"/>
        <item x="74"/>
        <item x="45"/>
        <item x="214"/>
        <item x="153"/>
        <item x="30"/>
        <item x="33"/>
        <item x="200"/>
        <item x="135"/>
        <item x="185"/>
        <item x="43"/>
        <item x="13"/>
        <item x="231"/>
        <item x="77"/>
        <item x="87"/>
        <item x="157"/>
        <item x="51"/>
        <item x="159"/>
        <item x="5"/>
        <item x="175"/>
        <item x="236"/>
        <item x="6"/>
        <item x="107"/>
        <item x="2"/>
        <item x="57"/>
        <item x="14"/>
        <item x="182"/>
        <item x="86"/>
        <item x="67"/>
        <item x="125"/>
        <item x="167"/>
        <item x="220"/>
        <item x="91"/>
        <item x="191"/>
        <item x="172"/>
        <item x="161"/>
        <item x="58"/>
        <item x="154"/>
        <item x="111"/>
        <item x="102"/>
        <item x="210"/>
        <item x="19"/>
        <item x="113"/>
        <item x="84"/>
        <item x="104"/>
        <item x="73"/>
        <item x="179"/>
        <item x="118"/>
        <item x="106"/>
        <item x="246"/>
        <item x="97"/>
        <item x="163"/>
        <item x="176"/>
        <item x="148"/>
        <item x="140"/>
        <item x="0"/>
        <item x="197"/>
        <item x="122"/>
        <item x="63"/>
        <item x="29"/>
        <item x="184"/>
        <item x="56"/>
        <item x="171"/>
        <item x="227"/>
        <item x="55"/>
        <item x="12"/>
        <item x="170"/>
        <item x="158"/>
        <item x="17"/>
        <item x="215"/>
        <item x="114"/>
        <item x="109"/>
        <item x="11"/>
        <item x="85"/>
        <item x="10"/>
        <item x="134"/>
        <item x="219"/>
        <item x="32"/>
        <item x="37"/>
        <item x="103"/>
        <item x="208"/>
        <item x="62"/>
        <item x="212"/>
        <item x="209"/>
        <item x="98"/>
        <item x="124"/>
        <item x="222"/>
        <item x="93"/>
        <item x="39"/>
        <item x="81"/>
        <item x="188"/>
        <item x="126"/>
        <item x="24"/>
        <item x="108"/>
        <item x="130"/>
        <item t="default"/>
      </items>
    </pivotField>
    <pivotField showAll="0">
      <items count="4">
        <item x="2"/>
        <item x="0"/>
        <item x="1"/>
        <item t="default"/>
      </items>
    </pivotField>
    <pivotField showAll="0">
      <items count="5">
        <item x="2"/>
        <item x="0"/>
        <item x="3"/>
        <item x="1"/>
        <item t="default"/>
      </items>
    </pivotField>
    <pivotField axis="axisRow" showAll="0">
      <items count="5">
        <item x="1"/>
        <item x="0"/>
        <item x="3"/>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Sum of Units Sold"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D3F2B1-C7F9-4A45-B2C6-98E99A2947D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D22" firstHeaderRow="1" firstDataRow="1" firstDataCol="1"/>
  <pivotFields count="13">
    <pivotField showAll="0"/>
    <pivotField numFmtId="164" showAll="0">
      <items count="249">
        <item x="105"/>
        <item x="205"/>
        <item x="166"/>
        <item x="64"/>
        <item x="99"/>
        <item x="18"/>
        <item x="151"/>
        <item x="149"/>
        <item x="187"/>
        <item x="101"/>
        <item x="21"/>
        <item x="144"/>
        <item x="189"/>
        <item x="244"/>
        <item x="79"/>
        <item x="34"/>
        <item x="71"/>
        <item x="68"/>
        <item x="155"/>
        <item x="146"/>
        <item x="60"/>
        <item x="115"/>
        <item x="112"/>
        <item x="234"/>
        <item x="235"/>
        <item x="94"/>
        <item x="78"/>
        <item x="162"/>
        <item x="143"/>
        <item x="52"/>
        <item x="186"/>
        <item x="129"/>
        <item x="40"/>
        <item x="156"/>
        <item x="8"/>
        <item x="128"/>
        <item x="131"/>
        <item x="230"/>
        <item x="229"/>
        <item x="59"/>
        <item x="240"/>
        <item x="95"/>
        <item x="88"/>
        <item x="168"/>
        <item x="201"/>
        <item x="243"/>
        <item x="195"/>
        <item x="116"/>
        <item x="47"/>
        <item x="181"/>
        <item x="36"/>
        <item x="121"/>
        <item x="225"/>
        <item x="226"/>
        <item x="117"/>
        <item x="16"/>
        <item x="193"/>
        <item x="9"/>
        <item x="69"/>
        <item x="213"/>
        <item x="42"/>
        <item x="141"/>
        <item x="49"/>
        <item x="221"/>
        <item x="28"/>
        <item x="145"/>
        <item x="217"/>
        <item x="120"/>
        <item x="224"/>
        <item x="27"/>
        <item x="228"/>
        <item x="136"/>
        <item x="35"/>
        <item x="233"/>
        <item x="204"/>
        <item x="82"/>
        <item x="238"/>
        <item x="211"/>
        <item x="1"/>
        <item x="53"/>
        <item x="31"/>
        <item x="160"/>
        <item x="218"/>
        <item x="38"/>
        <item x="207"/>
        <item x="216"/>
        <item x="70"/>
        <item x="198"/>
        <item x="80"/>
        <item x="61"/>
        <item x="150"/>
        <item x="127"/>
        <item x="203"/>
        <item x="152"/>
        <item x="142"/>
        <item x="110"/>
        <item x="41"/>
        <item x="54"/>
        <item x="147"/>
        <item x="196"/>
        <item x="25"/>
        <item x="75"/>
        <item x="4"/>
        <item x="139"/>
        <item x="177"/>
        <item x="72"/>
        <item x="44"/>
        <item x="178"/>
        <item x="133"/>
        <item x="137"/>
        <item x="173"/>
        <item x="76"/>
        <item x="138"/>
        <item x="20"/>
        <item x="165"/>
        <item x="194"/>
        <item x="164"/>
        <item x="247"/>
        <item x="206"/>
        <item x="169"/>
        <item x="239"/>
        <item x="192"/>
        <item x="183"/>
        <item x="26"/>
        <item x="65"/>
        <item x="232"/>
        <item x="22"/>
        <item x="242"/>
        <item x="92"/>
        <item x="241"/>
        <item x="237"/>
        <item x="66"/>
        <item x="83"/>
        <item x="50"/>
        <item x="3"/>
        <item x="119"/>
        <item x="202"/>
        <item x="132"/>
        <item x="100"/>
        <item x="223"/>
        <item x="96"/>
        <item x="15"/>
        <item x="46"/>
        <item x="23"/>
        <item x="190"/>
        <item x="48"/>
        <item x="245"/>
        <item x="199"/>
        <item x="90"/>
        <item x="180"/>
        <item x="7"/>
        <item x="89"/>
        <item x="123"/>
        <item x="174"/>
        <item x="74"/>
        <item x="45"/>
        <item x="214"/>
        <item x="153"/>
        <item x="30"/>
        <item x="33"/>
        <item x="200"/>
        <item x="135"/>
        <item x="185"/>
        <item x="43"/>
        <item x="13"/>
        <item x="231"/>
        <item x="77"/>
        <item x="87"/>
        <item x="157"/>
        <item x="51"/>
        <item x="159"/>
        <item x="5"/>
        <item x="175"/>
        <item x="236"/>
        <item x="6"/>
        <item x="107"/>
        <item x="2"/>
        <item x="57"/>
        <item x="14"/>
        <item x="182"/>
        <item x="86"/>
        <item x="67"/>
        <item x="125"/>
        <item x="167"/>
        <item x="220"/>
        <item x="91"/>
        <item x="191"/>
        <item x="172"/>
        <item x="161"/>
        <item x="58"/>
        <item x="154"/>
        <item x="111"/>
        <item x="102"/>
        <item x="210"/>
        <item x="19"/>
        <item x="113"/>
        <item x="84"/>
        <item x="104"/>
        <item x="73"/>
        <item x="179"/>
        <item x="118"/>
        <item x="106"/>
        <item x="246"/>
        <item x="97"/>
        <item x="163"/>
        <item x="176"/>
        <item x="148"/>
        <item x="140"/>
        <item x="0"/>
        <item x="197"/>
        <item x="122"/>
        <item x="63"/>
        <item x="29"/>
        <item x="184"/>
        <item x="56"/>
        <item x="171"/>
        <item x="227"/>
        <item x="55"/>
        <item x="12"/>
        <item x="170"/>
        <item x="158"/>
        <item x="17"/>
        <item x="215"/>
        <item x="114"/>
        <item x="109"/>
        <item x="11"/>
        <item x="85"/>
        <item x="10"/>
        <item x="134"/>
        <item x="219"/>
        <item x="32"/>
        <item x="37"/>
        <item x="103"/>
        <item x="208"/>
        <item x="62"/>
        <item x="212"/>
        <item x="209"/>
        <item x="98"/>
        <item x="124"/>
        <item x="222"/>
        <item x="93"/>
        <item x="39"/>
        <item x="81"/>
        <item x="188"/>
        <item x="126"/>
        <item x="24"/>
        <item x="108"/>
        <item x="130"/>
        <item t="default"/>
      </items>
    </pivotField>
    <pivotField axis="axisRow" showAll="0">
      <items count="4">
        <item x="2"/>
        <item x="0"/>
        <item x="1"/>
        <item t="default"/>
      </items>
    </pivotField>
    <pivotField axis="axisRow" showAll="0">
      <items count="5">
        <item x="2"/>
        <item x="0"/>
        <item x="3"/>
        <item x="1"/>
        <item t="default"/>
      </items>
    </pivotField>
    <pivotField showAll="0"/>
    <pivotField showAll="0"/>
    <pivotField dataField="1" showAll="0"/>
    <pivotField showAll="0"/>
    <pivotField showAll="0">
      <items count="5">
        <item x="1"/>
        <item x="3"/>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2"/>
    <field x="3"/>
  </rowFields>
  <rowItems count="16">
    <i>
      <x/>
    </i>
    <i r="1">
      <x/>
    </i>
    <i r="1">
      <x v="1"/>
    </i>
    <i r="1">
      <x v="2"/>
    </i>
    <i r="1">
      <x v="3"/>
    </i>
    <i>
      <x v="1"/>
    </i>
    <i r="1">
      <x/>
    </i>
    <i r="1">
      <x v="1"/>
    </i>
    <i r="1">
      <x v="2"/>
    </i>
    <i r="1">
      <x v="3"/>
    </i>
    <i>
      <x v="2"/>
    </i>
    <i r="1">
      <x/>
    </i>
    <i r="1">
      <x v="1"/>
    </i>
    <i r="1">
      <x v="2"/>
    </i>
    <i r="1">
      <x v="3"/>
    </i>
    <i t="grand">
      <x/>
    </i>
  </rowItems>
  <colItems count="1">
    <i/>
  </colItems>
  <dataFields count="1">
    <dataField name="Sum of Sale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051EFB3-A4C4-47E7-8AB9-9573513753A0}" sourceName="Payment Mode">
  <pivotTables>
    <pivotTable tabId="6" name="PivotTable1"/>
  </pivotTables>
  <data>
    <tabular pivotCacheId="2105207145">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AEDC3A95-2BCD-4935-8FE1-4A6DC4806CC0}" cache="Slicer_Payment_Mode" caption="Payment 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F36D19-ED55-4846-B3B8-45785A51F3F3}" name="Table1" displayName="Table1" ref="A1:J301" totalsRowShown="0">
  <autoFilter ref="A1:J301" xr:uid="{ECF36D19-ED55-4846-B3B8-45785A51F3F3}">
    <filterColumn colId="7">
      <filters>
        <filter val="Returning"/>
      </filters>
    </filterColumn>
  </autoFilter>
  <tableColumns count="10">
    <tableColumn id="1" xr3:uid="{72B98658-7838-430A-A627-034EDC7A1911}" name="SaleID"/>
    <tableColumn id="2" xr3:uid="{56110211-EF51-4255-A531-DA0DB4FCA53B}" name="Date" dataDxfId="0"/>
    <tableColumn id="3" xr3:uid="{40DF82F9-C23B-47E1-816A-9630D3EE60FB}" name="Store"/>
    <tableColumn id="4" xr3:uid="{3240AAFE-1523-41BD-9A20-68C255CAC093}" name="Department"/>
    <tableColumn id="5" xr3:uid="{274F219E-C7E5-46D0-8000-EFC2F8830A4F}" name="Product"/>
    <tableColumn id="6" xr3:uid="{0E15C75A-3CD4-4EAA-9AAD-CC279134D606}" name="Units Sold"/>
    <tableColumn id="7" xr3:uid="{0E541A33-7554-491D-9B86-14EEDF90FFFB}" name="Sale Amount"/>
    <tableColumn id="8" xr3:uid="{B5D88716-40F9-4E86-B0AB-A11DEAF63C17}" name="Customer Type"/>
    <tableColumn id="9" xr3:uid="{0930A49B-F782-4BD0-8310-708CDC2D3927}" name="Payment Mode"/>
    <tableColumn id="10" xr3:uid="{33105EB0-E5A2-4D74-84CF-41910791B28F}" name="C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sheetViews>
  <sheetFormatPr defaultRowHeight="14.25" x14ac:dyDescent="0.45"/>
  <sheetData>
    <row r="1" spans="1:2" x14ac:dyDescent="0.45">
      <c r="A1" t="s">
        <v>0</v>
      </c>
      <c r="B1" t="s">
        <v>1</v>
      </c>
    </row>
    <row r="2" spans="1:2" x14ac:dyDescent="0.45">
      <c r="A2" t="s">
        <v>2</v>
      </c>
      <c r="B2" t="s">
        <v>3</v>
      </c>
    </row>
    <row r="3" spans="1:2" x14ac:dyDescent="0.45">
      <c r="A3" t="s">
        <v>4</v>
      </c>
      <c r="B3"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01"/>
  <sheetViews>
    <sheetView topLeftCell="I6" workbookViewId="0">
      <selection activeCell="S39" sqref="S39"/>
    </sheetView>
  </sheetViews>
  <sheetFormatPr defaultRowHeight="14.25" x14ac:dyDescent="0.45"/>
  <cols>
    <col min="2" max="2" width="16.3984375" bestFit="1" customWidth="1"/>
    <col min="9" max="9" width="11.73046875" bestFit="1" customWidth="1"/>
    <col min="10" max="10" width="8.1328125" bestFit="1" customWidth="1"/>
    <col min="11" max="11" width="12.1328125" bestFit="1" customWidth="1"/>
    <col min="16" max="16" width="12.265625" bestFit="1" customWidth="1"/>
    <col min="18" max="18" width="39.53125" bestFit="1" customWidth="1"/>
  </cols>
  <sheetData>
    <row r="1" spans="1:20" x14ac:dyDescent="0.45">
      <c r="A1" t="s">
        <v>6</v>
      </c>
      <c r="B1" t="s">
        <v>7</v>
      </c>
      <c r="C1" t="s">
        <v>8</v>
      </c>
      <c r="D1" t="s">
        <v>9</v>
      </c>
      <c r="E1" t="s">
        <v>10</v>
      </c>
      <c r="F1" t="s">
        <v>11</v>
      </c>
      <c r="G1" t="s">
        <v>12</v>
      </c>
      <c r="H1" t="s">
        <v>13</v>
      </c>
      <c r="I1" t="s">
        <v>14</v>
      </c>
      <c r="J1" t="s">
        <v>15</v>
      </c>
      <c r="K1" t="s">
        <v>979</v>
      </c>
      <c r="N1" t="s">
        <v>982</v>
      </c>
      <c r="P1" t="s">
        <v>983</v>
      </c>
      <c r="R1" t="s">
        <v>984</v>
      </c>
      <c r="T1" t="s">
        <v>990</v>
      </c>
    </row>
    <row r="2" spans="1:20" ht="14.65" thickBot="1" x14ac:dyDescent="0.5">
      <c r="A2" t="s">
        <v>16</v>
      </c>
      <c r="B2" s="1">
        <v>44938</v>
      </c>
      <c r="C2" t="s">
        <v>17</v>
      </c>
      <c r="D2" t="s">
        <v>18</v>
      </c>
      <c r="E2" t="s">
        <v>19</v>
      </c>
      <c r="F2">
        <v>52</v>
      </c>
      <c r="G2">
        <v>42.96</v>
      </c>
      <c r="H2">
        <v>20</v>
      </c>
      <c r="I2">
        <v>59</v>
      </c>
      <c r="J2" t="s">
        <v>20</v>
      </c>
      <c r="K2">
        <f>G2*F2</f>
        <v>2233.92</v>
      </c>
    </row>
    <row r="3" spans="1:20" ht="14.65" thickBot="1" x14ac:dyDescent="0.5">
      <c r="A3" t="s">
        <v>21</v>
      </c>
      <c r="B3" s="1">
        <v>44655</v>
      </c>
      <c r="C3" t="s">
        <v>22</v>
      </c>
      <c r="D3" t="s">
        <v>23</v>
      </c>
      <c r="E3" t="s">
        <v>24</v>
      </c>
      <c r="F3">
        <v>93</v>
      </c>
      <c r="G3">
        <v>20.82</v>
      </c>
      <c r="H3">
        <v>0</v>
      </c>
      <c r="I3">
        <v>42</v>
      </c>
      <c r="J3" t="s">
        <v>25</v>
      </c>
      <c r="K3">
        <f t="shared" ref="K3:K66" si="0">G3*F3</f>
        <v>1936.26</v>
      </c>
      <c r="N3" s="2" t="s">
        <v>980</v>
      </c>
      <c r="O3" s="3"/>
      <c r="P3" s="3">
        <f>G2*F2</f>
        <v>2233.92</v>
      </c>
      <c r="Q3" s="3"/>
      <c r="R3" s="4" t="s">
        <v>981</v>
      </c>
    </row>
    <row r="4" spans="1:20" x14ac:dyDescent="0.45">
      <c r="A4" t="s">
        <v>26</v>
      </c>
      <c r="B4" s="1">
        <v>44970</v>
      </c>
      <c r="C4" t="s">
        <v>22</v>
      </c>
      <c r="D4" t="s">
        <v>18</v>
      </c>
      <c r="E4" t="s">
        <v>19</v>
      </c>
      <c r="F4">
        <v>15</v>
      </c>
      <c r="G4">
        <v>44.5</v>
      </c>
      <c r="H4">
        <v>15</v>
      </c>
      <c r="I4">
        <v>35</v>
      </c>
      <c r="J4" t="s">
        <v>27</v>
      </c>
      <c r="K4">
        <f t="shared" si="0"/>
        <v>667.5</v>
      </c>
    </row>
    <row r="5" spans="1:20" x14ac:dyDescent="0.45">
      <c r="A5" t="s">
        <v>28</v>
      </c>
      <c r="B5" s="1">
        <v>44700</v>
      </c>
      <c r="C5" t="s">
        <v>29</v>
      </c>
      <c r="D5" t="s">
        <v>23</v>
      </c>
      <c r="E5" t="s">
        <v>30</v>
      </c>
      <c r="F5">
        <v>72</v>
      </c>
      <c r="G5">
        <v>42.7</v>
      </c>
      <c r="H5">
        <v>10</v>
      </c>
      <c r="I5">
        <v>57</v>
      </c>
      <c r="J5" t="s">
        <v>31</v>
      </c>
      <c r="K5">
        <f t="shared" si="0"/>
        <v>3074.4</v>
      </c>
      <c r="N5" t="s">
        <v>985</v>
      </c>
      <c r="P5">
        <f>SUMIFS(K2:K301,C2:C301,T5)</f>
        <v>98535.010000000009</v>
      </c>
      <c r="R5" t="s">
        <v>989</v>
      </c>
      <c r="T5" t="s">
        <v>22</v>
      </c>
    </row>
    <row r="6" spans="1:20" x14ac:dyDescent="0.45">
      <c r="A6" t="s">
        <v>32</v>
      </c>
      <c r="B6" s="1">
        <v>44677</v>
      </c>
      <c r="C6" t="s">
        <v>29</v>
      </c>
      <c r="D6" t="s">
        <v>23</v>
      </c>
      <c r="E6" t="s">
        <v>30</v>
      </c>
      <c r="F6">
        <v>61</v>
      </c>
      <c r="G6">
        <v>46.85</v>
      </c>
      <c r="H6">
        <v>0</v>
      </c>
      <c r="I6">
        <v>25</v>
      </c>
      <c r="J6" t="s">
        <v>33</v>
      </c>
      <c r="K6">
        <f t="shared" si="0"/>
        <v>2857.85</v>
      </c>
      <c r="P6">
        <f t="shared" ref="P6:P8" si="1">SUMIFS(K3:K302,C3:C302,T6)</f>
        <v>80064.469999999987</v>
      </c>
      <c r="T6" t="s">
        <v>17</v>
      </c>
    </row>
    <row r="7" spans="1:20" x14ac:dyDescent="0.45">
      <c r="A7" t="s">
        <v>34</v>
      </c>
      <c r="B7" s="1">
        <v>44717</v>
      </c>
      <c r="C7" t="s">
        <v>29</v>
      </c>
      <c r="D7" t="s">
        <v>18</v>
      </c>
      <c r="E7" t="s">
        <v>35</v>
      </c>
      <c r="F7">
        <v>21</v>
      </c>
      <c r="G7">
        <v>39.479999999999997</v>
      </c>
      <c r="H7">
        <v>0</v>
      </c>
      <c r="I7">
        <v>56</v>
      </c>
      <c r="J7" t="s">
        <v>36</v>
      </c>
      <c r="K7">
        <f t="shared" si="0"/>
        <v>829.07999999999993</v>
      </c>
      <c r="P7">
        <f t="shared" si="1"/>
        <v>94225.85</v>
      </c>
      <c r="T7" t="s">
        <v>29</v>
      </c>
    </row>
    <row r="8" spans="1:20" x14ac:dyDescent="0.45">
      <c r="A8" t="s">
        <v>37</v>
      </c>
      <c r="B8" s="1">
        <v>45078</v>
      </c>
      <c r="C8" t="s">
        <v>22</v>
      </c>
      <c r="D8" t="s">
        <v>18</v>
      </c>
      <c r="E8" t="s">
        <v>19</v>
      </c>
      <c r="F8">
        <v>83</v>
      </c>
      <c r="G8">
        <v>33.78</v>
      </c>
      <c r="H8">
        <v>0</v>
      </c>
      <c r="I8">
        <v>57</v>
      </c>
      <c r="J8" t="s">
        <v>38</v>
      </c>
      <c r="K8">
        <f t="shared" si="0"/>
        <v>2803.7400000000002</v>
      </c>
      <c r="P8">
        <f t="shared" si="1"/>
        <v>108989.65000000002</v>
      </c>
      <c r="T8" t="s">
        <v>57</v>
      </c>
    </row>
    <row r="9" spans="1:20" x14ac:dyDescent="0.45">
      <c r="A9" t="s">
        <v>39</v>
      </c>
      <c r="B9" s="1">
        <v>45004</v>
      </c>
      <c r="C9" t="s">
        <v>17</v>
      </c>
      <c r="D9" t="s">
        <v>23</v>
      </c>
      <c r="E9" t="s">
        <v>30</v>
      </c>
      <c r="F9">
        <v>87</v>
      </c>
      <c r="G9">
        <v>29.45</v>
      </c>
      <c r="H9">
        <v>20</v>
      </c>
      <c r="I9">
        <v>31</v>
      </c>
      <c r="J9" t="s">
        <v>40</v>
      </c>
      <c r="K9">
        <f t="shared" si="0"/>
        <v>2562.15</v>
      </c>
    </row>
    <row r="10" spans="1:20" x14ac:dyDescent="0.45">
      <c r="A10" t="s">
        <v>41</v>
      </c>
      <c r="B10" s="1">
        <v>45106</v>
      </c>
      <c r="C10" t="s">
        <v>22</v>
      </c>
      <c r="D10" t="s">
        <v>42</v>
      </c>
      <c r="E10" t="s">
        <v>24</v>
      </c>
      <c r="F10">
        <v>75</v>
      </c>
      <c r="G10">
        <v>19.239999999999998</v>
      </c>
      <c r="H10">
        <v>15</v>
      </c>
      <c r="I10">
        <v>49</v>
      </c>
      <c r="J10" t="s">
        <v>43</v>
      </c>
      <c r="K10">
        <f t="shared" si="0"/>
        <v>1442.9999999999998</v>
      </c>
      <c r="N10" t="s">
        <v>986</v>
      </c>
      <c r="P10">
        <f>COUNTIF(E2:E301,O22)</f>
        <v>77</v>
      </c>
      <c r="R10" t="s">
        <v>988</v>
      </c>
    </row>
    <row r="11" spans="1:20" x14ac:dyDescent="0.45">
      <c r="A11" t="s">
        <v>44</v>
      </c>
      <c r="B11" s="1">
        <v>44927</v>
      </c>
      <c r="C11" t="s">
        <v>29</v>
      </c>
      <c r="D11" t="s">
        <v>18</v>
      </c>
      <c r="E11" t="s">
        <v>35</v>
      </c>
      <c r="F11">
        <v>75</v>
      </c>
      <c r="G11">
        <v>47.07</v>
      </c>
      <c r="H11">
        <v>20</v>
      </c>
      <c r="I11">
        <v>55</v>
      </c>
      <c r="J11" t="s">
        <v>45</v>
      </c>
      <c r="K11">
        <f t="shared" si="0"/>
        <v>3530.25</v>
      </c>
      <c r="P11">
        <f>COUNTIF(E3:E302,O23)</f>
        <v>80</v>
      </c>
    </row>
    <row r="12" spans="1:20" x14ac:dyDescent="0.45">
      <c r="A12" t="s">
        <v>46</v>
      </c>
      <c r="B12" s="1">
        <v>44866</v>
      </c>
      <c r="C12" t="s">
        <v>22</v>
      </c>
      <c r="D12" t="s">
        <v>23</v>
      </c>
      <c r="E12" t="s">
        <v>24</v>
      </c>
      <c r="F12">
        <v>88</v>
      </c>
      <c r="G12">
        <v>48.71</v>
      </c>
      <c r="H12">
        <v>15</v>
      </c>
      <c r="I12">
        <v>50</v>
      </c>
      <c r="J12" t="s">
        <v>47</v>
      </c>
      <c r="K12">
        <f t="shared" si="0"/>
        <v>4286.4800000000005</v>
      </c>
      <c r="P12">
        <f>COUNTIF(E4:E303,O24)</f>
        <v>67</v>
      </c>
    </row>
    <row r="13" spans="1:20" x14ac:dyDescent="0.45">
      <c r="A13" t="s">
        <v>48</v>
      </c>
      <c r="B13" s="1">
        <v>44596</v>
      </c>
      <c r="C13" t="s">
        <v>29</v>
      </c>
      <c r="D13" t="s">
        <v>42</v>
      </c>
      <c r="E13" t="s">
        <v>19</v>
      </c>
      <c r="F13">
        <v>24</v>
      </c>
      <c r="G13">
        <v>14.91</v>
      </c>
      <c r="H13">
        <v>20</v>
      </c>
      <c r="I13">
        <v>40</v>
      </c>
      <c r="J13" t="s">
        <v>49</v>
      </c>
      <c r="K13">
        <f t="shared" si="0"/>
        <v>357.84000000000003</v>
      </c>
      <c r="P13">
        <f>COUNTIF(E5:E304,O25)</f>
        <v>74</v>
      </c>
    </row>
    <row r="14" spans="1:20" x14ac:dyDescent="0.45">
      <c r="A14" t="s">
        <v>50</v>
      </c>
      <c r="B14" s="1">
        <v>45248</v>
      </c>
      <c r="C14" t="s">
        <v>17</v>
      </c>
      <c r="D14" t="s">
        <v>42</v>
      </c>
      <c r="E14" t="s">
        <v>19</v>
      </c>
      <c r="F14">
        <v>3</v>
      </c>
      <c r="G14">
        <v>15.96</v>
      </c>
      <c r="H14">
        <v>20</v>
      </c>
      <c r="I14">
        <v>32</v>
      </c>
      <c r="J14" t="s">
        <v>51</v>
      </c>
      <c r="K14">
        <f t="shared" si="0"/>
        <v>47.88</v>
      </c>
    </row>
    <row r="15" spans="1:20" x14ac:dyDescent="0.45">
      <c r="A15" t="s">
        <v>52</v>
      </c>
      <c r="B15" s="1">
        <v>44671</v>
      </c>
      <c r="C15" t="s">
        <v>22</v>
      </c>
      <c r="D15" t="s">
        <v>18</v>
      </c>
      <c r="E15" t="s">
        <v>24</v>
      </c>
      <c r="F15">
        <v>22</v>
      </c>
      <c r="G15">
        <v>24.8</v>
      </c>
      <c r="H15">
        <v>10</v>
      </c>
      <c r="I15">
        <v>50</v>
      </c>
      <c r="J15" t="s">
        <v>53</v>
      </c>
      <c r="K15">
        <f t="shared" si="0"/>
        <v>545.6</v>
      </c>
      <c r="N15" t="s">
        <v>987</v>
      </c>
      <c r="P15" t="str">
        <f>IF(H2&gt;10,"High","Low")</f>
        <v>High</v>
      </c>
      <c r="R15" t="s">
        <v>991</v>
      </c>
    </row>
    <row r="16" spans="1:20" x14ac:dyDescent="0.45">
      <c r="A16" t="s">
        <v>54</v>
      </c>
      <c r="B16" s="1">
        <v>44611</v>
      </c>
      <c r="C16" t="s">
        <v>17</v>
      </c>
      <c r="D16" t="s">
        <v>42</v>
      </c>
      <c r="E16" t="s">
        <v>24</v>
      </c>
      <c r="F16">
        <v>53</v>
      </c>
      <c r="G16">
        <v>22.97</v>
      </c>
      <c r="H16">
        <v>20</v>
      </c>
      <c r="I16">
        <v>42</v>
      </c>
      <c r="J16" t="s">
        <v>55</v>
      </c>
      <c r="K16">
        <f t="shared" si="0"/>
        <v>1217.4099999999999</v>
      </c>
    </row>
    <row r="17" spans="1:20" x14ac:dyDescent="0.45">
      <c r="A17" t="s">
        <v>56</v>
      </c>
      <c r="B17" s="1">
        <v>44900</v>
      </c>
      <c r="C17" t="s">
        <v>57</v>
      </c>
      <c r="D17" t="s">
        <v>42</v>
      </c>
      <c r="E17" t="s">
        <v>19</v>
      </c>
      <c r="F17">
        <v>2</v>
      </c>
      <c r="G17">
        <v>49.73</v>
      </c>
      <c r="H17">
        <v>5</v>
      </c>
      <c r="I17">
        <v>34</v>
      </c>
      <c r="J17" t="s">
        <v>58</v>
      </c>
      <c r="K17">
        <f t="shared" si="0"/>
        <v>99.46</v>
      </c>
      <c r="N17" t="s">
        <v>992</v>
      </c>
      <c r="P17">
        <f>VLOOKUP(E2,E2:G301,3,0)</f>
        <v>42.96</v>
      </c>
      <c r="R17" t="s">
        <v>994</v>
      </c>
    </row>
    <row r="18" spans="1:20" x14ac:dyDescent="0.45">
      <c r="A18" t="s">
        <v>59</v>
      </c>
      <c r="B18" s="1">
        <v>45147</v>
      </c>
      <c r="C18" t="s">
        <v>57</v>
      </c>
      <c r="D18" t="s">
        <v>42</v>
      </c>
      <c r="E18" t="s">
        <v>30</v>
      </c>
      <c r="F18">
        <v>88</v>
      </c>
      <c r="G18">
        <v>9.6199999999999992</v>
      </c>
      <c r="H18">
        <v>10</v>
      </c>
      <c r="I18">
        <v>50</v>
      </c>
      <c r="J18" t="s">
        <v>60</v>
      </c>
      <c r="K18">
        <f t="shared" si="0"/>
        <v>846.56</v>
      </c>
    </row>
    <row r="19" spans="1:20" x14ac:dyDescent="0.45">
      <c r="A19" t="s">
        <v>61</v>
      </c>
      <c r="B19" s="1">
        <v>44882</v>
      </c>
      <c r="C19" t="s">
        <v>57</v>
      </c>
      <c r="D19" t="s">
        <v>23</v>
      </c>
      <c r="E19" t="s">
        <v>35</v>
      </c>
      <c r="F19">
        <v>30</v>
      </c>
      <c r="G19">
        <v>1.89</v>
      </c>
      <c r="H19">
        <v>20</v>
      </c>
      <c r="I19">
        <v>64</v>
      </c>
      <c r="J19" t="s">
        <v>62</v>
      </c>
      <c r="K19">
        <f t="shared" si="0"/>
        <v>56.699999999999996</v>
      </c>
      <c r="N19" t="s">
        <v>993</v>
      </c>
      <c r="P19" cm="1">
        <f t="array" ref="P19">INDEX(F:F, MATCH(1, (E:E=O22)*(C:C=T5), 0))</f>
        <v>60</v>
      </c>
    </row>
    <row r="20" spans="1:20" x14ac:dyDescent="0.45">
      <c r="A20" t="s">
        <v>63</v>
      </c>
      <c r="B20" s="1">
        <v>44959</v>
      </c>
      <c r="C20" t="s">
        <v>57</v>
      </c>
      <c r="D20" t="s">
        <v>42</v>
      </c>
      <c r="E20" t="s">
        <v>24</v>
      </c>
      <c r="F20">
        <v>38</v>
      </c>
      <c r="G20">
        <v>25.2</v>
      </c>
      <c r="H20">
        <v>0</v>
      </c>
      <c r="I20">
        <v>19</v>
      </c>
      <c r="J20" t="s">
        <v>64</v>
      </c>
      <c r="K20">
        <f t="shared" si="0"/>
        <v>957.6</v>
      </c>
    </row>
    <row r="21" spans="1:20" x14ac:dyDescent="0.45">
      <c r="A21" t="s">
        <v>65</v>
      </c>
      <c r="B21" s="1">
        <v>44829</v>
      </c>
      <c r="C21" t="s">
        <v>17</v>
      </c>
      <c r="D21" t="s">
        <v>23</v>
      </c>
      <c r="E21" t="s">
        <v>24</v>
      </c>
      <c r="F21">
        <v>2</v>
      </c>
      <c r="G21">
        <v>9.76</v>
      </c>
      <c r="H21">
        <v>5</v>
      </c>
      <c r="I21">
        <v>31</v>
      </c>
      <c r="J21" t="s">
        <v>66</v>
      </c>
      <c r="K21">
        <f t="shared" si="0"/>
        <v>19.52</v>
      </c>
      <c r="N21" t="s">
        <v>997</v>
      </c>
      <c r="O21" t="s">
        <v>10</v>
      </c>
      <c r="P21" t="s">
        <v>998</v>
      </c>
    </row>
    <row r="22" spans="1:20" x14ac:dyDescent="0.45">
      <c r="A22" t="s">
        <v>67</v>
      </c>
      <c r="B22" s="1">
        <v>44989</v>
      </c>
      <c r="C22" t="s">
        <v>17</v>
      </c>
      <c r="D22" t="s">
        <v>42</v>
      </c>
      <c r="E22" t="s">
        <v>24</v>
      </c>
      <c r="F22">
        <v>64</v>
      </c>
      <c r="G22">
        <v>18.96</v>
      </c>
      <c r="H22">
        <v>5</v>
      </c>
      <c r="I22">
        <v>57</v>
      </c>
      <c r="J22" t="s">
        <v>68</v>
      </c>
      <c r="K22">
        <f t="shared" si="0"/>
        <v>1213.44</v>
      </c>
      <c r="O22" t="s">
        <v>35</v>
      </c>
      <c r="P22">
        <f>SUMIFS(F2:F301,E2:E301,O22)</f>
        <v>3749</v>
      </c>
      <c r="R22" t="s">
        <v>1000</v>
      </c>
    </row>
    <row r="23" spans="1:20" x14ac:dyDescent="0.45">
      <c r="A23" t="s">
        <v>69</v>
      </c>
      <c r="B23" s="1">
        <v>45275</v>
      </c>
      <c r="C23" t="s">
        <v>22</v>
      </c>
      <c r="D23" t="s">
        <v>23</v>
      </c>
      <c r="E23" t="s">
        <v>30</v>
      </c>
      <c r="F23">
        <v>60</v>
      </c>
      <c r="G23">
        <v>37.46</v>
      </c>
      <c r="H23">
        <v>5</v>
      </c>
      <c r="I23">
        <v>57</v>
      </c>
      <c r="J23" t="s">
        <v>70</v>
      </c>
      <c r="K23">
        <f t="shared" si="0"/>
        <v>2247.6</v>
      </c>
      <c r="O23" t="s">
        <v>19</v>
      </c>
      <c r="P23">
        <f>SUMIFS(F3:F302,E3:E302,O23)</f>
        <v>4054</v>
      </c>
    </row>
    <row r="24" spans="1:20" x14ac:dyDescent="0.45">
      <c r="A24" t="s">
        <v>71</v>
      </c>
      <c r="B24" s="1">
        <v>44783</v>
      </c>
      <c r="C24" t="s">
        <v>17</v>
      </c>
      <c r="D24" t="s">
        <v>42</v>
      </c>
      <c r="E24" t="s">
        <v>24</v>
      </c>
      <c r="F24">
        <v>21</v>
      </c>
      <c r="G24">
        <v>36.33</v>
      </c>
      <c r="H24">
        <v>10</v>
      </c>
      <c r="I24">
        <v>56</v>
      </c>
      <c r="J24" t="s">
        <v>72</v>
      </c>
      <c r="K24">
        <f t="shared" si="0"/>
        <v>762.93</v>
      </c>
      <c r="O24" t="s">
        <v>30</v>
      </c>
      <c r="P24">
        <f>SUMIFS(F4:F303,E4:E303,O24)</f>
        <v>3455</v>
      </c>
    </row>
    <row r="25" spans="1:20" x14ac:dyDescent="0.45">
      <c r="A25" t="s">
        <v>73</v>
      </c>
      <c r="B25" s="1">
        <v>44835</v>
      </c>
      <c r="C25" t="s">
        <v>17</v>
      </c>
      <c r="D25" t="s">
        <v>42</v>
      </c>
      <c r="E25" t="s">
        <v>35</v>
      </c>
      <c r="F25">
        <v>33</v>
      </c>
      <c r="G25">
        <v>16.09</v>
      </c>
      <c r="H25">
        <v>20</v>
      </c>
      <c r="I25">
        <v>23</v>
      </c>
      <c r="J25" t="s">
        <v>74</v>
      </c>
      <c r="K25">
        <f t="shared" si="0"/>
        <v>530.97</v>
      </c>
      <c r="O25" t="s">
        <v>24</v>
      </c>
      <c r="P25">
        <f>SUMIFS(F5:F304,E5:E304,O25)</f>
        <v>3448</v>
      </c>
    </row>
    <row r="26" spans="1:20" x14ac:dyDescent="0.45">
      <c r="A26" t="s">
        <v>75</v>
      </c>
      <c r="B26" s="1">
        <v>45006</v>
      </c>
      <c r="C26" t="s">
        <v>57</v>
      </c>
      <c r="D26" t="s">
        <v>23</v>
      </c>
      <c r="E26" t="s">
        <v>24</v>
      </c>
      <c r="F26">
        <v>76</v>
      </c>
      <c r="G26">
        <v>27.58</v>
      </c>
      <c r="H26">
        <v>20</v>
      </c>
      <c r="I26">
        <v>23</v>
      </c>
      <c r="J26" t="s">
        <v>76</v>
      </c>
      <c r="K26">
        <f t="shared" si="0"/>
        <v>2096.08</v>
      </c>
    </row>
    <row r="27" spans="1:20" x14ac:dyDescent="0.45">
      <c r="A27" t="s">
        <v>77</v>
      </c>
      <c r="B27" s="1">
        <v>44608</v>
      </c>
      <c r="C27" t="s">
        <v>17</v>
      </c>
      <c r="D27" t="s">
        <v>23</v>
      </c>
      <c r="E27" t="s">
        <v>30</v>
      </c>
      <c r="F27">
        <v>58</v>
      </c>
      <c r="G27">
        <v>25.93</v>
      </c>
      <c r="H27">
        <v>0</v>
      </c>
      <c r="I27">
        <v>20</v>
      </c>
      <c r="J27" t="s">
        <v>78</v>
      </c>
      <c r="K27">
        <f t="shared" si="0"/>
        <v>1503.94</v>
      </c>
      <c r="O27" t="s">
        <v>999</v>
      </c>
      <c r="P27">
        <f>_xlfn.RANK.EQ(P22,P22:P25,0)</f>
        <v>2</v>
      </c>
      <c r="R27" t="s">
        <v>1001</v>
      </c>
    </row>
    <row r="28" spans="1:20" x14ac:dyDescent="0.45">
      <c r="A28" t="s">
        <v>79</v>
      </c>
      <c r="B28" s="1">
        <v>44781</v>
      </c>
      <c r="C28" t="s">
        <v>57</v>
      </c>
      <c r="D28" t="s">
        <v>18</v>
      </c>
      <c r="E28" t="s">
        <v>35</v>
      </c>
      <c r="F28">
        <v>22</v>
      </c>
      <c r="G28">
        <v>32.18</v>
      </c>
      <c r="H28">
        <v>0</v>
      </c>
      <c r="I28">
        <v>24</v>
      </c>
      <c r="J28" t="s">
        <v>80</v>
      </c>
      <c r="K28">
        <f t="shared" si="0"/>
        <v>707.96</v>
      </c>
    </row>
    <row r="29" spans="1:20" x14ac:dyDescent="0.45">
      <c r="A29" t="s">
        <v>81</v>
      </c>
      <c r="B29" s="1">
        <v>44768</v>
      </c>
      <c r="C29" t="s">
        <v>17</v>
      </c>
      <c r="D29" t="s">
        <v>18</v>
      </c>
      <c r="E29" t="s">
        <v>35</v>
      </c>
      <c r="F29">
        <v>89</v>
      </c>
      <c r="G29">
        <v>13.27</v>
      </c>
      <c r="H29">
        <v>5</v>
      </c>
      <c r="I29">
        <v>25</v>
      </c>
      <c r="J29" t="s">
        <v>82</v>
      </c>
      <c r="K29">
        <f t="shared" si="0"/>
        <v>1181.03</v>
      </c>
      <c r="N29" t="s">
        <v>1002</v>
      </c>
      <c r="P29">
        <f>AVERAGEIFS(G2:G301,C2:C301,T6,D2:D301,T29)</f>
        <v>24.79454545454545</v>
      </c>
      <c r="R29" t="s">
        <v>1003</v>
      </c>
      <c r="T29" t="str" cm="1">
        <f t="array" ref="T29:T31">_xlfn.UNIQUE(D2:D301)</f>
        <v>C</v>
      </c>
    </row>
    <row r="30" spans="1:20" x14ac:dyDescent="0.45">
      <c r="A30" t="s">
        <v>83</v>
      </c>
      <c r="B30" s="1">
        <v>44966</v>
      </c>
      <c r="C30" t="s">
        <v>29</v>
      </c>
      <c r="D30" t="s">
        <v>18</v>
      </c>
      <c r="E30" t="s">
        <v>35</v>
      </c>
      <c r="F30">
        <v>49</v>
      </c>
      <c r="G30">
        <v>29.9</v>
      </c>
      <c r="H30">
        <v>0</v>
      </c>
      <c r="I30">
        <v>59</v>
      </c>
      <c r="J30" t="s">
        <v>84</v>
      </c>
      <c r="K30">
        <f t="shared" si="0"/>
        <v>1465.1</v>
      </c>
      <c r="P30">
        <f>AVERAGEIFS(G3:G302,C3:C302,T7,D3:D302,T30)</f>
        <v>28.153636363636352</v>
      </c>
      <c r="R30" t="s">
        <v>1005</v>
      </c>
      <c r="T30" t="str">
        <v>A</v>
      </c>
    </row>
    <row r="31" spans="1:20" x14ac:dyDescent="0.45">
      <c r="A31" t="s">
        <v>85</v>
      </c>
      <c r="B31" s="1">
        <v>44855</v>
      </c>
      <c r="C31" t="s">
        <v>29</v>
      </c>
      <c r="D31" t="s">
        <v>23</v>
      </c>
      <c r="E31" t="s">
        <v>19</v>
      </c>
      <c r="F31">
        <v>91</v>
      </c>
      <c r="G31">
        <v>48.97</v>
      </c>
      <c r="H31">
        <v>10</v>
      </c>
      <c r="I31">
        <v>32</v>
      </c>
      <c r="J31" t="s">
        <v>86</v>
      </c>
      <c r="K31">
        <f t="shared" si="0"/>
        <v>4456.2699999999995</v>
      </c>
      <c r="P31">
        <f>AVERAGEIFS(G4:G303,C4:C303,T8,D4:D303,T31)</f>
        <v>22.519583333333333</v>
      </c>
      <c r="T31" t="str">
        <v>B</v>
      </c>
    </row>
    <row r="32" spans="1:20" x14ac:dyDescent="0.45">
      <c r="A32" t="s">
        <v>87</v>
      </c>
      <c r="B32" s="1">
        <v>44676</v>
      </c>
      <c r="C32" t="s">
        <v>29</v>
      </c>
      <c r="D32" t="s">
        <v>18</v>
      </c>
      <c r="E32" t="s">
        <v>30</v>
      </c>
      <c r="F32">
        <v>59</v>
      </c>
      <c r="G32">
        <v>24.85</v>
      </c>
      <c r="H32">
        <v>20</v>
      </c>
      <c r="I32">
        <v>64</v>
      </c>
      <c r="J32" t="s">
        <v>88</v>
      </c>
      <c r="K32">
        <f t="shared" si="0"/>
        <v>1466.15</v>
      </c>
    </row>
    <row r="33" spans="1:18" x14ac:dyDescent="0.45">
      <c r="A33" t="s">
        <v>89</v>
      </c>
      <c r="B33" s="1">
        <v>44819</v>
      </c>
      <c r="C33" t="s">
        <v>57</v>
      </c>
      <c r="D33" t="s">
        <v>18</v>
      </c>
      <c r="E33" t="s">
        <v>19</v>
      </c>
      <c r="F33">
        <v>42</v>
      </c>
      <c r="G33">
        <v>45.4</v>
      </c>
      <c r="H33">
        <v>5</v>
      </c>
      <c r="I33">
        <v>46</v>
      </c>
      <c r="J33" t="s">
        <v>90</v>
      </c>
      <c r="K33">
        <f t="shared" si="0"/>
        <v>1906.8</v>
      </c>
      <c r="N33" t="s">
        <v>996</v>
      </c>
      <c r="P33" t="str">
        <f>TEXT(B2, "MMM-YYYY" )</f>
        <v>Jan-2023</v>
      </c>
      <c r="R33" t="s">
        <v>1004</v>
      </c>
    </row>
    <row r="34" spans="1:18" x14ac:dyDescent="0.45">
      <c r="A34" t="s">
        <v>91</v>
      </c>
      <c r="B34" s="1">
        <v>45217</v>
      </c>
      <c r="C34" t="s">
        <v>57</v>
      </c>
      <c r="D34" t="s">
        <v>18</v>
      </c>
      <c r="E34" t="s">
        <v>24</v>
      </c>
      <c r="F34">
        <v>92</v>
      </c>
      <c r="G34">
        <v>22.29</v>
      </c>
      <c r="H34">
        <v>0</v>
      </c>
      <c r="I34">
        <v>50</v>
      </c>
      <c r="J34" t="s">
        <v>92</v>
      </c>
      <c r="K34">
        <f t="shared" si="0"/>
        <v>2050.6799999999998</v>
      </c>
    </row>
    <row r="35" spans="1:18" x14ac:dyDescent="0.45">
      <c r="A35" t="s">
        <v>93</v>
      </c>
      <c r="B35" s="1">
        <v>45153</v>
      </c>
      <c r="C35" t="s">
        <v>22</v>
      </c>
      <c r="D35" t="s">
        <v>42</v>
      </c>
      <c r="E35" t="s">
        <v>35</v>
      </c>
      <c r="F35">
        <v>60</v>
      </c>
      <c r="G35">
        <v>18.149999999999999</v>
      </c>
      <c r="H35">
        <v>10</v>
      </c>
      <c r="I35">
        <v>47</v>
      </c>
      <c r="J35" t="s">
        <v>94</v>
      </c>
      <c r="K35">
        <f t="shared" si="0"/>
        <v>1089</v>
      </c>
    </row>
    <row r="36" spans="1:18" x14ac:dyDescent="0.45">
      <c r="A36" t="s">
        <v>95</v>
      </c>
      <c r="B36" s="1">
        <v>44676</v>
      </c>
      <c r="C36" t="s">
        <v>17</v>
      </c>
      <c r="D36" t="s">
        <v>18</v>
      </c>
      <c r="E36" t="s">
        <v>19</v>
      </c>
      <c r="F36">
        <v>80</v>
      </c>
      <c r="G36">
        <v>32.61</v>
      </c>
      <c r="H36">
        <v>10</v>
      </c>
      <c r="I36">
        <v>56</v>
      </c>
      <c r="J36" t="s">
        <v>96</v>
      </c>
      <c r="K36">
        <f t="shared" si="0"/>
        <v>2608.8000000000002</v>
      </c>
      <c r="N36" t="s">
        <v>995</v>
      </c>
      <c r="P36" t="str">
        <f>_xlfn.CONCAT(C2,"_",A2)</f>
        <v>North_8FGMN</v>
      </c>
      <c r="R36" t="s">
        <v>1006</v>
      </c>
    </row>
    <row r="37" spans="1:18" x14ac:dyDescent="0.45">
      <c r="A37" t="s">
        <v>97</v>
      </c>
      <c r="B37" s="1">
        <v>44711</v>
      </c>
      <c r="C37" t="s">
        <v>17</v>
      </c>
      <c r="D37" t="s">
        <v>23</v>
      </c>
      <c r="E37" t="s">
        <v>24</v>
      </c>
      <c r="F37">
        <v>15</v>
      </c>
      <c r="G37">
        <v>33.78</v>
      </c>
      <c r="H37">
        <v>0</v>
      </c>
      <c r="I37">
        <v>44</v>
      </c>
      <c r="J37" t="s">
        <v>98</v>
      </c>
      <c r="K37">
        <f t="shared" si="0"/>
        <v>506.70000000000005</v>
      </c>
    </row>
    <row r="38" spans="1:18" x14ac:dyDescent="0.45">
      <c r="A38" t="s">
        <v>99</v>
      </c>
      <c r="B38" s="1">
        <v>44984</v>
      </c>
      <c r="C38" t="s">
        <v>29</v>
      </c>
      <c r="D38" t="s">
        <v>23</v>
      </c>
      <c r="E38" t="s">
        <v>30</v>
      </c>
      <c r="F38">
        <v>62</v>
      </c>
      <c r="G38">
        <v>43.34</v>
      </c>
      <c r="H38">
        <v>20</v>
      </c>
      <c r="I38">
        <v>53</v>
      </c>
      <c r="J38" t="s">
        <v>100</v>
      </c>
      <c r="K38">
        <f t="shared" si="0"/>
        <v>2687.0800000000004</v>
      </c>
    </row>
    <row r="39" spans="1:18" x14ac:dyDescent="0.45">
      <c r="A39" t="s">
        <v>101</v>
      </c>
      <c r="B39" s="1">
        <v>45146</v>
      </c>
      <c r="C39" t="s">
        <v>17</v>
      </c>
      <c r="D39" t="s">
        <v>23</v>
      </c>
      <c r="E39" t="s">
        <v>30</v>
      </c>
      <c r="F39">
        <v>62</v>
      </c>
      <c r="G39">
        <v>12.28</v>
      </c>
      <c r="H39">
        <v>0</v>
      </c>
      <c r="I39">
        <v>46</v>
      </c>
      <c r="J39" t="s">
        <v>102</v>
      </c>
      <c r="K39">
        <f t="shared" si="0"/>
        <v>761.36</v>
      </c>
    </row>
    <row r="40" spans="1:18" x14ac:dyDescent="0.45">
      <c r="A40" t="s">
        <v>103</v>
      </c>
      <c r="B40" s="1">
        <v>45217</v>
      </c>
      <c r="C40" t="s">
        <v>22</v>
      </c>
      <c r="D40" t="s">
        <v>18</v>
      </c>
      <c r="E40" t="s">
        <v>30</v>
      </c>
      <c r="F40">
        <v>47</v>
      </c>
      <c r="G40">
        <v>25.46</v>
      </c>
      <c r="H40">
        <v>5</v>
      </c>
      <c r="I40">
        <v>55</v>
      </c>
      <c r="J40" t="s">
        <v>104</v>
      </c>
      <c r="K40">
        <f t="shared" si="0"/>
        <v>1196.6200000000001</v>
      </c>
    </row>
    <row r="41" spans="1:18" x14ac:dyDescent="0.45">
      <c r="A41" t="s">
        <v>105</v>
      </c>
      <c r="B41" s="1">
        <v>45142</v>
      </c>
      <c r="C41" t="s">
        <v>17</v>
      </c>
      <c r="D41" t="s">
        <v>23</v>
      </c>
      <c r="E41" t="s">
        <v>24</v>
      </c>
      <c r="F41">
        <v>62</v>
      </c>
      <c r="G41">
        <v>29.03</v>
      </c>
      <c r="H41">
        <v>0</v>
      </c>
      <c r="I41">
        <v>50</v>
      </c>
      <c r="J41" t="s">
        <v>106</v>
      </c>
      <c r="K41">
        <f t="shared" si="0"/>
        <v>1799.8600000000001</v>
      </c>
    </row>
    <row r="42" spans="1:18" x14ac:dyDescent="0.45">
      <c r="A42" t="s">
        <v>107</v>
      </c>
      <c r="B42" s="1">
        <v>44932</v>
      </c>
      <c r="C42" t="s">
        <v>29</v>
      </c>
      <c r="D42" t="s">
        <v>42</v>
      </c>
      <c r="E42" t="s">
        <v>30</v>
      </c>
      <c r="F42">
        <v>51</v>
      </c>
      <c r="G42">
        <v>38.659999999999997</v>
      </c>
      <c r="H42">
        <v>10</v>
      </c>
      <c r="I42">
        <v>54</v>
      </c>
      <c r="J42" t="s">
        <v>108</v>
      </c>
      <c r="K42">
        <f t="shared" si="0"/>
        <v>1971.6599999999999</v>
      </c>
    </row>
    <row r="43" spans="1:18" x14ac:dyDescent="0.45">
      <c r="A43" t="s">
        <v>109</v>
      </c>
      <c r="B43" s="1">
        <v>44995</v>
      </c>
      <c r="C43" t="s">
        <v>57</v>
      </c>
      <c r="D43" t="s">
        <v>42</v>
      </c>
      <c r="E43" t="s">
        <v>35</v>
      </c>
      <c r="F43">
        <v>55</v>
      </c>
      <c r="G43">
        <v>3.14</v>
      </c>
      <c r="H43">
        <v>0</v>
      </c>
      <c r="I43">
        <v>44</v>
      </c>
      <c r="J43" t="s">
        <v>110</v>
      </c>
      <c r="K43">
        <f t="shared" si="0"/>
        <v>172.70000000000002</v>
      </c>
    </row>
    <row r="44" spans="1:18" x14ac:dyDescent="0.45">
      <c r="A44" t="s">
        <v>111</v>
      </c>
      <c r="B44" s="1">
        <v>44808</v>
      </c>
      <c r="C44" t="s">
        <v>29</v>
      </c>
      <c r="D44" t="s">
        <v>42</v>
      </c>
      <c r="E44" t="s">
        <v>30</v>
      </c>
      <c r="F44">
        <v>64</v>
      </c>
      <c r="G44">
        <v>49.73</v>
      </c>
      <c r="H44">
        <v>20</v>
      </c>
      <c r="I44">
        <v>50</v>
      </c>
      <c r="J44" t="s">
        <v>112</v>
      </c>
      <c r="K44">
        <f t="shared" si="0"/>
        <v>3182.72</v>
      </c>
    </row>
    <row r="45" spans="1:18" x14ac:dyDescent="0.45">
      <c r="A45" t="s">
        <v>113</v>
      </c>
      <c r="B45" s="1">
        <v>44700</v>
      </c>
      <c r="C45" t="s">
        <v>22</v>
      </c>
      <c r="D45" t="s">
        <v>18</v>
      </c>
      <c r="E45" t="s">
        <v>35</v>
      </c>
      <c r="F45">
        <v>3</v>
      </c>
      <c r="G45">
        <v>24.03</v>
      </c>
      <c r="H45">
        <v>15</v>
      </c>
      <c r="I45">
        <v>21</v>
      </c>
      <c r="J45" t="s">
        <v>114</v>
      </c>
      <c r="K45">
        <f t="shared" si="0"/>
        <v>72.09</v>
      </c>
      <c r="N45" t="s">
        <v>0</v>
      </c>
      <c r="O45" t="s">
        <v>1</v>
      </c>
    </row>
    <row r="46" spans="1:18" x14ac:dyDescent="0.45">
      <c r="A46" t="s">
        <v>115</v>
      </c>
      <c r="B46" s="1">
        <v>44760</v>
      </c>
      <c r="C46" t="s">
        <v>17</v>
      </c>
      <c r="D46" t="s">
        <v>42</v>
      </c>
      <c r="E46" t="s">
        <v>30</v>
      </c>
      <c r="F46">
        <v>51</v>
      </c>
      <c r="G46">
        <v>14.7</v>
      </c>
      <c r="H46">
        <v>0</v>
      </c>
      <c r="I46">
        <v>39</v>
      </c>
      <c r="J46" t="s">
        <v>116</v>
      </c>
      <c r="K46">
        <f t="shared" si="0"/>
        <v>749.69999999999993</v>
      </c>
      <c r="N46" t="s">
        <v>2</v>
      </c>
      <c r="O46" t="s">
        <v>627</v>
      </c>
    </row>
    <row r="47" spans="1:18" x14ac:dyDescent="0.45">
      <c r="A47" t="s">
        <v>117</v>
      </c>
      <c r="B47" s="1">
        <v>45228</v>
      </c>
      <c r="C47" t="s">
        <v>57</v>
      </c>
      <c r="D47" t="s">
        <v>18</v>
      </c>
      <c r="E47" t="s">
        <v>30</v>
      </c>
      <c r="F47">
        <v>7</v>
      </c>
      <c r="G47">
        <v>44.29</v>
      </c>
      <c r="H47">
        <v>20</v>
      </c>
      <c r="I47">
        <v>19</v>
      </c>
      <c r="J47" t="s">
        <v>118</v>
      </c>
      <c r="K47">
        <f t="shared" si="0"/>
        <v>310.02999999999997</v>
      </c>
      <c r="N47" t="s">
        <v>4</v>
      </c>
      <c r="O47" t="s">
        <v>628</v>
      </c>
    </row>
    <row r="48" spans="1:18" x14ac:dyDescent="0.45">
      <c r="A48" t="s">
        <v>119</v>
      </c>
      <c r="B48" s="1">
        <v>44906</v>
      </c>
      <c r="C48" t="s">
        <v>57</v>
      </c>
      <c r="D48" t="s">
        <v>23</v>
      </c>
      <c r="E48" t="s">
        <v>19</v>
      </c>
      <c r="F48">
        <v>21</v>
      </c>
      <c r="G48">
        <v>37.64</v>
      </c>
      <c r="H48">
        <v>20</v>
      </c>
      <c r="I48">
        <v>27</v>
      </c>
      <c r="J48" t="s">
        <v>120</v>
      </c>
      <c r="K48">
        <f t="shared" si="0"/>
        <v>790.44</v>
      </c>
      <c r="N48" t="s">
        <v>629</v>
      </c>
      <c r="O48" t="s">
        <v>630</v>
      </c>
    </row>
    <row r="49" spans="1:15" x14ac:dyDescent="0.45">
      <c r="A49" t="s">
        <v>121</v>
      </c>
      <c r="B49" s="1">
        <v>44944</v>
      </c>
      <c r="C49" t="s">
        <v>29</v>
      </c>
      <c r="D49" t="s">
        <v>23</v>
      </c>
      <c r="E49" t="s">
        <v>30</v>
      </c>
      <c r="F49">
        <v>73</v>
      </c>
      <c r="G49">
        <v>47.7</v>
      </c>
      <c r="H49">
        <v>10</v>
      </c>
      <c r="I49">
        <v>22</v>
      </c>
      <c r="J49" t="s">
        <v>122</v>
      </c>
      <c r="K49">
        <f t="shared" si="0"/>
        <v>3482.1000000000004</v>
      </c>
      <c r="N49" t="s">
        <v>631</v>
      </c>
      <c r="O49" t="s">
        <v>632</v>
      </c>
    </row>
    <row r="50" spans="1:15" x14ac:dyDescent="0.45">
      <c r="A50" t="s">
        <v>123</v>
      </c>
      <c r="B50" s="1">
        <v>45170</v>
      </c>
      <c r="C50" t="s">
        <v>57</v>
      </c>
      <c r="D50" t="s">
        <v>18</v>
      </c>
      <c r="E50" t="s">
        <v>19</v>
      </c>
      <c r="F50">
        <v>39</v>
      </c>
      <c r="G50">
        <v>17.21</v>
      </c>
      <c r="H50">
        <v>20</v>
      </c>
      <c r="I50">
        <v>27</v>
      </c>
      <c r="J50" t="s">
        <v>124</v>
      </c>
      <c r="K50">
        <f t="shared" si="0"/>
        <v>671.19</v>
      </c>
      <c r="N50" t="s">
        <v>633</v>
      </c>
      <c r="O50" t="s">
        <v>634</v>
      </c>
    </row>
    <row r="51" spans="1:15" x14ac:dyDescent="0.45">
      <c r="A51" t="s">
        <v>125</v>
      </c>
      <c r="B51" s="1">
        <v>44729</v>
      </c>
      <c r="C51" t="s">
        <v>22</v>
      </c>
      <c r="D51" t="s">
        <v>42</v>
      </c>
      <c r="E51" t="s">
        <v>24</v>
      </c>
      <c r="F51">
        <v>18</v>
      </c>
      <c r="G51">
        <v>28.09</v>
      </c>
      <c r="H51">
        <v>20</v>
      </c>
      <c r="I51">
        <v>50</v>
      </c>
      <c r="J51" t="s">
        <v>126</v>
      </c>
      <c r="K51">
        <f t="shared" si="0"/>
        <v>505.62</v>
      </c>
      <c r="N51" t="s">
        <v>635</v>
      </c>
      <c r="O51" t="s">
        <v>636</v>
      </c>
    </row>
    <row r="52" spans="1:15" x14ac:dyDescent="0.45">
      <c r="A52" t="s">
        <v>127</v>
      </c>
      <c r="B52" s="1">
        <v>45143</v>
      </c>
      <c r="C52" t="s">
        <v>29</v>
      </c>
      <c r="D52" t="s">
        <v>23</v>
      </c>
      <c r="E52" t="s">
        <v>24</v>
      </c>
      <c r="F52">
        <v>4</v>
      </c>
      <c r="G52">
        <v>29.04</v>
      </c>
      <c r="H52">
        <v>20</v>
      </c>
      <c r="I52">
        <v>55</v>
      </c>
      <c r="J52" t="s">
        <v>128</v>
      </c>
      <c r="K52">
        <f t="shared" si="0"/>
        <v>116.16</v>
      </c>
      <c r="N52" t="s">
        <v>637</v>
      </c>
      <c r="O52" t="s">
        <v>638</v>
      </c>
    </row>
    <row r="53" spans="1:15" x14ac:dyDescent="0.45">
      <c r="A53" t="s">
        <v>129</v>
      </c>
      <c r="B53" s="1">
        <v>45013</v>
      </c>
      <c r="C53" t="s">
        <v>57</v>
      </c>
      <c r="D53" t="s">
        <v>23</v>
      </c>
      <c r="E53" t="s">
        <v>30</v>
      </c>
      <c r="F53">
        <v>89</v>
      </c>
      <c r="G53">
        <v>49.04</v>
      </c>
      <c r="H53">
        <v>20</v>
      </c>
      <c r="I53">
        <v>30</v>
      </c>
      <c r="J53" t="s">
        <v>130</v>
      </c>
      <c r="K53">
        <f t="shared" si="0"/>
        <v>4364.5599999999995</v>
      </c>
      <c r="N53" t="s">
        <v>639</v>
      </c>
      <c r="O53" t="s">
        <v>640</v>
      </c>
    </row>
    <row r="54" spans="1:15" x14ac:dyDescent="0.45">
      <c r="A54" t="s">
        <v>131</v>
      </c>
      <c r="B54" s="1">
        <v>45028</v>
      </c>
      <c r="C54" t="s">
        <v>29</v>
      </c>
      <c r="D54" t="s">
        <v>42</v>
      </c>
      <c r="E54" t="s">
        <v>19</v>
      </c>
      <c r="F54">
        <v>60</v>
      </c>
      <c r="G54">
        <v>4.6900000000000004</v>
      </c>
      <c r="H54">
        <v>5</v>
      </c>
      <c r="I54">
        <v>48</v>
      </c>
      <c r="J54" t="s">
        <v>132</v>
      </c>
      <c r="K54">
        <f t="shared" si="0"/>
        <v>281.40000000000003</v>
      </c>
      <c r="N54" t="s">
        <v>641</v>
      </c>
      <c r="O54" t="s">
        <v>642</v>
      </c>
    </row>
    <row r="55" spans="1:15" x14ac:dyDescent="0.45">
      <c r="A55" t="s">
        <v>133</v>
      </c>
      <c r="B55" s="1">
        <v>45166</v>
      </c>
      <c r="C55" t="s">
        <v>57</v>
      </c>
      <c r="D55" t="s">
        <v>23</v>
      </c>
      <c r="E55" t="s">
        <v>24</v>
      </c>
      <c r="F55">
        <v>14</v>
      </c>
      <c r="G55">
        <v>15.98</v>
      </c>
      <c r="H55">
        <v>5</v>
      </c>
      <c r="I55">
        <v>64</v>
      </c>
      <c r="J55" t="s">
        <v>134</v>
      </c>
      <c r="K55">
        <f t="shared" si="0"/>
        <v>223.72</v>
      </c>
      <c r="N55" t="s">
        <v>643</v>
      </c>
      <c r="O55" t="s">
        <v>644</v>
      </c>
    </row>
    <row r="56" spans="1:15" x14ac:dyDescent="0.45">
      <c r="A56" t="s">
        <v>135</v>
      </c>
      <c r="B56" s="1">
        <v>44662</v>
      </c>
      <c r="C56" t="s">
        <v>57</v>
      </c>
      <c r="D56" t="s">
        <v>42</v>
      </c>
      <c r="E56" t="s">
        <v>24</v>
      </c>
      <c r="F56">
        <v>9</v>
      </c>
      <c r="G56">
        <v>10.35</v>
      </c>
      <c r="H56">
        <v>10</v>
      </c>
      <c r="I56">
        <v>53</v>
      </c>
      <c r="J56" t="s">
        <v>136</v>
      </c>
      <c r="K56">
        <f t="shared" si="0"/>
        <v>93.149999999999991</v>
      </c>
    </row>
    <row r="57" spans="1:15" x14ac:dyDescent="0.45">
      <c r="A57" t="s">
        <v>137</v>
      </c>
      <c r="B57" s="1">
        <v>44689</v>
      </c>
      <c r="C57" t="s">
        <v>57</v>
      </c>
      <c r="D57" t="s">
        <v>42</v>
      </c>
      <c r="E57" t="s">
        <v>24</v>
      </c>
      <c r="F57">
        <v>90</v>
      </c>
      <c r="G57">
        <v>14.16</v>
      </c>
      <c r="H57">
        <v>0</v>
      </c>
      <c r="I57">
        <v>62</v>
      </c>
      <c r="J57" t="s">
        <v>138</v>
      </c>
      <c r="K57">
        <f t="shared" si="0"/>
        <v>1274.4000000000001</v>
      </c>
    </row>
    <row r="58" spans="1:15" x14ac:dyDescent="0.45">
      <c r="A58" t="s">
        <v>139</v>
      </c>
      <c r="B58" s="1">
        <v>44969</v>
      </c>
      <c r="C58" t="s">
        <v>29</v>
      </c>
      <c r="D58" t="s">
        <v>42</v>
      </c>
      <c r="E58" t="s">
        <v>24</v>
      </c>
      <c r="F58">
        <v>53</v>
      </c>
      <c r="G58">
        <v>24.78</v>
      </c>
      <c r="H58">
        <v>20</v>
      </c>
      <c r="I58">
        <v>41</v>
      </c>
      <c r="J58" t="s">
        <v>140</v>
      </c>
      <c r="K58">
        <f t="shared" si="0"/>
        <v>1313.3400000000001</v>
      </c>
    </row>
    <row r="59" spans="1:15" x14ac:dyDescent="0.45">
      <c r="A59" t="s">
        <v>141</v>
      </c>
      <c r="B59" s="1">
        <v>45034</v>
      </c>
      <c r="C59" t="s">
        <v>17</v>
      </c>
      <c r="D59" t="s">
        <v>23</v>
      </c>
      <c r="E59" t="s">
        <v>19</v>
      </c>
      <c r="F59">
        <v>2</v>
      </c>
      <c r="G59">
        <v>19.260000000000002</v>
      </c>
      <c r="H59">
        <v>0</v>
      </c>
      <c r="I59">
        <v>32</v>
      </c>
      <c r="J59" t="s">
        <v>142</v>
      </c>
      <c r="K59">
        <f t="shared" si="0"/>
        <v>38.520000000000003</v>
      </c>
    </row>
    <row r="60" spans="1:15" x14ac:dyDescent="0.45">
      <c r="A60" t="s">
        <v>143</v>
      </c>
      <c r="B60" s="1">
        <v>44696</v>
      </c>
      <c r="C60" t="s">
        <v>57</v>
      </c>
      <c r="D60" t="s">
        <v>23</v>
      </c>
      <c r="E60" t="s">
        <v>35</v>
      </c>
      <c r="F60">
        <v>84</v>
      </c>
      <c r="G60">
        <v>20.34</v>
      </c>
      <c r="H60">
        <v>0</v>
      </c>
      <c r="I60">
        <v>46</v>
      </c>
      <c r="J60" t="s">
        <v>144</v>
      </c>
      <c r="K60">
        <f t="shared" si="0"/>
        <v>1708.56</v>
      </c>
    </row>
    <row r="61" spans="1:15" x14ac:dyDescent="0.45">
      <c r="A61" t="s">
        <v>145</v>
      </c>
      <c r="B61" s="1">
        <v>45010</v>
      </c>
      <c r="C61" t="s">
        <v>17</v>
      </c>
      <c r="D61" t="s">
        <v>23</v>
      </c>
      <c r="E61" t="s">
        <v>19</v>
      </c>
      <c r="F61">
        <v>92</v>
      </c>
      <c r="G61">
        <v>42.37</v>
      </c>
      <c r="H61">
        <v>10</v>
      </c>
      <c r="I61">
        <v>25</v>
      </c>
      <c r="J61" t="s">
        <v>146</v>
      </c>
      <c r="K61">
        <f t="shared" si="0"/>
        <v>3898.04</v>
      </c>
    </row>
    <row r="62" spans="1:15" x14ac:dyDescent="0.45">
      <c r="A62" t="s">
        <v>147</v>
      </c>
      <c r="B62" s="1">
        <v>44586</v>
      </c>
      <c r="C62" t="s">
        <v>57</v>
      </c>
      <c r="D62" t="s">
        <v>18</v>
      </c>
      <c r="E62" t="s">
        <v>30</v>
      </c>
      <c r="F62">
        <v>60</v>
      </c>
      <c r="G62">
        <v>46.57</v>
      </c>
      <c r="H62">
        <v>20</v>
      </c>
      <c r="I62">
        <v>22</v>
      </c>
      <c r="J62" t="s">
        <v>148</v>
      </c>
      <c r="K62">
        <f t="shared" si="0"/>
        <v>2794.2</v>
      </c>
    </row>
    <row r="63" spans="1:15" x14ac:dyDescent="0.45">
      <c r="A63" t="s">
        <v>149</v>
      </c>
      <c r="B63" s="1">
        <v>44663</v>
      </c>
      <c r="C63" t="s">
        <v>57</v>
      </c>
      <c r="D63" t="s">
        <v>18</v>
      </c>
      <c r="E63" t="s">
        <v>24</v>
      </c>
      <c r="F63">
        <v>71</v>
      </c>
      <c r="G63">
        <v>4.45</v>
      </c>
      <c r="H63">
        <v>20</v>
      </c>
      <c r="I63">
        <v>46</v>
      </c>
      <c r="J63" t="s">
        <v>150</v>
      </c>
      <c r="K63">
        <f t="shared" si="0"/>
        <v>315.95</v>
      </c>
    </row>
    <row r="64" spans="1:15" x14ac:dyDescent="0.45">
      <c r="A64" t="s">
        <v>151</v>
      </c>
      <c r="B64" s="1">
        <v>44724</v>
      </c>
      <c r="C64" t="s">
        <v>29</v>
      </c>
      <c r="D64" t="s">
        <v>42</v>
      </c>
      <c r="E64" t="s">
        <v>24</v>
      </c>
      <c r="F64">
        <v>44</v>
      </c>
      <c r="G64">
        <v>11.24</v>
      </c>
      <c r="H64">
        <v>15</v>
      </c>
      <c r="I64">
        <v>64</v>
      </c>
      <c r="J64" t="s">
        <v>152</v>
      </c>
      <c r="K64">
        <f t="shared" si="0"/>
        <v>494.56</v>
      </c>
    </row>
    <row r="65" spans="1:11" x14ac:dyDescent="0.45">
      <c r="A65" t="s">
        <v>153</v>
      </c>
      <c r="B65" s="1">
        <v>45137</v>
      </c>
      <c r="C65" t="s">
        <v>29</v>
      </c>
      <c r="D65" t="s">
        <v>23</v>
      </c>
      <c r="E65" t="s">
        <v>35</v>
      </c>
      <c r="F65">
        <v>8</v>
      </c>
      <c r="G65">
        <v>33.89</v>
      </c>
      <c r="H65">
        <v>0</v>
      </c>
      <c r="I65">
        <v>21</v>
      </c>
      <c r="J65" t="s">
        <v>154</v>
      </c>
      <c r="K65">
        <f t="shared" si="0"/>
        <v>271.12</v>
      </c>
    </row>
    <row r="66" spans="1:11" x14ac:dyDescent="0.45">
      <c r="A66" t="s">
        <v>155</v>
      </c>
      <c r="B66" s="1">
        <v>45087</v>
      </c>
      <c r="C66" t="s">
        <v>29</v>
      </c>
      <c r="D66" t="s">
        <v>23</v>
      </c>
      <c r="E66" t="s">
        <v>19</v>
      </c>
      <c r="F66">
        <v>47</v>
      </c>
      <c r="G66">
        <v>18.57</v>
      </c>
      <c r="H66">
        <v>0</v>
      </c>
      <c r="I66">
        <v>29</v>
      </c>
      <c r="J66" t="s">
        <v>156</v>
      </c>
      <c r="K66">
        <f t="shared" si="0"/>
        <v>872.79</v>
      </c>
    </row>
    <row r="67" spans="1:11" x14ac:dyDescent="0.45">
      <c r="A67" t="s">
        <v>157</v>
      </c>
      <c r="B67" s="1">
        <v>45258</v>
      </c>
      <c r="C67" t="s">
        <v>22</v>
      </c>
      <c r="D67" t="s">
        <v>23</v>
      </c>
      <c r="E67" t="s">
        <v>35</v>
      </c>
      <c r="F67">
        <v>35</v>
      </c>
      <c r="G67">
        <v>13.45</v>
      </c>
      <c r="H67">
        <v>5</v>
      </c>
      <c r="I67">
        <v>62</v>
      </c>
      <c r="J67" t="s">
        <v>158</v>
      </c>
      <c r="K67">
        <f t="shared" ref="K67:K130" si="2">G67*F67</f>
        <v>470.75</v>
      </c>
    </row>
    <row r="68" spans="1:11" x14ac:dyDescent="0.45">
      <c r="A68" t="s">
        <v>159</v>
      </c>
      <c r="B68" s="1">
        <v>44873</v>
      </c>
      <c r="C68" t="s">
        <v>22</v>
      </c>
      <c r="D68" t="s">
        <v>42</v>
      </c>
      <c r="E68" t="s">
        <v>19</v>
      </c>
      <c r="F68">
        <v>78</v>
      </c>
      <c r="G68">
        <v>15.47</v>
      </c>
      <c r="H68">
        <v>15</v>
      </c>
      <c r="I68">
        <v>19</v>
      </c>
      <c r="J68" t="s">
        <v>160</v>
      </c>
      <c r="K68">
        <f t="shared" si="2"/>
        <v>1206.6600000000001</v>
      </c>
    </row>
    <row r="69" spans="1:11" x14ac:dyDescent="0.45">
      <c r="A69" t="s">
        <v>161</v>
      </c>
      <c r="B69" s="1">
        <v>44879</v>
      </c>
      <c r="C69" t="s">
        <v>29</v>
      </c>
      <c r="D69" t="s">
        <v>23</v>
      </c>
      <c r="E69" t="s">
        <v>19</v>
      </c>
      <c r="F69">
        <v>81</v>
      </c>
      <c r="G69">
        <v>16.8</v>
      </c>
      <c r="H69">
        <v>5</v>
      </c>
      <c r="I69">
        <v>44</v>
      </c>
      <c r="J69" t="s">
        <v>162</v>
      </c>
      <c r="K69">
        <f t="shared" si="2"/>
        <v>1360.8</v>
      </c>
    </row>
    <row r="70" spans="1:11" x14ac:dyDescent="0.45">
      <c r="A70" t="s">
        <v>163</v>
      </c>
      <c r="B70" s="1">
        <v>45174</v>
      </c>
      <c r="C70" t="s">
        <v>29</v>
      </c>
      <c r="D70" t="s">
        <v>18</v>
      </c>
      <c r="E70" t="s">
        <v>19</v>
      </c>
      <c r="F70">
        <v>36</v>
      </c>
      <c r="G70">
        <v>42.58</v>
      </c>
      <c r="H70">
        <v>5</v>
      </c>
      <c r="I70">
        <v>48</v>
      </c>
      <c r="J70" t="s">
        <v>164</v>
      </c>
      <c r="K70">
        <f t="shared" si="2"/>
        <v>1532.8799999999999</v>
      </c>
    </row>
    <row r="71" spans="1:11" x14ac:dyDescent="0.45">
      <c r="A71" t="s">
        <v>165</v>
      </c>
      <c r="B71" s="1">
        <v>45036</v>
      </c>
      <c r="C71" t="s">
        <v>22</v>
      </c>
      <c r="D71" t="s">
        <v>18</v>
      </c>
      <c r="E71" t="s">
        <v>24</v>
      </c>
      <c r="F71">
        <v>50</v>
      </c>
      <c r="G71">
        <v>7.69</v>
      </c>
      <c r="H71">
        <v>5</v>
      </c>
      <c r="I71">
        <v>53</v>
      </c>
      <c r="J71" t="s">
        <v>166</v>
      </c>
      <c r="K71">
        <f t="shared" si="2"/>
        <v>384.5</v>
      </c>
    </row>
    <row r="72" spans="1:11" x14ac:dyDescent="0.45">
      <c r="A72" t="s">
        <v>167</v>
      </c>
      <c r="B72" s="1">
        <v>45107</v>
      </c>
      <c r="C72" t="s">
        <v>22</v>
      </c>
      <c r="D72" t="s">
        <v>18</v>
      </c>
      <c r="E72" t="s">
        <v>19</v>
      </c>
      <c r="F72">
        <v>4</v>
      </c>
      <c r="G72">
        <v>35.74</v>
      </c>
      <c r="H72">
        <v>10</v>
      </c>
      <c r="I72">
        <v>53</v>
      </c>
      <c r="J72" t="s">
        <v>168</v>
      </c>
      <c r="K72">
        <f t="shared" si="2"/>
        <v>142.96</v>
      </c>
    </row>
    <row r="73" spans="1:11" x14ac:dyDescent="0.45">
      <c r="A73" t="s">
        <v>169</v>
      </c>
      <c r="B73" s="1">
        <v>44918</v>
      </c>
      <c r="C73" t="s">
        <v>22</v>
      </c>
      <c r="D73" t="s">
        <v>23</v>
      </c>
      <c r="E73" t="s">
        <v>30</v>
      </c>
      <c r="F73">
        <v>2</v>
      </c>
      <c r="G73">
        <v>28.09</v>
      </c>
      <c r="H73">
        <v>10</v>
      </c>
      <c r="I73">
        <v>43</v>
      </c>
      <c r="J73" t="s">
        <v>170</v>
      </c>
      <c r="K73">
        <f t="shared" si="2"/>
        <v>56.18</v>
      </c>
    </row>
    <row r="74" spans="1:11" x14ac:dyDescent="0.45">
      <c r="A74" t="s">
        <v>171</v>
      </c>
      <c r="B74" s="1">
        <v>44889</v>
      </c>
      <c r="C74" t="s">
        <v>57</v>
      </c>
      <c r="D74" t="s">
        <v>18</v>
      </c>
      <c r="E74" t="s">
        <v>24</v>
      </c>
      <c r="F74">
        <v>6</v>
      </c>
      <c r="G74">
        <v>15.53</v>
      </c>
      <c r="H74">
        <v>5</v>
      </c>
      <c r="I74">
        <v>60</v>
      </c>
      <c r="J74" t="s">
        <v>172</v>
      </c>
      <c r="K74">
        <f t="shared" si="2"/>
        <v>93.179999999999993</v>
      </c>
    </row>
    <row r="75" spans="1:11" x14ac:dyDescent="0.45">
      <c r="A75" t="s">
        <v>173</v>
      </c>
      <c r="B75" s="1">
        <v>44734</v>
      </c>
      <c r="C75" t="s">
        <v>57</v>
      </c>
      <c r="D75" t="s">
        <v>23</v>
      </c>
      <c r="E75" t="s">
        <v>35</v>
      </c>
      <c r="F75">
        <v>54</v>
      </c>
      <c r="G75">
        <v>21.57</v>
      </c>
      <c r="H75">
        <v>15</v>
      </c>
      <c r="I75">
        <v>44</v>
      </c>
      <c r="J75" t="s">
        <v>174</v>
      </c>
      <c r="K75">
        <f t="shared" si="2"/>
        <v>1164.78</v>
      </c>
    </row>
    <row r="76" spans="1:11" x14ac:dyDescent="0.45">
      <c r="A76" t="s">
        <v>175</v>
      </c>
      <c r="B76" s="1">
        <v>45105</v>
      </c>
      <c r="C76" t="s">
        <v>22</v>
      </c>
      <c r="D76" t="s">
        <v>42</v>
      </c>
      <c r="E76" t="s">
        <v>24</v>
      </c>
      <c r="F76">
        <v>4</v>
      </c>
      <c r="G76">
        <v>13.55</v>
      </c>
      <c r="H76">
        <v>0</v>
      </c>
      <c r="I76">
        <v>22</v>
      </c>
      <c r="J76" t="s">
        <v>176</v>
      </c>
      <c r="K76">
        <f t="shared" si="2"/>
        <v>54.2</v>
      </c>
    </row>
    <row r="77" spans="1:11" x14ac:dyDescent="0.45">
      <c r="A77" t="s">
        <v>177</v>
      </c>
      <c r="B77" s="1">
        <v>45122</v>
      </c>
      <c r="C77" t="s">
        <v>17</v>
      </c>
      <c r="D77" t="s">
        <v>23</v>
      </c>
      <c r="E77" t="s">
        <v>30</v>
      </c>
      <c r="F77">
        <v>54</v>
      </c>
      <c r="G77">
        <v>30.96</v>
      </c>
      <c r="H77">
        <v>15</v>
      </c>
      <c r="I77">
        <v>37</v>
      </c>
      <c r="J77" t="s">
        <v>178</v>
      </c>
      <c r="K77">
        <f t="shared" si="2"/>
        <v>1671.8400000000001</v>
      </c>
    </row>
    <row r="78" spans="1:11" x14ac:dyDescent="0.45">
      <c r="A78" t="s">
        <v>179</v>
      </c>
      <c r="B78" s="1">
        <v>45140</v>
      </c>
      <c r="C78" t="s">
        <v>22</v>
      </c>
      <c r="D78" t="s">
        <v>42</v>
      </c>
      <c r="E78" t="s">
        <v>19</v>
      </c>
      <c r="F78">
        <v>93</v>
      </c>
      <c r="G78">
        <v>5</v>
      </c>
      <c r="H78">
        <v>20</v>
      </c>
      <c r="I78">
        <v>28</v>
      </c>
      <c r="J78" t="s">
        <v>180</v>
      </c>
      <c r="K78">
        <f t="shared" si="2"/>
        <v>465</v>
      </c>
    </row>
    <row r="79" spans="1:11" x14ac:dyDescent="0.45">
      <c r="A79" t="s">
        <v>181</v>
      </c>
      <c r="B79" s="1">
        <v>45080</v>
      </c>
      <c r="C79" t="s">
        <v>22</v>
      </c>
      <c r="D79" t="s">
        <v>18</v>
      </c>
      <c r="E79" t="s">
        <v>19</v>
      </c>
      <c r="F79">
        <v>63</v>
      </c>
      <c r="G79">
        <v>1.25</v>
      </c>
      <c r="H79">
        <v>10</v>
      </c>
      <c r="I79">
        <v>27</v>
      </c>
      <c r="J79" t="s">
        <v>182</v>
      </c>
      <c r="K79">
        <f t="shared" si="2"/>
        <v>78.75</v>
      </c>
    </row>
    <row r="80" spans="1:11" x14ac:dyDescent="0.45">
      <c r="A80" t="s">
        <v>183</v>
      </c>
      <c r="B80" s="1">
        <v>45119</v>
      </c>
      <c r="C80" t="s">
        <v>17</v>
      </c>
      <c r="D80" t="s">
        <v>18</v>
      </c>
      <c r="E80" t="s">
        <v>24</v>
      </c>
      <c r="F80">
        <v>18</v>
      </c>
      <c r="G80">
        <v>31.77</v>
      </c>
      <c r="H80">
        <v>0</v>
      </c>
      <c r="I80">
        <v>57</v>
      </c>
      <c r="J80" t="s">
        <v>184</v>
      </c>
      <c r="K80">
        <f t="shared" si="2"/>
        <v>571.86</v>
      </c>
    </row>
    <row r="81" spans="1:11" x14ac:dyDescent="0.45">
      <c r="A81" t="s">
        <v>185</v>
      </c>
      <c r="B81" s="1">
        <v>45260</v>
      </c>
      <c r="C81" t="s">
        <v>17</v>
      </c>
      <c r="D81" t="s">
        <v>18</v>
      </c>
      <c r="E81" t="s">
        <v>19</v>
      </c>
      <c r="F81">
        <v>90</v>
      </c>
      <c r="G81">
        <v>10.52</v>
      </c>
      <c r="H81">
        <v>0</v>
      </c>
      <c r="I81">
        <v>55</v>
      </c>
      <c r="J81" t="s">
        <v>186</v>
      </c>
      <c r="K81">
        <f t="shared" si="2"/>
        <v>946.8</v>
      </c>
    </row>
    <row r="82" spans="1:11" x14ac:dyDescent="0.45">
      <c r="A82" t="s">
        <v>187</v>
      </c>
      <c r="B82" s="1">
        <v>44751</v>
      </c>
      <c r="C82" t="s">
        <v>57</v>
      </c>
      <c r="D82" t="s">
        <v>23</v>
      </c>
      <c r="E82" t="s">
        <v>24</v>
      </c>
      <c r="F82">
        <v>44</v>
      </c>
      <c r="G82">
        <v>4.4800000000000004</v>
      </c>
      <c r="H82">
        <v>20</v>
      </c>
      <c r="I82">
        <v>23</v>
      </c>
      <c r="J82" t="s">
        <v>188</v>
      </c>
      <c r="K82">
        <f t="shared" si="2"/>
        <v>197.12</v>
      </c>
    </row>
    <row r="83" spans="1:11" x14ac:dyDescent="0.45">
      <c r="A83" t="s">
        <v>189</v>
      </c>
      <c r="B83" s="1">
        <v>44743</v>
      </c>
      <c r="C83" t="s">
        <v>17</v>
      </c>
      <c r="D83" t="s">
        <v>18</v>
      </c>
      <c r="E83" t="s">
        <v>19</v>
      </c>
      <c r="F83">
        <v>34</v>
      </c>
      <c r="G83">
        <v>20.440000000000001</v>
      </c>
      <c r="H83">
        <v>20</v>
      </c>
      <c r="I83">
        <v>25</v>
      </c>
      <c r="J83" t="s">
        <v>190</v>
      </c>
      <c r="K83">
        <f t="shared" si="2"/>
        <v>694.96</v>
      </c>
    </row>
    <row r="84" spans="1:11" x14ac:dyDescent="0.45">
      <c r="A84" t="s">
        <v>191</v>
      </c>
      <c r="B84" s="1">
        <v>45240</v>
      </c>
      <c r="C84" t="s">
        <v>22</v>
      </c>
      <c r="D84" t="s">
        <v>42</v>
      </c>
      <c r="E84" t="s">
        <v>35</v>
      </c>
      <c r="F84">
        <v>74</v>
      </c>
      <c r="G84">
        <v>3.49</v>
      </c>
      <c r="H84">
        <v>5</v>
      </c>
      <c r="I84">
        <v>40</v>
      </c>
      <c r="J84" t="s">
        <v>192</v>
      </c>
      <c r="K84">
        <f t="shared" si="2"/>
        <v>258.26</v>
      </c>
    </row>
    <row r="85" spans="1:11" x14ac:dyDescent="0.45">
      <c r="A85" t="s">
        <v>193</v>
      </c>
      <c r="B85" s="1">
        <v>44615</v>
      </c>
      <c r="C85" t="s">
        <v>22</v>
      </c>
      <c r="D85" t="s">
        <v>18</v>
      </c>
      <c r="E85" t="s">
        <v>30</v>
      </c>
      <c r="F85">
        <v>62</v>
      </c>
      <c r="G85">
        <v>44.44</v>
      </c>
      <c r="H85">
        <v>10</v>
      </c>
      <c r="I85">
        <v>64</v>
      </c>
      <c r="J85" t="s">
        <v>194</v>
      </c>
      <c r="K85">
        <f t="shared" si="2"/>
        <v>2755.2799999999997</v>
      </c>
    </row>
    <row r="86" spans="1:11" x14ac:dyDescent="0.45">
      <c r="A86" t="s">
        <v>195</v>
      </c>
      <c r="B86" s="1">
        <v>44700</v>
      </c>
      <c r="C86" t="s">
        <v>29</v>
      </c>
      <c r="D86" t="s">
        <v>18</v>
      </c>
      <c r="E86" t="s">
        <v>24</v>
      </c>
      <c r="F86">
        <v>14</v>
      </c>
      <c r="G86">
        <v>2.35</v>
      </c>
      <c r="H86">
        <v>10</v>
      </c>
      <c r="I86">
        <v>43</v>
      </c>
      <c r="J86" t="s">
        <v>196</v>
      </c>
      <c r="K86">
        <f t="shared" si="2"/>
        <v>32.9</v>
      </c>
    </row>
    <row r="87" spans="1:11" x14ac:dyDescent="0.45">
      <c r="A87" t="s">
        <v>197</v>
      </c>
      <c r="B87" s="1">
        <v>45070</v>
      </c>
      <c r="C87" t="s">
        <v>17</v>
      </c>
      <c r="D87" t="s">
        <v>18</v>
      </c>
      <c r="E87" t="s">
        <v>35</v>
      </c>
      <c r="F87">
        <v>95</v>
      </c>
      <c r="G87">
        <v>29.36</v>
      </c>
      <c r="H87">
        <v>15</v>
      </c>
      <c r="I87">
        <v>63</v>
      </c>
      <c r="J87" t="s">
        <v>198</v>
      </c>
      <c r="K87">
        <f t="shared" si="2"/>
        <v>2789.2</v>
      </c>
    </row>
    <row r="88" spans="1:11" x14ac:dyDescent="0.45">
      <c r="A88" t="s">
        <v>199</v>
      </c>
      <c r="B88" s="1">
        <v>45000</v>
      </c>
      <c r="C88" t="s">
        <v>17</v>
      </c>
      <c r="D88" t="s">
        <v>23</v>
      </c>
      <c r="E88" t="s">
        <v>24</v>
      </c>
      <c r="F88">
        <v>48</v>
      </c>
      <c r="G88">
        <v>22.49</v>
      </c>
      <c r="H88">
        <v>5</v>
      </c>
      <c r="I88">
        <v>60</v>
      </c>
      <c r="J88" t="s">
        <v>200</v>
      </c>
      <c r="K88">
        <f t="shared" si="2"/>
        <v>1079.52</v>
      </c>
    </row>
    <row r="89" spans="1:11" x14ac:dyDescent="0.45">
      <c r="A89" t="s">
        <v>201</v>
      </c>
      <c r="B89" s="1">
        <v>44734</v>
      </c>
      <c r="C89" t="s">
        <v>22</v>
      </c>
      <c r="D89" t="s">
        <v>18</v>
      </c>
      <c r="E89" t="s">
        <v>24</v>
      </c>
      <c r="F89">
        <v>15</v>
      </c>
      <c r="G89">
        <v>33.93</v>
      </c>
      <c r="H89">
        <v>5</v>
      </c>
      <c r="I89">
        <v>29</v>
      </c>
      <c r="J89" t="s">
        <v>202</v>
      </c>
      <c r="K89">
        <f t="shared" si="2"/>
        <v>508.95</v>
      </c>
    </row>
    <row r="90" spans="1:11" x14ac:dyDescent="0.45">
      <c r="A90" t="s">
        <v>203</v>
      </c>
      <c r="B90" s="1">
        <v>45280</v>
      </c>
      <c r="C90" t="s">
        <v>57</v>
      </c>
      <c r="D90" t="s">
        <v>42</v>
      </c>
      <c r="E90" t="s">
        <v>35</v>
      </c>
      <c r="F90">
        <v>72</v>
      </c>
      <c r="G90">
        <v>17.079999999999998</v>
      </c>
      <c r="H90">
        <v>5</v>
      </c>
      <c r="I90">
        <v>43</v>
      </c>
      <c r="J90" t="s">
        <v>204</v>
      </c>
      <c r="K90">
        <f t="shared" si="2"/>
        <v>1229.7599999999998</v>
      </c>
    </row>
    <row r="91" spans="1:11" x14ac:dyDescent="0.45">
      <c r="A91" t="s">
        <v>205</v>
      </c>
      <c r="B91" s="1">
        <v>44776</v>
      </c>
      <c r="C91" t="s">
        <v>29</v>
      </c>
      <c r="D91" t="s">
        <v>23</v>
      </c>
      <c r="E91" t="s">
        <v>30</v>
      </c>
      <c r="F91">
        <v>78</v>
      </c>
      <c r="G91">
        <v>8.6</v>
      </c>
      <c r="H91">
        <v>5</v>
      </c>
      <c r="I91">
        <v>30</v>
      </c>
      <c r="J91" t="s">
        <v>206</v>
      </c>
      <c r="K91">
        <f t="shared" si="2"/>
        <v>670.8</v>
      </c>
    </row>
    <row r="92" spans="1:11" x14ac:dyDescent="0.45">
      <c r="A92" t="s">
        <v>207</v>
      </c>
      <c r="B92" s="1">
        <v>44746</v>
      </c>
      <c r="C92" t="s">
        <v>22</v>
      </c>
      <c r="D92" t="s">
        <v>18</v>
      </c>
      <c r="E92" t="s">
        <v>35</v>
      </c>
      <c r="F92">
        <v>87</v>
      </c>
      <c r="G92">
        <v>49.11</v>
      </c>
      <c r="H92">
        <v>10</v>
      </c>
      <c r="I92">
        <v>57</v>
      </c>
      <c r="J92" t="s">
        <v>208</v>
      </c>
      <c r="K92">
        <f t="shared" si="2"/>
        <v>4272.57</v>
      </c>
    </row>
    <row r="93" spans="1:11" x14ac:dyDescent="0.45">
      <c r="A93" t="s">
        <v>209</v>
      </c>
      <c r="B93" s="1">
        <v>44623</v>
      </c>
      <c r="C93" t="s">
        <v>57</v>
      </c>
      <c r="D93" t="s">
        <v>23</v>
      </c>
      <c r="E93" t="s">
        <v>24</v>
      </c>
      <c r="F93">
        <v>62</v>
      </c>
      <c r="G93">
        <v>42.11</v>
      </c>
      <c r="H93">
        <v>10</v>
      </c>
      <c r="I93">
        <v>35</v>
      </c>
      <c r="J93" t="s">
        <v>210</v>
      </c>
      <c r="K93">
        <f t="shared" si="2"/>
        <v>2610.8200000000002</v>
      </c>
    </row>
    <row r="94" spans="1:11" x14ac:dyDescent="0.45">
      <c r="A94" t="s">
        <v>211</v>
      </c>
      <c r="B94" s="1">
        <v>45218</v>
      </c>
      <c r="C94" t="s">
        <v>17</v>
      </c>
      <c r="D94" t="s">
        <v>18</v>
      </c>
      <c r="E94" t="s">
        <v>35</v>
      </c>
      <c r="F94">
        <v>40</v>
      </c>
      <c r="G94">
        <v>43.16</v>
      </c>
      <c r="H94">
        <v>5</v>
      </c>
      <c r="I94">
        <v>42</v>
      </c>
      <c r="J94" t="s">
        <v>212</v>
      </c>
      <c r="K94">
        <f t="shared" si="2"/>
        <v>1726.3999999999999</v>
      </c>
    </row>
    <row r="95" spans="1:11" x14ac:dyDescent="0.45">
      <c r="A95" t="s">
        <v>213</v>
      </c>
      <c r="B95" s="1">
        <v>45061</v>
      </c>
      <c r="C95" t="s">
        <v>57</v>
      </c>
      <c r="D95" t="s">
        <v>42</v>
      </c>
      <c r="E95" t="s">
        <v>30</v>
      </c>
      <c r="F95">
        <v>85</v>
      </c>
      <c r="G95">
        <v>13.26</v>
      </c>
      <c r="H95">
        <v>15</v>
      </c>
      <c r="I95">
        <v>50</v>
      </c>
      <c r="J95" t="s">
        <v>214</v>
      </c>
      <c r="K95">
        <f t="shared" si="2"/>
        <v>1127.0999999999999</v>
      </c>
    </row>
    <row r="96" spans="1:11" x14ac:dyDescent="0.45">
      <c r="A96" t="s">
        <v>215</v>
      </c>
      <c r="B96" s="1">
        <v>44599</v>
      </c>
      <c r="C96" t="s">
        <v>17</v>
      </c>
      <c r="D96" t="s">
        <v>18</v>
      </c>
      <c r="E96" t="s">
        <v>19</v>
      </c>
      <c r="F96">
        <v>80</v>
      </c>
      <c r="G96">
        <v>2.9</v>
      </c>
      <c r="H96">
        <v>0</v>
      </c>
      <c r="I96">
        <v>64</v>
      </c>
      <c r="J96" t="s">
        <v>216</v>
      </c>
      <c r="K96">
        <f t="shared" si="2"/>
        <v>232</v>
      </c>
    </row>
    <row r="97" spans="1:13" x14ac:dyDescent="0.45">
      <c r="A97" t="s">
        <v>217</v>
      </c>
      <c r="B97" s="1">
        <v>45151</v>
      </c>
      <c r="C97" t="s">
        <v>57</v>
      </c>
      <c r="D97" t="s">
        <v>42</v>
      </c>
      <c r="E97" t="s">
        <v>24</v>
      </c>
      <c r="F97">
        <v>82</v>
      </c>
      <c r="G97">
        <v>15.86</v>
      </c>
      <c r="H97">
        <v>0</v>
      </c>
      <c r="I97">
        <v>57</v>
      </c>
      <c r="J97" t="s">
        <v>218</v>
      </c>
      <c r="K97">
        <f t="shared" si="2"/>
        <v>1300.52</v>
      </c>
    </row>
    <row r="98" spans="1:13" x14ac:dyDescent="0.45">
      <c r="A98" t="s">
        <v>219</v>
      </c>
      <c r="B98" s="1">
        <v>44717</v>
      </c>
      <c r="C98" t="s">
        <v>29</v>
      </c>
      <c r="D98" t="s">
        <v>23</v>
      </c>
      <c r="E98" t="s">
        <v>19</v>
      </c>
      <c r="F98">
        <v>53</v>
      </c>
      <c r="G98">
        <v>27.32</v>
      </c>
      <c r="H98">
        <v>15</v>
      </c>
      <c r="I98">
        <v>60</v>
      </c>
      <c r="J98" t="s">
        <v>220</v>
      </c>
      <c r="K98">
        <f t="shared" si="2"/>
        <v>1447.96</v>
      </c>
      <c r="M98" t="str" cm="1">
        <f t="array" ref="M98:M100">_xlfn.UNIQUE(D2:D301)</f>
        <v>C</v>
      </c>
    </row>
    <row r="99" spans="1:13" x14ac:dyDescent="0.45">
      <c r="A99" t="s">
        <v>221</v>
      </c>
      <c r="B99" s="1">
        <v>45270</v>
      </c>
      <c r="C99" t="s">
        <v>57</v>
      </c>
      <c r="D99" t="s">
        <v>42</v>
      </c>
      <c r="E99" t="s">
        <v>35</v>
      </c>
      <c r="F99">
        <v>24</v>
      </c>
      <c r="G99">
        <v>17.010000000000002</v>
      </c>
      <c r="H99">
        <v>5</v>
      </c>
      <c r="I99">
        <v>29</v>
      </c>
      <c r="J99" t="s">
        <v>222</v>
      </c>
      <c r="K99">
        <f t="shared" si="2"/>
        <v>408.24</v>
      </c>
      <c r="M99" t="str">
        <v>A</v>
      </c>
    </row>
    <row r="100" spans="1:13" x14ac:dyDescent="0.45">
      <c r="A100" t="s">
        <v>223</v>
      </c>
      <c r="B100" s="1">
        <v>44653</v>
      </c>
      <c r="C100" t="s">
        <v>22</v>
      </c>
      <c r="D100" t="s">
        <v>18</v>
      </c>
      <c r="E100" t="s">
        <v>24</v>
      </c>
      <c r="F100">
        <v>26</v>
      </c>
      <c r="G100">
        <v>41.57</v>
      </c>
      <c r="H100">
        <v>10</v>
      </c>
      <c r="I100">
        <v>61</v>
      </c>
      <c r="J100" t="s">
        <v>224</v>
      </c>
      <c r="K100">
        <f t="shared" si="2"/>
        <v>1080.82</v>
      </c>
      <c r="M100" t="str">
        <v>B</v>
      </c>
    </row>
    <row r="101" spans="1:13" x14ac:dyDescent="0.45">
      <c r="A101" t="s">
        <v>225</v>
      </c>
      <c r="B101" s="1">
        <v>44902</v>
      </c>
      <c r="C101" t="s">
        <v>57</v>
      </c>
      <c r="D101" t="s">
        <v>18</v>
      </c>
      <c r="E101" t="s">
        <v>30</v>
      </c>
      <c r="F101">
        <v>89</v>
      </c>
      <c r="G101">
        <v>14.31</v>
      </c>
      <c r="H101">
        <v>0</v>
      </c>
      <c r="I101">
        <v>53</v>
      </c>
      <c r="J101" t="s">
        <v>226</v>
      </c>
      <c r="K101">
        <f t="shared" si="2"/>
        <v>1273.5900000000001</v>
      </c>
    </row>
    <row r="102" spans="1:13" x14ac:dyDescent="0.45">
      <c r="A102" t="s">
        <v>227</v>
      </c>
      <c r="B102" s="1">
        <v>45190</v>
      </c>
      <c r="C102" t="s">
        <v>29</v>
      </c>
      <c r="D102" t="s">
        <v>18</v>
      </c>
      <c r="E102" t="s">
        <v>19</v>
      </c>
      <c r="F102">
        <v>60</v>
      </c>
      <c r="G102">
        <v>48.3</v>
      </c>
      <c r="H102">
        <v>20</v>
      </c>
      <c r="I102">
        <v>21</v>
      </c>
      <c r="J102" t="s">
        <v>228</v>
      </c>
      <c r="K102">
        <f t="shared" si="2"/>
        <v>2898</v>
      </c>
    </row>
    <row r="103" spans="1:13" x14ac:dyDescent="0.45">
      <c r="A103" t="s">
        <v>229</v>
      </c>
      <c r="B103" s="1">
        <v>45082</v>
      </c>
      <c r="C103" t="s">
        <v>57</v>
      </c>
      <c r="D103" t="s">
        <v>23</v>
      </c>
      <c r="E103" t="s">
        <v>24</v>
      </c>
      <c r="F103">
        <v>41</v>
      </c>
      <c r="G103">
        <v>23.41</v>
      </c>
      <c r="H103">
        <v>20</v>
      </c>
      <c r="I103">
        <v>22</v>
      </c>
      <c r="J103" t="s">
        <v>230</v>
      </c>
      <c r="K103">
        <f t="shared" si="2"/>
        <v>959.81000000000006</v>
      </c>
    </row>
    <row r="104" spans="1:13" x14ac:dyDescent="0.45">
      <c r="A104" t="s">
        <v>231</v>
      </c>
      <c r="B104" s="1">
        <v>44792</v>
      </c>
      <c r="C104" t="s">
        <v>22</v>
      </c>
      <c r="D104" t="s">
        <v>23</v>
      </c>
      <c r="E104" t="s">
        <v>19</v>
      </c>
      <c r="F104">
        <v>29</v>
      </c>
      <c r="G104">
        <v>42.26</v>
      </c>
      <c r="H104">
        <v>15</v>
      </c>
      <c r="I104">
        <v>54</v>
      </c>
      <c r="J104" t="s">
        <v>232</v>
      </c>
      <c r="K104">
        <f t="shared" si="2"/>
        <v>1225.54</v>
      </c>
    </row>
    <row r="105" spans="1:13" x14ac:dyDescent="0.45">
      <c r="A105" t="s">
        <v>233</v>
      </c>
      <c r="B105" s="1">
        <v>45256</v>
      </c>
      <c r="C105" t="s">
        <v>17</v>
      </c>
      <c r="D105" t="s">
        <v>23</v>
      </c>
      <c r="E105" t="s">
        <v>30</v>
      </c>
      <c r="F105">
        <v>15</v>
      </c>
      <c r="G105">
        <v>10.52</v>
      </c>
      <c r="H105">
        <v>5</v>
      </c>
      <c r="I105">
        <v>25</v>
      </c>
      <c r="J105" t="s">
        <v>234</v>
      </c>
      <c r="K105">
        <f t="shared" si="2"/>
        <v>157.79999999999998</v>
      </c>
    </row>
    <row r="106" spans="1:13" x14ac:dyDescent="0.45">
      <c r="A106" t="s">
        <v>235</v>
      </c>
      <c r="B106" s="1">
        <v>45138</v>
      </c>
      <c r="C106" t="s">
        <v>29</v>
      </c>
      <c r="D106" t="s">
        <v>18</v>
      </c>
      <c r="E106" t="s">
        <v>24</v>
      </c>
      <c r="F106">
        <v>45</v>
      </c>
      <c r="G106">
        <v>21.16</v>
      </c>
      <c r="H106">
        <v>0</v>
      </c>
      <c r="I106">
        <v>59</v>
      </c>
      <c r="J106" t="s">
        <v>236</v>
      </c>
      <c r="K106">
        <f t="shared" si="2"/>
        <v>952.2</v>
      </c>
    </row>
    <row r="107" spans="1:13" x14ac:dyDescent="0.45">
      <c r="A107" t="s">
        <v>237</v>
      </c>
      <c r="B107" s="1">
        <v>45065</v>
      </c>
      <c r="C107" t="s">
        <v>22</v>
      </c>
      <c r="D107" t="s">
        <v>18</v>
      </c>
      <c r="E107" t="s">
        <v>19</v>
      </c>
      <c r="F107">
        <v>65</v>
      </c>
      <c r="G107">
        <v>35.28</v>
      </c>
      <c r="H107">
        <v>5</v>
      </c>
      <c r="I107">
        <v>45</v>
      </c>
      <c r="J107" t="s">
        <v>238</v>
      </c>
      <c r="K107">
        <f t="shared" si="2"/>
        <v>2293.2000000000003</v>
      </c>
    </row>
    <row r="108" spans="1:13" x14ac:dyDescent="0.45">
      <c r="A108" t="s">
        <v>239</v>
      </c>
      <c r="B108" s="1">
        <v>45065</v>
      </c>
      <c r="C108" t="s">
        <v>22</v>
      </c>
      <c r="D108" t="s">
        <v>42</v>
      </c>
      <c r="E108" t="s">
        <v>35</v>
      </c>
      <c r="F108">
        <v>89</v>
      </c>
      <c r="G108">
        <v>7.78</v>
      </c>
      <c r="H108">
        <v>0</v>
      </c>
      <c r="I108">
        <v>48</v>
      </c>
      <c r="J108" t="s">
        <v>240</v>
      </c>
      <c r="K108">
        <f t="shared" si="2"/>
        <v>692.42000000000007</v>
      </c>
    </row>
    <row r="109" spans="1:13" x14ac:dyDescent="0.45">
      <c r="A109" t="s">
        <v>241</v>
      </c>
      <c r="B109" s="1">
        <v>45028</v>
      </c>
      <c r="C109" t="s">
        <v>17</v>
      </c>
      <c r="D109" t="s">
        <v>18</v>
      </c>
      <c r="E109" t="s">
        <v>24</v>
      </c>
      <c r="F109">
        <v>71</v>
      </c>
      <c r="G109">
        <v>7.5</v>
      </c>
      <c r="H109">
        <v>15</v>
      </c>
      <c r="I109">
        <v>26</v>
      </c>
      <c r="J109" t="s">
        <v>242</v>
      </c>
      <c r="K109">
        <f t="shared" si="2"/>
        <v>532.5</v>
      </c>
    </row>
    <row r="110" spans="1:13" x14ac:dyDescent="0.45">
      <c r="A110" t="s">
        <v>243</v>
      </c>
      <c r="B110" s="1">
        <v>44823</v>
      </c>
      <c r="C110" t="s">
        <v>17</v>
      </c>
      <c r="D110" t="s">
        <v>18</v>
      </c>
      <c r="E110" t="s">
        <v>35</v>
      </c>
      <c r="F110">
        <v>9</v>
      </c>
      <c r="G110">
        <v>48.51</v>
      </c>
      <c r="H110">
        <v>15</v>
      </c>
      <c r="I110">
        <v>46</v>
      </c>
      <c r="J110" t="s">
        <v>244</v>
      </c>
      <c r="K110">
        <f t="shared" si="2"/>
        <v>436.59</v>
      </c>
    </row>
    <row r="111" spans="1:13" x14ac:dyDescent="0.45">
      <c r="A111" t="s">
        <v>245</v>
      </c>
      <c r="B111" s="1">
        <v>45105</v>
      </c>
      <c r="C111" t="s">
        <v>57</v>
      </c>
      <c r="D111" t="s">
        <v>42</v>
      </c>
      <c r="E111" t="s">
        <v>35</v>
      </c>
      <c r="F111">
        <v>88</v>
      </c>
      <c r="G111">
        <v>36.020000000000003</v>
      </c>
      <c r="H111">
        <v>20</v>
      </c>
      <c r="I111">
        <v>31</v>
      </c>
      <c r="J111" t="s">
        <v>246</v>
      </c>
      <c r="K111">
        <f t="shared" si="2"/>
        <v>3169.76</v>
      </c>
    </row>
    <row r="112" spans="1:13" x14ac:dyDescent="0.45">
      <c r="A112" t="s">
        <v>247</v>
      </c>
      <c r="B112" s="1">
        <v>44917</v>
      </c>
      <c r="C112" t="s">
        <v>57</v>
      </c>
      <c r="D112" t="s">
        <v>42</v>
      </c>
      <c r="E112" t="s">
        <v>35</v>
      </c>
      <c r="F112">
        <v>1</v>
      </c>
      <c r="G112">
        <v>3.01</v>
      </c>
      <c r="H112">
        <v>5</v>
      </c>
      <c r="I112">
        <v>57</v>
      </c>
      <c r="J112" t="s">
        <v>248</v>
      </c>
      <c r="K112">
        <f t="shared" si="2"/>
        <v>3.01</v>
      </c>
    </row>
    <row r="113" spans="1:11" x14ac:dyDescent="0.45">
      <c r="A113" t="s">
        <v>249</v>
      </c>
      <c r="B113" s="1">
        <v>45003</v>
      </c>
      <c r="C113" t="s">
        <v>29</v>
      </c>
      <c r="D113" t="s">
        <v>42</v>
      </c>
      <c r="E113" t="s">
        <v>35</v>
      </c>
      <c r="F113">
        <v>8</v>
      </c>
      <c r="G113">
        <v>20.54</v>
      </c>
      <c r="H113">
        <v>20</v>
      </c>
      <c r="I113">
        <v>58</v>
      </c>
      <c r="J113" t="s">
        <v>250</v>
      </c>
      <c r="K113">
        <f t="shared" si="2"/>
        <v>164.32</v>
      </c>
    </row>
    <row r="114" spans="1:11" x14ac:dyDescent="0.45">
      <c r="A114" t="s">
        <v>251</v>
      </c>
      <c r="B114" s="1">
        <v>45145</v>
      </c>
      <c r="C114" t="s">
        <v>29</v>
      </c>
      <c r="D114" t="s">
        <v>42</v>
      </c>
      <c r="E114" t="s">
        <v>24</v>
      </c>
      <c r="F114">
        <v>88</v>
      </c>
      <c r="G114">
        <v>22.24</v>
      </c>
      <c r="H114">
        <v>5</v>
      </c>
      <c r="I114">
        <v>39</v>
      </c>
      <c r="J114" t="s">
        <v>252</v>
      </c>
      <c r="K114">
        <f t="shared" si="2"/>
        <v>1957.12</v>
      </c>
    </row>
    <row r="115" spans="1:11" x14ac:dyDescent="0.45">
      <c r="A115" t="s">
        <v>253</v>
      </c>
      <c r="B115" s="1">
        <v>44811</v>
      </c>
      <c r="C115" t="s">
        <v>29</v>
      </c>
      <c r="D115" t="s">
        <v>42</v>
      </c>
      <c r="E115" t="s">
        <v>30</v>
      </c>
      <c r="F115">
        <v>63</v>
      </c>
      <c r="G115">
        <v>37.46</v>
      </c>
      <c r="H115">
        <v>20</v>
      </c>
      <c r="I115">
        <v>28</v>
      </c>
      <c r="J115" t="s">
        <v>254</v>
      </c>
      <c r="K115">
        <f t="shared" si="2"/>
        <v>2359.98</v>
      </c>
    </row>
    <row r="116" spans="1:11" x14ac:dyDescent="0.45">
      <c r="A116" t="s">
        <v>255</v>
      </c>
      <c r="B116" s="1">
        <v>45080</v>
      </c>
      <c r="C116" t="s">
        <v>29</v>
      </c>
      <c r="D116" t="s">
        <v>42</v>
      </c>
      <c r="E116" t="s">
        <v>19</v>
      </c>
      <c r="F116">
        <v>11</v>
      </c>
      <c r="G116">
        <v>13.29</v>
      </c>
      <c r="H116">
        <v>10</v>
      </c>
      <c r="I116">
        <v>40</v>
      </c>
      <c r="J116" t="s">
        <v>256</v>
      </c>
      <c r="K116">
        <f t="shared" si="2"/>
        <v>146.19</v>
      </c>
    </row>
    <row r="117" spans="1:11" x14ac:dyDescent="0.45">
      <c r="A117" t="s">
        <v>257</v>
      </c>
      <c r="B117" s="1">
        <v>45124</v>
      </c>
      <c r="C117" t="s">
        <v>22</v>
      </c>
      <c r="D117" t="s">
        <v>18</v>
      </c>
      <c r="E117" t="s">
        <v>30</v>
      </c>
      <c r="F117">
        <v>81</v>
      </c>
      <c r="G117">
        <v>10.029999999999999</v>
      </c>
      <c r="H117">
        <v>10</v>
      </c>
      <c r="I117">
        <v>18</v>
      </c>
      <c r="J117" t="s">
        <v>258</v>
      </c>
      <c r="K117">
        <f t="shared" si="2"/>
        <v>812.43</v>
      </c>
    </row>
    <row r="118" spans="1:11" x14ac:dyDescent="0.45">
      <c r="A118" t="s">
        <v>259</v>
      </c>
      <c r="B118" s="1">
        <v>45095</v>
      </c>
      <c r="C118" t="s">
        <v>57</v>
      </c>
      <c r="D118" t="s">
        <v>42</v>
      </c>
      <c r="E118" t="s">
        <v>35</v>
      </c>
      <c r="F118">
        <v>8</v>
      </c>
      <c r="G118">
        <v>4.96</v>
      </c>
      <c r="H118">
        <v>10</v>
      </c>
      <c r="I118">
        <v>63</v>
      </c>
      <c r="J118" t="s">
        <v>260</v>
      </c>
      <c r="K118">
        <f t="shared" si="2"/>
        <v>39.68</v>
      </c>
    </row>
    <row r="119" spans="1:11" x14ac:dyDescent="0.45">
      <c r="A119" t="s">
        <v>261</v>
      </c>
      <c r="B119" s="1">
        <v>44724</v>
      </c>
      <c r="C119" t="s">
        <v>57</v>
      </c>
      <c r="D119" t="s">
        <v>23</v>
      </c>
      <c r="E119" t="s">
        <v>19</v>
      </c>
      <c r="F119">
        <v>35</v>
      </c>
      <c r="G119">
        <v>21.99</v>
      </c>
      <c r="H119">
        <v>10</v>
      </c>
      <c r="I119">
        <v>54</v>
      </c>
      <c r="J119" t="s">
        <v>262</v>
      </c>
      <c r="K119">
        <f t="shared" si="2"/>
        <v>769.65</v>
      </c>
    </row>
    <row r="120" spans="1:11" x14ac:dyDescent="0.45">
      <c r="A120" t="s">
        <v>263</v>
      </c>
      <c r="B120" s="1">
        <v>45079</v>
      </c>
      <c r="C120" t="s">
        <v>57</v>
      </c>
      <c r="D120" t="s">
        <v>23</v>
      </c>
      <c r="E120" t="s">
        <v>19</v>
      </c>
      <c r="F120">
        <v>35</v>
      </c>
      <c r="G120">
        <v>34.74</v>
      </c>
      <c r="H120">
        <v>0</v>
      </c>
      <c r="I120">
        <v>38</v>
      </c>
      <c r="J120" t="s">
        <v>264</v>
      </c>
      <c r="K120">
        <f t="shared" si="2"/>
        <v>1215.9000000000001</v>
      </c>
    </row>
    <row r="121" spans="1:11" x14ac:dyDescent="0.45">
      <c r="A121" t="s">
        <v>265</v>
      </c>
      <c r="B121" s="1">
        <v>44775</v>
      </c>
      <c r="C121" t="s">
        <v>22</v>
      </c>
      <c r="D121" t="s">
        <v>18</v>
      </c>
      <c r="E121" t="s">
        <v>35</v>
      </c>
      <c r="F121">
        <v>33</v>
      </c>
      <c r="G121">
        <v>3.85</v>
      </c>
      <c r="H121">
        <v>10</v>
      </c>
      <c r="I121">
        <v>43</v>
      </c>
      <c r="J121" t="s">
        <v>266</v>
      </c>
      <c r="K121">
        <f t="shared" si="2"/>
        <v>127.05</v>
      </c>
    </row>
    <row r="122" spans="1:11" x14ac:dyDescent="0.45">
      <c r="A122" t="s">
        <v>267</v>
      </c>
      <c r="B122" s="1">
        <v>44778</v>
      </c>
      <c r="C122" t="s">
        <v>22</v>
      </c>
      <c r="D122" t="s">
        <v>18</v>
      </c>
      <c r="E122" t="s">
        <v>35</v>
      </c>
      <c r="F122">
        <v>5</v>
      </c>
      <c r="G122">
        <v>45.85</v>
      </c>
      <c r="H122">
        <v>15</v>
      </c>
      <c r="I122">
        <v>63</v>
      </c>
      <c r="J122" t="s">
        <v>268</v>
      </c>
      <c r="K122">
        <f t="shared" si="2"/>
        <v>229.25</v>
      </c>
    </row>
    <row r="123" spans="1:11" x14ac:dyDescent="0.45">
      <c r="A123" t="s">
        <v>269</v>
      </c>
      <c r="B123" s="1">
        <v>45194</v>
      </c>
      <c r="C123" t="s">
        <v>57</v>
      </c>
      <c r="D123" t="s">
        <v>18</v>
      </c>
      <c r="E123" t="s">
        <v>35</v>
      </c>
      <c r="F123">
        <v>41</v>
      </c>
      <c r="G123">
        <v>22.68</v>
      </c>
      <c r="H123">
        <v>15</v>
      </c>
      <c r="I123">
        <v>53</v>
      </c>
      <c r="J123" t="s">
        <v>270</v>
      </c>
      <c r="K123">
        <f t="shared" si="2"/>
        <v>929.88</v>
      </c>
    </row>
    <row r="124" spans="1:11" x14ac:dyDescent="0.45">
      <c r="A124" t="s">
        <v>271</v>
      </c>
      <c r="B124" s="1">
        <v>44833</v>
      </c>
      <c r="C124" t="s">
        <v>29</v>
      </c>
      <c r="D124" t="s">
        <v>23</v>
      </c>
      <c r="E124" t="s">
        <v>30</v>
      </c>
      <c r="F124">
        <v>28</v>
      </c>
      <c r="G124">
        <v>12.75</v>
      </c>
      <c r="H124">
        <v>0</v>
      </c>
      <c r="I124">
        <v>40</v>
      </c>
      <c r="J124" t="s">
        <v>272</v>
      </c>
      <c r="K124">
        <f t="shared" si="2"/>
        <v>357</v>
      </c>
    </row>
    <row r="125" spans="1:11" x14ac:dyDescent="0.45">
      <c r="A125" t="s">
        <v>273</v>
      </c>
      <c r="B125" s="1">
        <v>44728</v>
      </c>
      <c r="C125" t="s">
        <v>22</v>
      </c>
      <c r="D125" t="s">
        <v>23</v>
      </c>
      <c r="E125" t="s">
        <v>30</v>
      </c>
      <c r="F125">
        <v>7</v>
      </c>
      <c r="G125">
        <v>5.6</v>
      </c>
      <c r="H125">
        <v>10</v>
      </c>
      <c r="I125">
        <v>18</v>
      </c>
      <c r="J125" t="s">
        <v>274</v>
      </c>
      <c r="K125">
        <f t="shared" si="2"/>
        <v>39.199999999999996</v>
      </c>
    </row>
    <row r="126" spans="1:11" x14ac:dyDescent="0.45">
      <c r="A126" t="s">
        <v>275</v>
      </c>
      <c r="B126" s="1">
        <v>45131</v>
      </c>
      <c r="C126" t="s">
        <v>57</v>
      </c>
      <c r="D126" t="s">
        <v>23</v>
      </c>
      <c r="E126" t="s">
        <v>19</v>
      </c>
      <c r="F126">
        <v>73</v>
      </c>
      <c r="G126">
        <v>9.9600000000000009</v>
      </c>
      <c r="H126">
        <v>10</v>
      </c>
      <c r="I126">
        <v>57</v>
      </c>
      <c r="J126" t="s">
        <v>276</v>
      </c>
      <c r="K126">
        <f t="shared" si="2"/>
        <v>727.08</v>
      </c>
    </row>
    <row r="127" spans="1:11" x14ac:dyDescent="0.45">
      <c r="A127" t="s">
        <v>277</v>
      </c>
      <c r="B127" s="1">
        <v>44647</v>
      </c>
      <c r="C127" t="s">
        <v>57</v>
      </c>
      <c r="D127" t="s">
        <v>18</v>
      </c>
      <c r="E127" t="s">
        <v>35</v>
      </c>
      <c r="F127">
        <v>72</v>
      </c>
      <c r="G127">
        <v>46.8</v>
      </c>
      <c r="H127">
        <v>10</v>
      </c>
      <c r="I127">
        <v>32</v>
      </c>
      <c r="J127" t="s">
        <v>278</v>
      </c>
      <c r="K127">
        <f t="shared" si="2"/>
        <v>3369.6</v>
      </c>
    </row>
    <row r="128" spans="1:11" x14ac:dyDescent="0.45">
      <c r="A128" t="s">
        <v>279</v>
      </c>
      <c r="B128" s="1">
        <v>45287</v>
      </c>
      <c r="C128" t="s">
        <v>17</v>
      </c>
      <c r="D128" t="s">
        <v>23</v>
      </c>
      <c r="E128" t="s">
        <v>24</v>
      </c>
      <c r="F128">
        <v>12</v>
      </c>
      <c r="G128">
        <v>32.28</v>
      </c>
      <c r="H128">
        <v>20</v>
      </c>
      <c r="I128">
        <v>38</v>
      </c>
      <c r="J128" t="s">
        <v>280</v>
      </c>
      <c r="K128">
        <f t="shared" si="2"/>
        <v>387.36</v>
      </c>
    </row>
    <row r="129" spans="1:11" x14ac:dyDescent="0.45">
      <c r="A129" t="s">
        <v>281</v>
      </c>
      <c r="B129" s="1">
        <v>44985</v>
      </c>
      <c r="C129" t="s">
        <v>17</v>
      </c>
      <c r="D129" t="s">
        <v>18</v>
      </c>
      <c r="E129" t="s">
        <v>24</v>
      </c>
      <c r="F129">
        <v>34</v>
      </c>
      <c r="G129">
        <v>26.32</v>
      </c>
      <c r="H129">
        <v>5</v>
      </c>
      <c r="I129">
        <v>64</v>
      </c>
      <c r="J129" t="s">
        <v>282</v>
      </c>
      <c r="K129">
        <f t="shared" si="2"/>
        <v>894.88</v>
      </c>
    </row>
    <row r="130" spans="1:11" x14ac:dyDescent="0.45">
      <c r="A130" t="s">
        <v>283</v>
      </c>
      <c r="B130" s="1">
        <v>44762</v>
      </c>
      <c r="C130" t="s">
        <v>29</v>
      </c>
      <c r="D130" t="s">
        <v>42</v>
      </c>
      <c r="E130" t="s">
        <v>19</v>
      </c>
      <c r="F130">
        <v>33</v>
      </c>
      <c r="G130">
        <v>33.200000000000003</v>
      </c>
      <c r="H130">
        <v>20</v>
      </c>
      <c r="I130">
        <v>26</v>
      </c>
      <c r="J130" t="s">
        <v>284</v>
      </c>
      <c r="K130">
        <f t="shared" si="2"/>
        <v>1095.6000000000001</v>
      </c>
    </row>
    <row r="131" spans="1:11" x14ac:dyDescent="0.45">
      <c r="A131" t="s">
        <v>285</v>
      </c>
      <c r="B131" s="1">
        <v>45216</v>
      </c>
      <c r="C131" t="s">
        <v>22</v>
      </c>
      <c r="D131" t="s">
        <v>23</v>
      </c>
      <c r="E131" t="s">
        <v>24</v>
      </c>
      <c r="F131">
        <v>48</v>
      </c>
      <c r="G131">
        <v>22.35</v>
      </c>
      <c r="H131">
        <v>5</v>
      </c>
      <c r="I131">
        <v>26</v>
      </c>
      <c r="J131" t="s">
        <v>286</v>
      </c>
      <c r="K131">
        <f t="shared" ref="K131:K194" si="3">G131*F131</f>
        <v>1072.8000000000002</v>
      </c>
    </row>
    <row r="132" spans="1:11" x14ac:dyDescent="0.45">
      <c r="A132" t="s">
        <v>287</v>
      </c>
      <c r="B132" s="1">
        <v>45091</v>
      </c>
      <c r="C132" t="s">
        <v>29</v>
      </c>
      <c r="D132" t="s">
        <v>42</v>
      </c>
      <c r="E132" t="s">
        <v>35</v>
      </c>
      <c r="F132">
        <v>23</v>
      </c>
      <c r="G132">
        <v>36.770000000000003</v>
      </c>
      <c r="H132">
        <v>10</v>
      </c>
      <c r="I132">
        <v>27</v>
      </c>
      <c r="J132" t="s">
        <v>288</v>
      </c>
      <c r="K132">
        <f t="shared" si="3"/>
        <v>845.71</v>
      </c>
    </row>
    <row r="133" spans="1:11" x14ac:dyDescent="0.45">
      <c r="A133" t="s">
        <v>289</v>
      </c>
      <c r="B133" s="1">
        <v>44673</v>
      </c>
      <c r="C133" t="s">
        <v>17</v>
      </c>
      <c r="D133" t="s">
        <v>18</v>
      </c>
      <c r="E133" t="s">
        <v>35</v>
      </c>
      <c r="F133">
        <v>62</v>
      </c>
      <c r="G133">
        <v>3.34</v>
      </c>
      <c r="H133">
        <v>10</v>
      </c>
      <c r="I133">
        <v>43</v>
      </c>
      <c r="J133" t="s">
        <v>290</v>
      </c>
      <c r="K133">
        <f t="shared" si="3"/>
        <v>207.07999999999998</v>
      </c>
    </row>
    <row r="134" spans="1:11" x14ac:dyDescent="0.45">
      <c r="A134" t="s">
        <v>291</v>
      </c>
      <c r="B134" s="1">
        <v>44971</v>
      </c>
      <c r="C134" t="s">
        <v>17</v>
      </c>
      <c r="D134" t="s">
        <v>42</v>
      </c>
      <c r="E134" t="s">
        <v>19</v>
      </c>
      <c r="F134">
        <v>88</v>
      </c>
      <c r="G134">
        <v>28.74</v>
      </c>
      <c r="H134">
        <v>20</v>
      </c>
      <c r="I134">
        <v>58</v>
      </c>
      <c r="J134" t="s">
        <v>292</v>
      </c>
      <c r="K134">
        <f t="shared" si="3"/>
        <v>2529.12</v>
      </c>
    </row>
    <row r="135" spans="1:11" x14ac:dyDescent="0.45">
      <c r="A135" t="s">
        <v>293</v>
      </c>
      <c r="B135" s="1">
        <v>45092</v>
      </c>
      <c r="C135" t="s">
        <v>57</v>
      </c>
      <c r="D135" t="s">
        <v>23</v>
      </c>
      <c r="E135" t="s">
        <v>35</v>
      </c>
      <c r="F135">
        <v>37</v>
      </c>
      <c r="G135">
        <v>8.77</v>
      </c>
      <c r="H135">
        <v>20</v>
      </c>
      <c r="I135">
        <v>52</v>
      </c>
      <c r="J135" t="s">
        <v>294</v>
      </c>
      <c r="K135">
        <f t="shared" si="3"/>
        <v>324.49</v>
      </c>
    </row>
    <row r="136" spans="1:11" x14ac:dyDescent="0.45">
      <c r="A136" t="s">
        <v>295</v>
      </c>
      <c r="B136" s="1">
        <v>44584</v>
      </c>
      <c r="C136" t="s">
        <v>57</v>
      </c>
      <c r="D136" t="s">
        <v>23</v>
      </c>
      <c r="E136" t="s">
        <v>35</v>
      </c>
      <c r="F136">
        <v>99</v>
      </c>
      <c r="G136">
        <v>6.89</v>
      </c>
      <c r="H136">
        <v>5</v>
      </c>
      <c r="I136">
        <v>42</v>
      </c>
      <c r="J136" t="s">
        <v>296</v>
      </c>
      <c r="K136">
        <f t="shared" si="3"/>
        <v>682.11</v>
      </c>
    </row>
    <row r="137" spans="1:11" x14ac:dyDescent="0.45">
      <c r="A137" t="s">
        <v>297</v>
      </c>
      <c r="B137" s="1">
        <v>45172</v>
      </c>
      <c r="C137" t="s">
        <v>22</v>
      </c>
      <c r="D137" t="s">
        <v>18</v>
      </c>
      <c r="E137" t="s">
        <v>35</v>
      </c>
      <c r="F137">
        <v>44</v>
      </c>
      <c r="G137">
        <v>17.75</v>
      </c>
      <c r="H137">
        <v>15</v>
      </c>
      <c r="I137">
        <v>43</v>
      </c>
      <c r="J137" t="s">
        <v>298</v>
      </c>
      <c r="K137">
        <f t="shared" si="3"/>
        <v>781</v>
      </c>
    </row>
    <row r="138" spans="1:11" x14ac:dyDescent="0.45">
      <c r="A138" t="s">
        <v>299</v>
      </c>
      <c r="B138" s="1">
        <v>44860</v>
      </c>
      <c r="C138" t="s">
        <v>57</v>
      </c>
      <c r="D138" t="s">
        <v>18</v>
      </c>
      <c r="E138" t="s">
        <v>30</v>
      </c>
      <c r="F138">
        <v>86</v>
      </c>
      <c r="G138">
        <v>5.5</v>
      </c>
      <c r="H138">
        <v>5</v>
      </c>
      <c r="I138">
        <v>28</v>
      </c>
      <c r="J138" t="s">
        <v>300</v>
      </c>
      <c r="K138">
        <f t="shared" si="3"/>
        <v>473</v>
      </c>
    </row>
    <row r="139" spans="1:11" x14ac:dyDescent="0.45">
      <c r="A139" t="s">
        <v>301</v>
      </c>
      <c r="B139" s="1">
        <v>45209</v>
      </c>
      <c r="C139" t="s">
        <v>17</v>
      </c>
      <c r="D139" t="s">
        <v>42</v>
      </c>
      <c r="E139" t="s">
        <v>19</v>
      </c>
      <c r="F139">
        <v>91</v>
      </c>
      <c r="G139">
        <v>5.61</v>
      </c>
      <c r="H139">
        <v>20</v>
      </c>
      <c r="I139">
        <v>55</v>
      </c>
      <c r="J139" t="s">
        <v>302</v>
      </c>
      <c r="K139">
        <f t="shared" si="3"/>
        <v>510.51000000000005</v>
      </c>
    </row>
    <row r="140" spans="1:11" x14ac:dyDescent="0.45">
      <c r="A140" t="s">
        <v>303</v>
      </c>
      <c r="B140" s="1">
        <v>45044</v>
      </c>
      <c r="C140" t="s">
        <v>22</v>
      </c>
      <c r="D140" t="s">
        <v>42</v>
      </c>
      <c r="E140" t="s">
        <v>24</v>
      </c>
      <c r="F140">
        <v>35</v>
      </c>
      <c r="G140">
        <v>16.260000000000002</v>
      </c>
      <c r="H140">
        <v>20</v>
      </c>
      <c r="I140">
        <v>19</v>
      </c>
      <c r="J140" t="s">
        <v>304</v>
      </c>
      <c r="K140">
        <f t="shared" si="3"/>
        <v>569.1</v>
      </c>
    </row>
    <row r="141" spans="1:11" x14ac:dyDescent="0.45">
      <c r="A141" t="s">
        <v>305</v>
      </c>
      <c r="B141" s="1">
        <v>44732</v>
      </c>
      <c r="C141" t="s">
        <v>57</v>
      </c>
      <c r="D141" t="s">
        <v>42</v>
      </c>
      <c r="E141" t="s">
        <v>30</v>
      </c>
      <c r="F141">
        <v>65</v>
      </c>
      <c r="G141">
        <v>49</v>
      </c>
      <c r="H141">
        <v>0</v>
      </c>
      <c r="I141">
        <v>24</v>
      </c>
      <c r="J141" t="s">
        <v>306</v>
      </c>
      <c r="K141">
        <f t="shared" si="3"/>
        <v>3185</v>
      </c>
    </row>
    <row r="142" spans="1:11" x14ac:dyDescent="0.45">
      <c r="A142" t="s">
        <v>307</v>
      </c>
      <c r="B142" s="1">
        <v>44621</v>
      </c>
      <c r="C142" t="s">
        <v>22</v>
      </c>
      <c r="D142" t="s">
        <v>42</v>
      </c>
      <c r="E142" t="s">
        <v>19</v>
      </c>
      <c r="F142">
        <v>99</v>
      </c>
      <c r="G142">
        <v>9.59</v>
      </c>
      <c r="H142">
        <v>20</v>
      </c>
      <c r="I142">
        <v>35</v>
      </c>
      <c r="J142" t="s">
        <v>308</v>
      </c>
      <c r="K142">
        <f t="shared" si="3"/>
        <v>949.41</v>
      </c>
    </row>
    <row r="143" spans="1:11" x14ac:dyDescent="0.45">
      <c r="A143" t="s">
        <v>309</v>
      </c>
      <c r="B143" s="1">
        <v>44599</v>
      </c>
      <c r="C143" t="s">
        <v>22</v>
      </c>
      <c r="D143" t="s">
        <v>42</v>
      </c>
      <c r="E143" t="s">
        <v>19</v>
      </c>
      <c r="F143">
        <v>47</v>
      </c>
      <c r="G143">
        <v>1.84</v>
      </c>
      <c r="H143">
        <v>0</v>
      </c>
      <c r="I143">
        <v>44</v>
      </c>
      <c r="J143" t="s">
        <v>310</v>
      </c>
      <c r="K143">
        <f t="shared" si="3"/>
        <v>86.48</v>
      </c>
    </row>
    <row r="144" spans="1:11" x14ac:dyDescent="0.45">
      <c r="A144" t="s">
        <v>311</v>
      </c>
      <c r="B144" s="1">
        <v>45209</v>
      </c>
      <c r="C144" t="s">
        <v>22</v>
      </c>
      <c r="D144" t="s">
        <v>23</v>
      </c>
      <c r="E144" t="s">
        <v>24</v>
      </c>
      <c r="F144">
        <v>78</v>
      </c>
      <c r="G144">
        <v>38.4</v>
      </c>
      <c r="H144">
        <v>15</v>
      </c>
      <c r="I144">
        <v>51</v>
      </c>
      <c r="J144" t="s">
        <v>312</v>
      </c>
      <c r="K144">
        <f t="shared" si="3"/>
        <v>2995.2</v>
      </c>
    </row>
    <row r="145" spans="1:11" x14ac:dyDescent="0.45">
      <c r="A145" t="s">
        <v>313</v>
      </c>
      <c r="B145" s="1">
        <v>44644</v>
      </c>
      <c r="C145" t="s">
        <v>22</v>
      </c>
      <c r="D145" t="s">
        <v>42</v>
      </c>
      <c r="E145" t="s">
        <v>35</v>
      </c>
      <c r="F145">
        <v>3</v>
      </c>
      <c r="G145">
        <v>40.54</v>
      </c>
      <c r="H145">
        <v>5</v>
      </c>
      <c r="I145">
        <v>44</v>
      </c>
      <c r="J145" t="s">
        <v>314</v>
      </c>
      <c r="K145">
        <f t="shared" si="3"/>
        <v>121.62</v>
      </c>
    </row>
    <row r="146" spans="1:11" x14ac:dyDescent="0.45">
      <c r="A146" t="s">
        <v>315</v>
      </c>
      <c r="B146" s="1">
        <v>45207</v>
      </c>
      <c r="C146" t="s">
        <v>57</v>
      </c>
      <c r="D146" t="s">
        <v>18</v>
      </c>
      <c r="E146" t="s">
        <v>30</v>
      </c>
      <c r="F146">
        <v>1</v>
      </c>
      <c r="G146">
        <v>17.97</v>
      </c>
      <c r="H146">
        <v>5</v>
      </c>
      <c r="I146">
        <v>34</v>
      </c>
      <c r="J146" t="s">
        <v>316</v>
      </c>
      <c r="K146">
        <f t="shared" si="3"/>
        <v>17.97</v>
      </c>
    </row>
    <row r="147" spans="1:11" x14ac:dyDescent="0.45">
      <c r="A147" t="s">
        <v>317</v>
      </c>
      <c r="B147" s="1">
        <v>44570</v>
      </c>
      <c r="C147" t="s">
        <v>57</v>
      </c>
      <c r="D147" t="s">
        <v>42</v>
      </c>
      <c r="E147" t="s">
        <v>19</v>
      </c>
      <c r="F147">
        <v>5</v>
      </c>
      <c r="G147">
        <v>23.77</v>
      </c>
      <c r="H147">
        <v>0</v>
      </c>
      <c r="I147">
        <v>60</v>
      </c>
      <c r="J147" t="s">
        <v>318</v>
      </c>
      <c r="K147">
        <f t="shared" si="3"/>
        <v>118.85</v>
      </c>
    </row>
    <row r="148" spans="1:11" x14ac:dyDescent="0.45">
      <c r="A148" t="s">
        <v>319</v>
      </c>
      <c r="B148" s="1">
        <v>45154</v>
      </c>
      <c r="C148" t="s">
        <v>29</v>
      </c>
      <c r="D148" t="s">
        <v>23</v>
      </c>
      <c r="E148" t="s">
        <v>19</v>
      </c>
      <c r="F148">
        <v>90</v>
      </c>
      <c r="G148">
        <v>32.840000000000003</v>
      </c>
      <c r="H148">
        <v>5</v>
      </c>
      <c r="I148">
        <v>61</v>
      </c>
      <c r="J148" t="s">
        <v>320</v>
      </c>
      <c r="K148">
        <f t="shared" si="3"/>
        <v>2955.6000000000004</v>
      </c>
    </row>
    <row r="149" spans="1:11" x14ac:dyDescent="0.45">
      <c r="A149" t="s">
        <v>321</v>
      </c>
      <c r="B149" s="1">
        <v>45147</v>
      </c>
      <c r="C149" t="s">
        <v>17</v>
      </c>
      <c r="D149" t="s">
        <v>42</v>
      </c>
      <c r="E149" t="s">
        <v>35</v>
      </c>
      <c r="F149">
        <v>14</v>
      </c>
      <c r="G149">
        <v>3.35</v>
      </c>
      <c r="H149">
        <v>20</v>
      </c>
      <c r="I149">
        <v>41</v>
      </c>
      <c r="J149" t="s">
        <v>322</v>
      </c>
      <c r="K149">
        <f t="shared" si="3"/>
        <v>46.9</v>
      </c>
    </row>
    <row r="150" spans="1:11" x14ac:dyDescent="0.45">
      <c r="A150" t="s">
        <v>323</v>
      </c>
      <c r="B150" s="1">
        <v>45277</v>
      </c>
      <c r="C150" t="s">
        <v>57</v>
      </c>
      <c r="D150" t="s">
        <v>18</v>
      </c>
      <c r="E150" t="s">
        <v>35</v>
      </c>
      <c r="F150">
        <v>27</v>
      </c>
      <c r="G150">
        <v>47.51</v>
      </c>
      <c r="H150">
        <v>10</v>
      </c>
      <c r="I150">
        <v>42</v>
      </c>
      <c r="J150" t="s">
        <v>324</v>
      </c>
      <c r="K150">
        <f t="shared" si="3"/>
        <v>1282.77</v>
      </c>
    </row>
    <row r="151" spans="1:11" x14ac:dyDescent="0.45">
      <c r="A151" t="s">
        <v>325</v>
      </c>
      <c r="B151" s="1">
        <v>45229</v>
      </c>
      <c r="C151" t="s">
        <v>22</v>
      </c>
      <c r="D151" t="s">
        <v>42</v>
      </c>
      <c r="E151" t="s">
        <v>24</v>
      </c>
      <c r="F151">
        <v>9</v>
      </c>
      <c r="G151">
        <v>44.45</v>
      </c>
      <c r="H151">
        <v>0</v>
      </c>
      <c r="I151">
        <v>24</v>
      </c>
      <c r="J151" t="s">
        <v>326</v>
      </c>
      <c r="K151">
        <f t="shared" si="3"/>
        <v>400.05</v>
      </c>
    </row>
    <row r="152" spans="1:11" x14ac:dyDescent="0.45">
      <c r="A152" t="s">
        <v>327</v>
      </c>
      <c r="B152" s="1">
        <v>45110</v>
      </c>
      <c r="C152" t="s">
        <v>17</v>
      </c>
      <c r="D152" t="s">
        <v>42</v>
      </c>
      <c r="E152" t="s">
        <v>30</v>
      </c>
      <c r="F152">
        <v>79</v>
      </c>
      <c r="G152">
        <v>13.78</v>
      </c>
      <c r="H152">
        <v>5</v>
      </c>
      <c r="I152">
        <v>23</v>
      </c>
      <c r="J152" t="s">
        <v>328</v>
      </c>
      <c r="K152">
        <f t="shared" si="3"/>
        <v>1088.6199999999999</v>
      </c>
    </row>
    <row r="153" spans="1:11" x14ac:dyDescent="0.45">
      <c r="A153" t="s">
        <v>329</v>
      </c>
      <c r="B153" s="1">
        <v>44906</v>
      </c>
      <c r="C153" t="s">
        <v>17</v>
      </c>
      <c r="D153" t="s">
        <v>42</v>
      </c>
      <c r="E153" t="s">
        <v>24</v>
      </c>
      <c r="F153">
        <v>15</v>
      </c>
      <c r="G153">
        <v>1.75</v>
      </c>
      <c r="H153">
        <v>0</v>
      </c>
      <c r="I153">
        <v>41</v>
      </c>
      <c r="J153" t="s">
        <v>330</v>
      </c>
      <c r="K153">
        <f t="shared" si="3"/>
        <v>26.25</v>
      </c>
    </row>
    <row r="154" spans="1:11" x14ac:dyDescent="0.45">
      <c r="A154" t="s">
        <v>331</v>
      </c>
      <c r="B154" s="1">
        <v>44771</v>
      </c>
      <c r="C154" t="s">
        <v>22</v>
      </c>
      <c r="D154" t="s">
        <v>42</v>
      </c>
      <c r="E154" t="s">
        <v>35</v>
      </c>
      <c r="F154">
        <v>90</v>
      </c>
      <c r="G154">
        <v>46.74</v>
      </c>
      <c r="H154">
        <v>0</v>
      </c>
      <c r="I154">
        <v>50</v>
      </c>
      <c r="J154" t="s">
        <v>332</v>
      </c>
      <c r="K154">
        <f t="shared" si="3"/>
        <v>4206.6000000000004</v>
      </c>
    </row>
    <row r="155" spans="1:11" x14ac:dyDescent="0.45">
      <c r="A155" t="s">
        <v>333</v>
      </c>
      <c r="B155" s="1">
        <v>44745</v>
      </c>
      <c r="C155" t="s">
        <v>57</v>
      </c>
      <c r="D155" t="s">
        <v>18</v>
      </c>
      <c r="E155" t="s">
        <v>35</v>
      </c>
      <c r="F155">
        <v>42</v>
      </c>
      <c r="G155">
        <v>25.55</v>
      </c>
      <c r="H155">
        <v>10</v>
      </c>
      <c r="I155">
        <v>46</v>
      </c>
      <c r="J155" t="s">
        <v>334</v>
      </c>
      <c r="K155">
        <f t="shared" si="3"/>
        <v>1073.1000000000001</v>
      </c>
    </row>
    <row r="156" spans="1:11" x14ac:dyDescent="0.45">
      <c r="A156" t="s">
        <v>335</v>
      </c>
      <c r="B156" s="1">
        <v>45209</v>
      </c>
      <c r="C156" t="s">
        <v>57</v>
      </c>
      <c r="D156" t="s">
        <v>18</v>
      </c>
      <c r="E156" t="s">
        <v>19</v>
      </c>
      <c r="F156">
        <v>77</v>
      </c>
      <c r="G156">
        <v>27.43</v>
      </c>
      <c r="H156">
        <v>20</v>
      </c>
      <c r="I156">
        <v>60</v>
      </c>
      <c r="J156" t="s">
        <v>336</v>
      </c>
      <c r="K156">
        <f t="shared" si="3"/>
        <v>2112.11</v>
      </c>
    </row>
    <row r="157" spans="1:11" x14ac:dyDescent="0.45">
      <c r="A157" t="s">
        <v>337</v>
      </c>
      <c r="B157" s="1">
        <v>44925</v>
      </c>
      <c r="C157" t="s">
        <v>17</v>
      </c>
      <c r="D157" t="s">
        <v>23</v>
      </c>
      <c r="E157" t="s">
        <v>19</v>
      </c>
      <c r="F157">
        <v>51</v>
      </c>
      <c r="G157">
        <v>34.51</v>
      </c>
      <c r="H157">
        <v>0</v>
      </c>
      <c r="I157">
        <v>39</v>
      </c>
      <c r="J157" t="s">
        <v>338</v>
      </c>
      <c r="K157">
        <f t="shared" si="3"/>
        <v>1760.01</v>
      </c>
    </row>
    <row r="158" spans="1:11" x14ac:dyDescent="0.45">
      <c r="A158" t="s">
        <v>339</v>
      </c>
      <c r="B158" s="1">
        <v>44833</v>
      </c>
      <c r="C158" t="s">
        <v>22</v>
      </c>
      <c r="D158" t="s">
        <v>23</v>
      </c>
      <c r="E158" t="s">
        <v>19</v>
      </c>
      <c r="F158">
        <v>63</v>
      </c>
      <c r="G158">
        <v>31.18</v>
      </c>
      <c r="H158">
        <v>5</v>
      </c>
      <c r="I158">
        <v>43</v>
      </c>
      <c r="J158" t="s">
        <v>340</v>
      </c>
      <c r="K158">
        <f t="shared" si="3"/>
        <v>1964.34</v>
      </c>
    </row>
    <row r="159" spans="1:11" x14ac:dyDescent="0.45">
      <c r="A159" t="s">
        <v>341</v>
      </c>
      <c r="B159" s="1">
        <v>44811</v>
      </c>
      <c r="C159" t="s">
        <v>22</v>
      </c>
      <c r="D159" t="s">
        <v>18</v>
      </c>
      <c r="E159" t="s">
        <v>35</v>
      </c>
      <c r="F159">
        <v>96</v>
      </c>
      <c r="G159">
        <v>47.25</v>
      </c>
      <c r="H159">
        <v>15</v>
      </c>
      <c r="I159">
        <v>45</v>
      </c>
      <c r="J159" t="s">
        <v>342</v>
      </c>
      <c r="K159">
        <f t="shared" si="3"/>
        <v>4536</v>
      </c>
    </row>
    <row r="160" spans="1:11" x14ac:dyDescent="0.45">
      <c r="A160" t="s">
        <v>343</v>
      </c>
      <c r="B160" s="1">
        <v>44601</v>
      </c>
      <c r="C160" t="s">
        <v>17</v>
      </c>
      <c r="D160" t="s">
        <v>23</v>
      </c>
      <c r="E160" t="s">
        <v>35</v>
      </c>
      <c r="F160">
        <v>52</v>
      </c>
      <c r="G160">
        <v>47.27</v>
      </c>
      <c r="H160">
        <v>0</v>
      </c>
      <c r="I160">
        <v>38</v>
      </c>
      <c r="J160" t="s">
        <v>344</v>
      </c>
      <c r="K160">
        <f t="shared" si="3"/>
        <v>2458.04</v>
      </c>
    </row>
    <row r="161" spans="1:11" x14ac:dyDescent="0.45">
      <c r="A161" t="s">
        <v>345</v>
      </c>
      <c r="B161" s="1">
        <v>44671</v>
      </c>
      <c r="C161" t="s">
        <v>29</v>
      </c>
      <c r="D161" t="s">
        <v>18</v>
      </c>
      <c r="E161" t="s">
        <v>24</v>
      </c>
      <c r="F161">
        <v>96</v>
      </c>
      <c r="G161">
        <v>43.49</v>
      </c>
      <c r="H161">
        <v>0</v>
      </c>
      <c r="I161">
        <v>24</v>
      </c>
      <c r="J161" t="s">
        <v>346</v>
      </c>
      <c r="K161">
        <f t="shared" si="3"/>
        <v>4175.04</v>
      </c>
    </row>
    <row r="162" spans="1:11" x14ac:dyDescent="0.45">
      <c r="A162" t="s">
        <v>347</v>
      </c>
      <c r="B162" s="1">
        <v>44874</v>
      </c>
      <c r="C162" t="s">
        <v>57</v>
      </c>
      <c r="D162" t="s">
        <v>23</v>
      </c>
      <c r="E162" t="s">
        <v>24</v>
      </c>
      <c r="F162">
        <v>4</v>
      </c>
      <c r="G162">
        <v>32.18</v>
      </c>
      <c r="H162">
        <v>10</v>
      </c>
      <c r="I162">
        <v>34</v>
      </c>
      <c r="J162" t="s">
        <v>348</v>
      </c>
      <c r="K162">
        <f t="shared" si="3"/>
        <v>128.72</v>
      </c>
    </row>
    <row r="163" spans="1:11" x14ac:dyDescent="0.45">
      <c r="A163" t="s">
        <v>349</v>
      </c>
      <c r="B163" s="1">
        <v>44813</v>
      </c>
      <c r="C163" t="s">
        <v>57</v>
      </c>
      <c r="D163" t="s">
        <v>18</v>
      </c>
      <c r="E163" t="s">
        <v>19</v>
      </c>
      <c r="F163">
        <v>94</v>
      </c>
      <c r="G163">
        <v>40.25</v>
      </c>
      <c r="H163">
        <v>20</v>
      </c>
      <c r="I163">
        <v>37</v>
      </c>
      <c r="J163" t="s">
        <v>350</v>
      </c>
      <c r="K163">
        <f t="shared" si="3"/>
        <v>3783.5</v>
      </c>
    </row>
    <row r="164" spans="1:11" x14ac:dyDescent="0.45">
      <c r="A164" t="s">
        <v>351</v>
      </c>
      <c r="B164" s="1">
        <v>44779</v>
      </c>
      <c r="C164" t="s">
        <v>17</v>
      </c>
      <c r="D164" t="s">
        <v>18</v>
      </c>
      <c r="E164" t="s">
        <v>19</v>
      </c>
      <c r="F164">
        <v>23</v>
      </c>
      <c r="G164">
        <v>34.18</v>
      </c>
      <c r="H164">
        <v>15</v>
      </c>
      <c r="I164">
        <v>58</v>
      </c>
      <c r="J164" t="s">
        <v>352</v>
      </c>
      <c r="K164">
        <f t="shared" si="3"/>
        <v>786.14</v>
      </c>
    </row>
    <row r="165" spans="1:11" x14ac:dyDescent="0.45">
      <c r="A165" t="s">
        <v>353</v>
      </c>
      <c r="B165" s="1">
        <v>45057</v>
      </c>
      <c r="C165" t="s">
        <v>17</v>
      </c>
      <c r="D165" t="s">
        <v>23</v>
      </c>
      <c r="E165" t="s">
        <v>30</v>
      </c>
      <c r="F165">
        <v>15</v>
      </c>
      <c r="G165">
        <v>29.09</v>
      </c>
      <c r="H165">
        <v>5</v>
      </c>
      <c r="I165">
        <v>37</v>
      </c>
      <c r="J165" t="s">
        <v>354</v>
      </c>
      <c r="K165">
        <f t="shared" si="3"/>
        <v>436.35</v>
      </c>
    </row>
    <row r="166" spans="1:11" x14ac:dyDescent="0.45">
      <c r="A166" t="s">
        <v>355</v>
      </c>
      <c r="B166" s="1">
        <v>44995</v>
      </c>
      <c r="C166" t="s">
        <v>57</v>
      </c>
      <c r="D166" t="s">
        <v>18</v>
      </c>
      <c r="E166" t="s">
        <v>30</v>
      </c>
      <c r="F166">
        <v>43</v>
      </c>
      <c r="G166">
        <v>7.3</v>
      </c>
      <c r="H166">
        <v>15</v>
      </c>
      <c r="I166">
        <v>39</v>
      </c>
      <c r="J166" t="s">
        <v>356</v>
      </c>
      <c r="K166">
        <f t="shared" si="3"/>
        <v>313.89999999999998</v>
      </c>
    </row>
    <row r="167" spans="1:11" x14ac:dyDescent="0.45">
      <c r="A167" t="s">
        <v>357</v>
      </c>
      <c r="B167" s="1">
        <v>44630</v>
      </c>
      <c r="C167" t="s">
        <v>29</v>
      </c>
      <c r="D167" t="s">
        <v>23</v>
      </c>
      <c r="E167" t="s">
        <v>19</v>
      </c>
      <c r="F167">
        <v>29</v>
      </c>
      <c r="G167">
        <v>40.75</v>
      </c>
      <c r="H167">
        <v>5</v>
      </c>
      <c r="I167">
        <v>45</v>
      </c>
      <c r="J167" t="s">
        <v>358</v>
      </c>
      <c r="K167">
        <f t="shared" si="3"/>
        <v>1181.75</v>
      </c>
    </row>
    <row r="168" spans="1:11" x14ac:dyDescent="0.45">
      <c r="A168" t="s">
        <v>359</v>
      </c>
      <c r="B168" s="1">
        <v>44581</v>
      </c>
      <c r="C168" t="s">
        <v>29</v>
      </c>
      <c r="D168" t="s">
        <v>18</v>
      </c>
      <c r="E168" t="s">
        <v>30</v>
      </c>
      <c r="F168">
        <v>36</v>
      </c>
      <c r="G168">
        <v>41.21</v>
      </c>
      <c r="H168">
        <v>20</v>
      </c>
      <c r="I168">
        <v>57</v>
      </c>
      <c r="J168" t="s">
        <v>360</v>
      </c>
      <c r="K168">
        <f t="shared" si="3"/>
        <v>1483.56</v>
      </c>
    </row>
    <row r="169" spans="1:11" x14ac:dyDescent="0.45">
      <c r="A169" t="s">
        <v>361</v>
      </c>
      <c r="B169" s="1">
        <v>44743</v>
      </c>
      <c r="C169" t="s">
        <v>17</v>
      </c>
      <c r="D169" t="s">
        <v>23</v>
      </c>
      <c r="E169" t="s">
        <v>19</v>
      </c>
      <c r="F169">
        <v>13</v>
      </c>
      <c r="G169">
        <v>31.67</v>
      </c>
      <c r="H169">
        <v>5</v>
      </c>
      <c r="I169">
        <v>24</v>
      </c>
      <c r="J169" t="s">
        <v>362</v>
      </c>
      <c r="K169">
        <f t="shared" si="3"/>
        <v>411.71000000000004</v>
      </c>
    </row>
    <row r="170" spans="1:11" x14ac:dyDescent="0.45">
      <c r="A170" t="s">
        <v>363</v>
      </c>
      <c r="B170" s="1">
        <v>45216</v>
      </c>
      <c r="C170" t="s">
        <v>29</v>
      </c>
      <c r="D170" t="s">
        <v>23</v>
      </c>
      <c r="E170" t="s">
        <v>30</v>
      </c>
      <c r="F170">
        <v>32</v>
      </c>
      <c r="G170">
        <v>41.2</v>
      </c>
      <c r="H170">
        <v>10</v>
      </c>
      <c r="I170">
        <v>18</v>
      </c>
      <c r="J170" t="s">
        <v>364</v>
      </c>
      <c r="K170">
        <f t="shared" si="3"/>
        <v>1318.4</v>
      </c>
    </row>
    <row r="171" spans="1:11" x14ac:dyDescent="0.45">
      <c r="A171" t="s">
        <v>365</v>
      </c>
      <c r="B171" s="1">
        <v>45252</v>
      </c>
      <c r="C171" t="s">
        <v>57</v>
      </c>
      <c r="D171" t="s">
        <v>23</v>
      </c>
      <c r="E171" t="s">
        <v>30</v>
      </c>
      <c r="F171">
        <v>71</v>
      </c>
      <c r="G171">
        <v>32.92</v>
      </c>
      <c r="H171">
        <v>10</v>
      </c>
      <c r="I171">
        <v>49</v>
      </c>
      <c r="J171" t="s">
        <v>366</v>
      </c>
      <c r="K171">
        <f t="shared" si="3"/>
        <v>2337.3200000000002</v>
      </c>
    </row>
    <row r="172" spans="1:11" x14ac:dyDescent="0.45">
      <c r="A172" t="s">
        <v>367</v>
      </c>
      <c r="B172" s="1">
        <v>44870</v>
      </c>
      <c r="C172" t="s">
        <v>17</v>
      </c>
      <c r="D172" t="s">
        <v>18</v>
      </c>
      <c r="E172" t="s">
        <v>30</v>
      </c>
      <c r="F172">
        <v>59</v>
      </c>
      <c r="G172">
        <v>11.13</v>
      </c>
      <c r="H172">
        <v>10</v>
      </c>
      <c r="I172">
        <v>30</v>
      </c>
      <c r="J172" t="s">
        <v>368</v>
      </c>
      <c r="K172">
        <f t="shared" si="3"/>
        <v>656.67000000000007</v>
      </c>
    </row>
    <row r="173" spans="1:11" x14ac:dyDescent="0.45">
      <c r="A173" t="s">
        <v>369</v>
      </c>
      <c r="B173" s="1">
        <v>44766</v>
      </c>
      <c r="C173" t="s">
        <v>57</v>
      </c>
      <c r="D173" t="s">
        <v>23</v>
      </c>
      <c r="E173" t="s">
        <v>35</v>
      </c>
      <c r="F173">
        <v>86</v>
      </c>
      <c r="G173">
        <v>14.42</v>
      </c>
      <c r="H173">
        <v>10</v>
      </c>
      <c r="I173">
        <v>47</v>
      </c>
      <c r="J173" t="s">
        <v>370</v>
      </c>
      <c r="K173">
        <f t="shared" si="3"/>
        <v>1240.1199999999999</v>
      </c>
    </row>
    <row r="174" spans="1:11" x14ac:dyDescent="0.45">
      <c r="A174" t="s">
        <v>371</v>
      </c>
      <c r="B174" s="1">
        <v>45000</v>
      </c>
      <c r="C174" t="s">
        <v>29</v>
      </c>
      <c r="D174" t="s">
        <v>23</v>
      </c>
      <c r="E174" t="s">
        <v>19</v>
      </c>
      <c r="F174">
        <v>28</v>
      </c>
      <c r="G174">
        <v>11.51</v>
      </c>
      <c r="H174">
        <v>15</v>
      </c>
      <c r="I174">
        <v>40</v>
      </c>
      <c r="J174" t="s">
        <v>372</v>
      </c>
      <c r="K174">
        <f t="shared" si="3"/>
        <v>322.27999999999997</v>
      </c>
    </row>
    <row r="175" spans="1:11" x14ac:dyDescent="0.45">
      <c r="A175" t="s">
        <v>373</v>
      </c>
      <c r="B175" s="1">
        <v>45065</v>
      </c>
      <c r="C175" t="s">
        <v>29</v>
      </c>
      <c r="D175" t="s">
        <v>42</v>
      </c>
      <c r="E175" t="s">
        <v>24</v>
      </c>
      <c r="F175">
        <v>66</v>
      </c>
      <c r="G175">
        <v>19.489999999999998</v>
      </c>
      <c r="H175">
        <v>20</v>
      </c>
      <c r="I175">
        <v>36</v>
      </c>
      <c r="J175" t="s">
        <v>374</v>
      </c>
      <c r="K175">
        <f t="shared" si="3"/>
        <v>1286.3399999999999</v>
      </c>
    </row>
    <row r="176" spans="1:11" x14ac:dyDescent="0.45">
      <c r="A176" t="s">
        <v>375</v>
      </c>
      <c r="B176" s="1">
        <v>45028</v>
      </c>
      <c r="C176" t="s">
        <v>29</v>
      </c>
      <c r="D176" t="s">
        <v>42</v>
      </c>
      <c r="E176" t="s">
        <v>24</v>
      </c>
      <c r="F176">
        <v>42</v>
      </c>
      <c r="G176">
        <v>2.91</v>
      </c>
      <c r="H176">
        <v>5</v>
      </c>
      <c r="I176">
        <v>49</v>
      </c>
      <c r="J176" t="s">
        <v>376</v>
      </c>
      <c r="K176">
        <f t="shared" si="3"/>
        <v>122.22</v>
      </c>
    </row>
    <row r="177" spans="1:11" x14ac:dyDescent="0.45">
      <c r="A177" t="s">
        <v>377</v>
      </c>
      <c r="B177" s="1">
        <v>44816</v>
      </c>
      <c r="C177" t="s">
        <v>17</v>
      </c>
      <c r="D177" t="s">
        <v>42</v>
      </c>
      <c r="E177" t="s">
        <v>19</v>
      </c>
      <c r="F177">
        <v>45</v>
      </c>
      <c r="G177">
        <v>31.29</v>
      </c>
      <c r="H177">
        <v>5</v>
      </c>
      <c r="I177">
        <v>47</v>
      </c>
      <c r="J177" t="s">
        <v>378</v>
      </c>
      <c r="K177">
        <f t="shared" si="3"/>
        <v>1408.05</v>
      </c>
    </row>
    <row r="178" spans="1:11" x14ac:dyDescent="0.45">
      <c r="A178" t="s">
        <v>379</v>
      </c>
      <c r="B178" s="1">
        <v>44784</v>
      </c>
      <c r="C178" t="s">
        <v>29</v>
      </c>
      <c r="D178" t="s">
        <v>23</v>
      </c>
      <c r="E178" t="s">
        <v>30</v>
      </c>
      <c r="F178">
        <v>62</v>
      </c>
      <c r="G178">
        <v>17.489999999999998</v>
      </c>
      <c r="H178">
        <v>10</v>
      </c>
      <c r="I178">
        <v>46</v>
      </c>
      <c r="J178" t="s">
        <v>380</v>
      </c>
      <c r="K178">
        <f t="shared" si="3"/>
        <v>1084.3799999999999</v>
      </c>
    </row>
    <row r="179" spans="1:11" x14ac:dyDescent="0.45">
      <c r="A179" t="s">
        <v>381</v>
      </c>
      <c r="B179" s="1">
        <v>44815</v>
      </c>
      <c r="C179" t="s">
        <v>29</v>
      </c>
      <c r="D179" t="s">
        <v>23</v>
      </c>
      <c r="E179" t="s">
        <v>35</v>
      </c>
      <c r="F179">
        <v>57</v>
      </c>
      <c r="G179">
        <v>33.130000000000003</v>
      </c>
      <c r="H179">
        <v>10</v>
      </c>
      <c r="I179">
        <v>62</v>
      </c>
      <c r="J179" t="s">
        <v>382</v>
      </c>
      <c r="K179">
        <f t="shared" si="3"/>
        <v>1888.41</v>
      </c>
    </row>
    <row r="180" spans="1:11" x14ac:dyDescent="0.45">
      <c r="A180" t="s">
        <v>383</v>
      </c>
      <c r="B180" s="1">
        <v>45104</v>
      </c>
      <c r="C180" t="s">
        <v>57</v>
      </c>
      <c r="D180" t="s">
        <v>42</v>
      </c>
      <c r="E180" t="s">
        <v>24</v>
      </c>
      <c r="F180">
        <v>6</v>
      </c>
      <c r="G180">
        <v>19.88</v>
      </c>
      <c r="H180">
        <v>0</v>
      </c>
      <c r="I180">
        <v>46</v>
      </c>
      <c r="J180" t="s">
        <v>384</v>
      </c>
      <c r="K180">
        <f t="shared" si="3"/>
        <v>119.28</v>
      </c>
    </row>
    <row r="181" spans="1:11" x14ac:dyDescent="0.45">
      <c r="A181" t="s">
        <v>385</v>
      </c>
      <c r="B181" s="1">
        <v>44634</v>
      </c>
      <c r="C181" t="s">
        <v>22</v>
      </c>
      <c r="D181" t="s">
        <v>18</v>
      </c>
      <c r="E181" t="s">
        <v>35</v>
      </c>
      <c r="F181">
        <v>28</v>
      </c>
      <c r="G181">
        <v>34.4</v>
      </c>
      <c r="H181">
        <v>20</v>
      </c>
      <c r="I181">
        <v>47</v>
      </c>
      <c r="J181" t="s">
        <v>386</v>
      </c>
      <c r="K181">
        <f t="shared" si="3"/>
        <v>963.19999999999993</v>
      </c>
    </row>
    <row r="182" spans="1:11" x14ac:dyDescent="0.45">
      <c r="A182" t="s">
        <v>387</v>
      </c>
      <c r="B182" s="1">
        <v>45135</v>
      </c>
      <c r="C182" t="s">
        <v>57</v>
      </c>
      <c r="D182" t="s">
        <v>23</v>
      </c>
      <c r="E182" t="s">
        <v>24</v>
      </c>
      <c r="F182">
        <v>28</v>
      </c>
      <c r="G182">
        <v>17.690000000000001</v>
      </c>
      <c r="H182">
        <v>15</v>
      </c>
      <c r="I182">
        <v>33</v>
      </c>
      <c r="J182" t="s">
        <v>388</v>
      </c>
      <c r="K182">
        <f t="shared" si="3"/>
        <v>495.32000000000005</v>
      </c>
    </row>
    <row r="183" spans="1:11" x14ac:dyDescent="0.45">
      <c r="A183" t="s">
        <v>389</v>
      </c>
      <c r="B183" s="1">
        <v>44656</v>
      </c>
      <c r="C183" t="s">
        <v>29</v>
      </c>
      <c r="D183" t="s">
        <v>18</v>
      </c>
      <c r="E183" t="s">
        <v>30</v>
      </c>
      <c r="F183">
        <v>44</v>
      </c>
      <c r="G183">
        <v>13.77</v>
      </c>
      <c r="H183">
        <v>5</v>
      </c>
      <c r="I183">
        <v>57</v>
      </c>
      <c r="J183" t="s">
        <v>390</v>
      </c>
      <c r="K183">
        <f t="shared" si="3"/>
        <v>605.88</v>
      </c>
    </row>
    <row r="184" spans="1:11" x14ac:dyDescent="0.45">
      <c r="A184" t="s">
        <v>391</v>
      </c>
      <c r="B184" s="1">
        <v>45084</v>
      </c>
      <c r="C184" t="s">
        <v>57</v>
      </c>
      <c r="D184" t="s">
        <v>23</v>
      </c>
      <c r="E184" t="s">
        <v>30</v>
      </c>
      <c r="F184">
        <v>84</v>
      </c>
      <c r="G184">
        <v>25.31</v>
      </c>
      <c r="H184">
        <v>0</v>
      </c>
      <c r="I184">
        <v>36</v>
      </c>
      <c r="J184" t="s">
        <v>392</v>
      </c>
      <c r="K184">
        <f t="shared" si="3"/>
        <v>2126.04</v>
      </c>
    </row>
    <row r="185" spans="1:11" x14ac:dyDescent="0.45">
      <c r="A185" t="s">
        <v>393</v>
      </c>
      <c r="B185" s="1">
        <v>45102</v>
      </c>
      <c r="C185" t="s">
        <v>29</v>
      </c>
      <c r="D185" t="s">
        <v>42</v>
      </c>
      <c r="E185" t="s">
        <v>19</v>
      </c>
      <c r="F185">
        <v>30</v>
      </c>
      <c r="G185">
        <v>34.950000000000003</v>
      </c>
      <c r="H185">
        <v>0</v>
      </c>
      <c r="I185">
        <v>35</v>
      </c>
      <c r="J185" t="s">
        <v>394</v>
      </c>
      <c r="K185">
        <f t="shared" si="3"/>
        <v>1048.5</v>
      </c>
    </row>
    <row r="186" spans="1:11" x14ac:dyDescent="0.45">
      <c r="A186" t="s">
        <v>395</v>
      </c>
      <c r="B186" s="1">
        <v>44960</v>
      </c>
      <c r="C186" t="s">
        <v>17</v>
      </c>
      <c r="D186" t="s">
        <v>23</v>
      </c>
      <c r="E186" t="s">
        <v>30</v>
      </c>
      <c r="F186">
        <v>62</v>
      </c>
      <c r="G186">
        <v>18.07</v>
      </c>
      <c r="H186">
        <v>5</v>
      </c>
      <c r="I186">
        <v>18</v>
      </c>
      <c r="J186" t="s">
        <v>396</v>
      </c>
      <c r="K186">
        <f t="shared" si="3"/>
        <v>1120.3399999999999</v>
      </c>
    </row>
    <row r="187" spans="1:11" x14ac:dyDescent="0.45">
      <c r="A187" t="s">
        <v>397</v>
      </c>
      <c r="B187" s="1">
        <v>44957</v>
      </c>
      <c r="C187" t="s">
        <v>57</v>
      </c>
      <c r="D187" t="s">
        <v>23</v>
      </c>
      <c r="E187" t="s">
        <v>30</v>
      </c>
      <c r="F187">
        <v>75</v>
      </c>
      <c r="G187">
        <v>46.9</v>
      </c>
      <c r="H187">
        <v>15</v>
      </c>
      <c r="I187">
        <v>31</v>
      </c>
      <c r="J187" t="s">
        <v>398</v>
      </c>
      <c r="K187">
        <f t="shared" si="3"/>
        <v>3517.5</v>
      </c>
    </row>
    <row r="188" spans="1:11" x14ac:dyDescent="0.45">
      <c r="A188" t="s">
        <v>399</v>
      </c>
      <c r="B188" s="1">
        <v>44903</v>
      </c>
      <c r="C188" t="s">
        <v>29</v>
      </c>
      <c r="D188" t="s">
        <v>23</v>
      </c>
      <c r="E188" t="s">
        <v>24</v>
      </c>
      <c r="F188">
        <v>92</v>
      </c>
      <c r="G188">
        <v>2.92</v>
      </c>
      <c r="H188">
        <v>0</v>
      </c>
      <c r="I188">
        <v>64</v>
      </c>
      <c r="J188" t="s">
        <v>400</v>
      </c>
      <c r="K188">
        <f t="shared" si="3"/>
        <v>268.64</v>
      </c>
    </row>
    <row r="189" spans="1:11" x14ac:dyDescent="0.45">
      <c r="A189" t="s">
        <v>401</v>
      </c>
      <c r="B189" s="1">
        <v>44575</v>
      </c>
      <c r="C189" t="s">
        <v>17</v>
      </c>
      <c r="D189" t="s">
        <v>18</v>
      </c>
      <c r="E189" t="s">
        <v>35</v>
      </c>
      <c r="F189">
        <v>89</v>
      </c>
      <c r="G189">
        <v>21.48</v>
      </c>
      <c r="H189">
        <v>0</v>
      </c>
      <c r="I189">
        <v>19</v>
      </c>
      <c r="J189" t="s">
        <v>402</v>
      </c>
      <c r="K189">
        <f t="shared" si="3"/>
        <v>1911.72</v>
      </c>
    </row>
    <row r="190" spans="1:11" x14ac:dyDescent="0.45">
      <c r="A190" t="s">
        <v>403</v>
      </c>
      <c r="B190" s="1">
        <v>45235</v>
      </c>
      <c r="C190" t="s">
        <v>22</v>
      </c>
      <c r="D190" t="s">
        <v>23</v>
      </c>
      <c r="E190" t="s">
        <v>24</v>
      </c>
      <c r="F190">
        <v>62</v>
      </c>
      <c r="G190">
        <v>48.41</v>
      </c>
      <c r="H190">
        <v>20</v>
      </c>
      <c r="I190">
        <v>45</v>
      </c>
      <c r="J190" t="s">
        <v>404</v>
      </c>
      <c r="K190">
        <f t="shared" si="3"/>
        <v>3001.4199999999996</v>
      </c>
    </row>
    <row r="191" spans="1:11" x14ac:dyDescent="0.45">
      <c r="A191" t="s">
        <v>405</v>
      </c>
      <c r="B191" s="1">
        <v>45012</v>
      </c>
      <c r="C191" t="s">
        <v>57</v>
      </c>
      <c r="D191" t="s">
        <v>23</v>
      </c>
      <c r="E191" t="s">
        <v>35</v>
      </c>
      <c r="F191">
        <v>97</v>
      </c>
      <c r="G191">
        <v>27.85</v>
      </c>
      <c r="H191">
        <v>15</v>
      </c>
      <c r="I191">
        <v>47</v>
      </c>
      <c r="J191" t="s">
        <v>406</v>
      </c>
      <c r="K191">
        <f t="shared" si="3"/>
        <v>2701.4500000000003</v>
      </c>
    </row>
    <row r="192" spans="1:11" x14ac:dyDescent="0.45">
      <c r="A192" t="s">
        <v>407</v>
      </c>
      <c r="B192" s="1">
        <v>45205</v>
      </c>
      <c r="C192" t="s">
        <v>22</v>
      </c>
      <c r="D192" t="s">
        <v>23</v>
      </c>
      <c r="E192" t="s">
        <v>19</v>
      </c>
      <c r="F192">
        <v>1</v>
      </c>
      <c r="G192">
        <v>21.75</v>
      </c>
      <c r="H192">
        <v>0</v>
      </c>
      <c r="I192">
        <v>55</v>
      </c>
      <c r="J192" t="s">
        <v>408</v>
      </c>
      <c r="K192">
        <f t="shared" si="3"/>
        <v>21.75</v>
      </c>
    </row>
    <row r="193" spans="1:11" x14ac:dyDescent="0.45">
      <c r="A193" t="s">
        <v>409</v>
      </c>
      <c r="B193" s="1">
        <v>44633</v>
      </c>
      <c r="C193" t="s">
        <v>29</v>
      </c>
      <c r="D193" t="s">
        <v>18</v>
      </c>
      <c r="E193" t="s">
        <v>35</v>
      </c>
      <c r="F193">
        <v>27</v>
      </c>
      <c r="G193">
        <v>28.86</v>
      </c>
      <c r="H193">
        <v>15</v>
      </c>
      <c r="I193">
        <v>21</v>
      </c>
      <c r="J193" t="s">
        <v>410</v>
      </c>
      <c r="K193">
        <f t="shared" si="3"/>
        <v>779.22</v>
      </c>
    </row>
    <row r="194" spans="1:11" x14ac:dyDescent="0.45">
      <c r="A194" t="s">
        <v>411</v>
      </c>
      <c r="B194" s="1">
        <v>45032</v>
      </c>
      <c r="C194" t="s">
        <v>29</v>
      </c>
      <c r="D194" t="s">
        <v>42</v>
      </c>
      <c r="E194" t="s">
        <v>24</v>
      </c>
      <c r="F194">
        <v>62</v>
      </c>
      <c r="G194">
        <v>29.22</v>
      </c>
      <c r="H194">
        <v>5</v>
      </c>
      <c r="I194">
        <v>18</v>
      </c>
      <c r="J194" t="s">
        <v>412</v>
      </c>
      <c r="K194">
        <f t="shared" si="3"/>
        <v>1811.6399999999999</v>
      </c>
    </row>
    <row r="195" spans="1:11" x14ac:dyDescent="0.45">
      <c r="A195" t="s">
        <v>413</v>
      </c>
      <c r="B195" s="1">
        <v>45161</v>
      </c>
      <c r="C195" t="s">
        <v>57</v>
      </c>
      <c r="D195" t="s">
        <v>23</v>
      </c>
      <c r="E195" t="s">
        <v>35</v>
      </c>
      <c r="F195">
        <v>77</v>
      </c>
      <c r="G195">
        <v>36.85</v>
      </c>
      <c r="H195">
        <v>10</v>
      </c>
      <c r="I195">
        <v>25</v>
      </c>
      <c r="J195" t="s">
        <v>414</v>
      </c>
      <c r="K195">
        <f t="shared" ref="K195:K258" si="4">G195*F195</f>
        <v>2837.4500000000003</v>
      </c>
    </row>
    <row r="196" spans="1:11" x14ac:dyDescent="0.45">
      <c r="A196" t="s">
        <v>415</v>
      </c>
      <c r="B196" s="1">
        <v>44698</v>
      </c>
      <c r="C196" t="s">
        <v>29</v>
      </c>
      <c r="D196" t="s">
        <v>18</v>
      </c>
      <c r="E196" t="s">
        <v>35</v>
      </c>
      <c r="F196">
        <v>3</v>
      </c>
      <c r="G196">
        <v>7.26</v>
      </c>
      <c r="H196">
        <v>0</v>
      </c>
      <c r="I196">
        <v>46</v>
      </c>
      <c r="J196" t="s">
        <v>416</v>
      </c>
      <c r="K196">
        <f t="shared" si="4"/>
        <v>21.78</v>
      </c>
    </row>
    <row r="197" spans="1:11" x14ac:dyDescent="0.45">
      <c r="A197" t="s">
        <v>417</v>
      </c>
      <c r="B197" s="1">
        <v>45187</v>
      </c>
      <c r="C197" t="s">
        <v>22</v>
      </c>
      <c r="D197" t="s">
        <v>18</v>
      </c>
      <c r="E197" t="s">
        <v>30</v>
      </c>
      <c r="F197">
        <v>70</v>
      </c>
      <c r="G197">
        <v>13.25</v>
      </c>
      <c r="H197">
        <v>20</v>
      </c>
      <c r="I197">
        <v>56</v>
      </c>
      <c r="J197" t="s">
        <v>418</v>
      </c>
      <c r="K197">
        <f t="shared" si="4"/>
        <v>927.5</v>
      </c>
    </row>
    <row r="198" spans="1:11" x14ac:dyDescent="0.45">
      <c r="A198" t="s">
        <v>419</v>
      </c>
      <c r="B198" s="1">
        <v>45208</v>
      </c>
      <c r="C198" t="s">
        <v>17</v>
      </c>
      <c r="D198" t="s">
        <v>18</v>
      </c>
      <c r="E198" t="s">
        <v>24</v>
      </c>
      <c r="F198">
        <v>72</v>
      </c>
      <c r="G198">
        <v>29.45</v>
      </c>
      <c r="H198">
        <v>5</v>
      </c>
      <c r="I198">
        <v>20</v>
      </c>
      <c r="J198" t="s">
        <v>420</v>
      </c>
      <c r="K198">
        <f t="shared" si="4"/>
        <v>2120.4</v>
      </c>
    </row>
    <row r="199" spans="1:11" x14ac:dyDescent="0.45">
      <c r="A199" t="s">
        <v>421</v>
      </c>
      <c r="B199" s="1">
        <v>45244</v>
      </c>
      <c r="C199" t="s">
        <v>29</v>
      </c>
      <c r="D199" t="s">
        <v>42</v>
      </c>
      <c r="E199" t="s">
        <v>35</v>
      </c>
      <c r="F199">
        <v>27</v>
      </c>
      <c r="G199">
        <v>43.49</v>
      </c>
      <c r="H199">
        <v>15</v>
      </c>
      <c r="I199">
        <v>49</v>
      </c>
      <c r="J199" t="s">
        <v>422</v>
      </c>
      <c r="K199">
        <f t="shared" si="4"/>
        <v>1174.23</v>
      </c>
    </row>
    <row r="200" spans="1:11" x14ac:dyDescent="0.45">
      <c r="A200" t="s">
        <v>423</v>
      </c>
      <c r="B200" s="1">
        <v>44706</v>
      </c>
      <c r="C200" t="s">
        <v>22</v>
      </c>
      <c r="D200" t="s">
        <v>42</v>
      </c>
      <c r="E200" t="s">
        <v>30</v>
      </c>
      <c r="F200">
        <v>9</v>
      </c>
      <c r="G200">
        <v>28.53</v>
      </c>
      <c r="H200">
        <v>5</v>
      </c>
      <c r="I200">
        <v>27</v>
      </c>
      <c r="J200" t="s">
        <v>424</v>
      </c>
      <c r="K200">
        <f t="shared" si="4"/>
        <v>256.77</v>
      </c>
    </row>
    <row r="201" spans="1:11" x14ac:dyDescent="0.45">
      <c r="A201" t="s">
        <v>425</v>
      </c>
      <c r="B201" s="1">
        <v>44924</v>
      </c>
      <c r="C201" t="s">
        <v>57</v>
      </c>
      <c r="D201" t="s">
        <v>23</v>
      </c>
      <c r="E201" t="s">
        <v>30</v>
      </c>
      <c r="F201">
        <v>62</v>
      </c>
      <c r="G201">
        <v>12.69</v>
      </c>
      <c r="H201">
        <v>0</v>
      </c>
      <c r="I201">
        <v>27</v>
      </c>
      <c r="J201" t="s">
        <v>426</v>
      </c>
      <c r="K201">
        <f t="shared" si="4"/>
        <v>786.78</v>
      </c>
    </row>
    <row r="202" spans="1:11" x14ac:dyDescent="0.45">
      <c r="A202" t="s">
        <v>427</v>
      </c>
      <c r="B202" s="1">
        <v>45076</v>
      </c>
      <c r="C202" t="s">
        <v>57</v>
      </c>
      <c r="D202" t="s">
        <v>42</v>
      </c>
      <c r="E202" t="s">
        <v>35</v>
      </c>
      <c r="F202">
        <v>37</v>
      </c>
      <c r="G202">
        <v>34.31</v>
      </c>
      <c r="H202">
        <v>15</v>
      </c>
      <c r="I202">
        <v>36</v>
      </c>
      <c r="J202" t="s">
        <v>428</v>
      </c>
      <c r="K202">
        <f t="shared" si="4"/>
        <v>1269.47</v>
      </c>
    </row>
    <row r="203" spans="1:11" x14ac:dyDescent="0.45">
      <c r="A203" t="s">
        <v>429</v>
      </c>
      <c r="B203" s="1">
        <v>44995</v>
      </c>
      <c r="C203" t="s">
        <v>17</v>
      </c>
      <c r="D203" t="s">
        <v>18</v>
      </c>
      <c r="E203" t="s">
        <v>35</v>
      </c>
      <c r="F203">
        <v>97</v>
      </c>
      <c r="G203">
        <v>37.26</v>
      </c>
      <c r="H203">
        <v>10</v>
      </c>
      <c r="I203">
        <v>63</v>
      </c>
      <c r="J203" t="s">
        <v>430</v>
      </c>
      <c r="K203">
        <f t="shared" si="4"/>
        <v>3614.22</v>
      </c>
    </row>
    <row r="204" spans="1:11" x14ac:dyDescent="0.45">
      <c r="A204" t="s">
        <v>431</v>
      </c>
      <c r="B204" s="1">
        <v>44749</v>
      </c>
      <c r="C204" t="s">
        <v>17</v>
      </c>
      <c r="D204" t="s">
        <v>42</v>
      </c>
      <c r="E204" t="s">
        <v>24</v>
      </c>
      <c r="F204">
        <v>51</v>
      </c>
      <c r="G204">
        <v>12.67</v>
      </c>
      <c r="H204">
        <v>5</v>
      </c>
      <c r="I204">
        <v>51</v>
      </c>
      <c r="J204" t="s">
        <v>432</v>
      </c>
      <c r="K204">
        <f t="shared" si="4"/>
        <v>646.16999999999996</v>
      </c>
    </row>
    <row r="205" spans="1:11" x14ac:dyDescent="0.45">
      <c r="A205" t="s">
        <v>433</v>
      </c>
      <c r="B205" s="1">
        <v>44842</v>
      </c>
      <c r="C205" t="s">
        <v>57</v>
      </c>
      <c r="D205" t="s">
        <v>23</v>
      </c>
      <c r="E205" t="s">
        <v>30</v>
      </c>
      <c r="F205">
        <v>44</v>
      </c>
      <c r="G205">
        <v>19.510000000000002</v>
      </c>
      <c r="H205">
        <v>0</v>
      </c>
      <c r="I205">
        <v>50</v>
      </c>
      <c r="J205" t="s">
        <v>434</v>
      </c>
      <c r="K205">
        <f t="shared" si="4"/>
        <v>858.44</v>
      </c>
    </row>
    <row r="206" spans="1:11" x14ac:dyDescent="0.45">
      <c r="A206" t="s">
        <v>435</v>
      </c>
      <c r="B206" s="1">
        <v>44752</v>
      </c>
      <c r="C206" t="s">
        <v>57</v>
      </c>
      <c r="D206" t="s">
        <v>23</v>
      </c>
      <c r="E206" t="s">
        <v>24</v>
      </c>
      <c r="F206">
        <v>24</v>
      </c>
      <c r="G206">
        <v>27.18</v>
      </c>
      <c r="H206">
        <v>20</v>
      </c>
      <c r="I206">
        <v>40</v>
      </c>
      <c r="J206" t="s">
        <v>436</v>
      </c>
      <c r="K206">
        <f t="shared" si="4"/>
        <v>652.31999999999994</v>
      </c>
    </row>
    <row r="207" spans="1:11" x14ac:dyDescent="0.45">
      <c r="A207" t="s">
        <v>437</v>
      </c>
      <c r="B207" s="1">
        <v>45059</v>
      </c>
      <c r="C207" t="s">
        <v>17</v>
      </c>
      <c r="D207" t="s">
        <v>23</v>
      </c>
      <c r="E207" t="s">
        <v>19</v>
      </c>
      <c r="F207">
        <v>79</v>
      </c>
      <c r="G207">
        <v>25.33</v>
      </c>
      <c r="H207">
        <v>15</v>
      </c>
      <c r="I207">
        <v>45</v>
      </c>
      <c r="J207" t="s">
        <v>438</v>
      </c>
      <c r="K207">
        <f t="shared" si="4"/>
        <v>2001.07</v>
      </c>
    </row>
    <row r="208" spans="1:11" x14ac:dyDescent="0.45">
      <c r="A208" t="s">
        <v>439</v>
      </c>
      <c r="B208" s="1">
        <v>44789</v>
      </c>
      <c r="C208" t="s">
        <v>29</v>
      </c>
      <c r="D208" t="s">
        <v>42</v>
      </c>
      <c r="E208" t="s">
        <v>19</v>
      </c>
      <c r="F208">
        <v>59</v>
      </c>
      <c r="G208">
        <v>20.09</v>
      </c>
      <c r="H208">
        <v>5</v>
      </c>
      <c r="I208">
        <v>49</v>
      </c>
      <c r="J208" t="s">
        <v>440</v>
      </c>
      <c r="K208">
        <f t="shared" si="4"/>
        <v>1185.31</v>
      </c>
    </row>
    <row r="209" spans="1:11" x14ac:dyDescent="0.45">
      <c r="A209" t="s">
        <v>441</v>
      </c>
      <c r="B209" s="1">
        <v>44576</v>
      </c>
      <c r="C209" t="s">
        <v>22</v>
      </c>
      <c r="D209" t="s">
        <v>42</v>
      </c>
      <c r="E209" t="s">
        <v>30</v>
      </c>
      <c r="F209">
        <v>32</v>
      </c>
      <c r="G209">
        <v>15.58</v>
      </c>
      <c r="H209">
        <v>5</v>
      </c>
      <c r="I209">
        <v>24</v>
      </c>
      <c r="J209" t="s">
        <v>442</v>
      </c>
      <c r="K209">
        <f t="shared" si="4"/>
        <v>498.56</v>
      </c>
    </row>
    <row r="210" spans="1:11" x14ac:dyDescent="0.45">
      <c r="A210" t="s">
        <v>443</v>
      </c>
      <c r="B210" s="1">
        <v>45249</v>
      </c>
      <c r="C210" t="s">
        <v>17</v>
      </c>
      <c r="D210" t="s">
        <v>42</v>
      </c>
      <c r="E210" t="s">
        <v>24</v>
      </c>
      <c r="F210">
        <v>96</v>
      </c>
      <c r="G210">
        <v>5.9</v>
      </c>
      <c r="H210">
        <v>10</v>
      </c>
      <c r="I210">
        <v>46</v>
      </c>
      <c r="J210" t="s">
        <v>444</v>
      </c>
      <c r="K210">
        <f t="shared" si="4"/>
        <v>566.40000000000009</v>
      </c>
    </row>
    <row r="211" spans="1:11" x14ac:dyDescent="0.45">
      <c r="A211" t="s">
        <v>445</v>
      </c>
      <c r="B211" s="1">
        <v>44989</v>
      </c>
      <c r="C211" t="s">
        <v>29</v>
      </c>
      <c r="D211" t="s">
        <v>18</v>
      </c>
      <c r="E211" t="s">
        <v>24</v>
      </c>
      <c r="F211">
        <v>88</v>
      </c>
      <c r="G211">
        <v>3.62</v>
      </c>
      <c r="H211">
        <v>10</v>
      </c>
      <c r="I211">
        <v>25</v>
      </c>
      <c r="J211" t="s">
        <v>446</v>
      </c>
      <c r="K211">
        <f t="shared" si="4"/>
        <v>318.56</v>
      </c>
    </row>
    <row r="212" spans="1:11" x14ac:dyDescent="0.45">
      <c r="A212" t="s">
        <v>447</v>
      </c>
      <c r="B212" s="1">
        <v>45193</v>
      </c>
      <c r="C212" t="s">
        <v>22</v>
      </c>
      <c r="D212" t="s">
        <v>23</v>
      </c>
      <c r="E212" t="s">
        <v>19</v>
      </c>
      <c r="F212">
        <v>52</v>
      </c>
      <c r="G212">
        <v>47.97</v>
      </c>
      <c r="H212">
        <v>20</v>
      </c>
      <c r="I212">
        <v>18</v>
      </c>
      <c r="J212" t="s">
        <v>448</v>
      </c>
      <c r="K212">
        <f t="shared" si="4"/>
        <v>2494.44</v>
      </c>
    </row>
    <row r="213" spans="1:11" x14ac:dyDescent="0.45">
      <c r="A213" t="s">
        <v>449</v>
      </c>
      <c r="B213" s="1">
        <v>45018</v>
      </c>
      <c r="C213" t="s">
        <v>57</v>
      </c>
      <c r="D213" t="s">
        <v>18</v>
      </c>
      <c r="E213" t="s">
        <v>24</v>
      </c>
      <c r="F213">
        <v>62</v>
      </c>
      <c r="G213">
        <v>42.51</v>
      </c>
      <c r="H213">
        <v>20</v>
      </c>
      <c r="I213">
        <v>20</v>
      </c>
      <c r="J213" t="s">
        <v>450</v>
      </c>
      <c r="K213">
        <f t="shared" si="4"/>
        <v>2635.62</v>
      </c>
    </row>
    <row r="214" spans="1:11" x14ac:dyDescent="0.45">
      <c r="A214" t="s">
        <v>451</v>
      </c>
      <c r="B214" s="1">
        <v>45079</v>
      </c>
      <c r="C214" t="s">
        <v>57</v>
      </c>
      <c r="D214" t="s">
        <v>18</v>
      </c>
      <c r="E214" t="s">
        <v>24</v>
      </c>
      <c r="F214">
        <v>58</v>
      </c>
      <c r="G214">
        <v>18.39</v>
      </c>
      <c r="H214">
        <v>0</v>
      </c>
      <c r="I214">
        <v>41</v>
      </c>
      <c r="J214" t="s">
        <v>452</v>
      </c>
      <c r="K214">
        <f t="shared" si="4"/>
        <v>1066.6200000000001</v>
      </c>
    </row>
    <row r="215" spans="1:11" x14ac:dyDescent="0.45">
      <c r="A215" t="s">
        <v>453</v>
      </c>
      <c r="B215" s="1">
        <v>44984</v>
      </c>
      <c r="C215" t="s">
        <v>57</v>
      </c>
      <c r="D215" t="s">
        <v>23</v>
      </c>
      <c r="E215" t="s">
        <v>24</v>
      </c>
      <c r="F215">
        <v>52</v>
      </c>
      <c r="G215">
        <v>47.88</v>
      </c>
      <c r="H215">
        <v>0</v>
      </c>
      <c r="I215">
        <v>40</v>
      </c>
      <c r="J215" t="s">
        <v>454</v>
      </c>
      <c r="K215">
        <f t="shared" si="4"/>
        <v>2489.7600000000002</v>
      </c>
    </row>
    <row r="216" spans="1:11" x14ac:dyDescent="0.45">
      <c r="A216" t="s">
        <v>455</v>
      </c>
      <c r="B216" s="1">
        <v>44916</v>
      </c>
      <c r="C216" t="s">
        <v>22</v>
      </c>
      <c r="D216" t="s">
        <v>42</v>
      </c>
      <c r="E216" t="s">
        <v>24</v>
      </c>
      <c r="F216">
        <v>12</v>
      </c>
      <c r="G216">
        <v>34.159999999999997</v>
      </c>
      <c r="H216">
        <v>20</v>
      </c>
      <c r="I216">
        <v>25</v>
      </c>
      <c r="J216" t="s">
        <v>456</v>
      </c>
      <c r="K216">
        <f t="shared" si="4"/>
        <v>409.91999999999996</v>
      </c>
    </row>
    <row r="217" spans="1:11" x14ac:dyDescent="0.45">
      <c r="A217" t="s">
        <v>457</v>
      </c>
      <c r="B217" s="1">
        <v>44674</v>
      </c>
      <c r="C217" t="s">
        <v>17</v>
      </c>
      <c r="D217" t="s">
        <v>42</v>
      </c>
      <c r="E217" t="s">
        <v>19</v>
      </c>
      <c r="F217">
        <v>39</v>
      </c>
      <c r="G217">
        <v>24.64</v>
      </c>
      <c r="H217">
        <v>20</v>
      </c>
      <c r="I217">
        <v>64</v>
      </c>
      <c r="J217" t="s">
        <v>458</v>
      </c>
      <c r="K217">
        <f t="shared" si="4"/>
        <v>960.96</v>
      </c>
    </row>
    <row r="218" spans="1:11" x14ac:dyDescent="0.45">
      <c r="A218" t="s">
        <v>459</v>
      </c>
      <c r="B218" s="1">
        <v>45044</v>
      </c>
      <c r="C218" t="s">
        <v>57</v>
      </c>
      <c r="D218" t="s">
        <v>42</v>
      </c>
      <c r="E218" t="s">
        <v>30</v>
      </c>
      <c r="F218">
        <v>2</v>
      </c>
      <c r="G218">
        <v>25.16</v>
      </c>
      <c r="H218">
        <v>15</v>
      </c>
      <c r="I218">
        <v>54</v>
      </c>
      <c r="J218" t="s">
        <v>460</v>
      </c>
      <c r="K218">
        <f t="shared" si="4"/>
        <v>50.32</v>
      </c>
    </row>
    <row r="219" spans="1:11" x14ac:dyDescent="0.45">
      <c r="A219" t="s">
        <v>461</v>
      </c>
      <c r="B219" s="1">
        <v>44707</v>
      </c>
      <c r="C219" t="s">
        <v>57</v>
      </c>
      <c r="D219" t="s">
        <v>18</v>
      </c>
      <c r="E219" t="s">
        <v>35</v>
      </c>
      <c r="F219">
        <v>3</v>
      </c>
      <c r="G219">
        <v>5.08</v>
      </c>
      <c r="H219">
        <v>10</v>
      </c>
      <c r="I219">
        <v>20</v>
      </c>
      <c r="J219" t="s">
        <v>462</v>
      </c>
      <c r="K219">
        <f t="shared" si="4"/>
        <v>15.24</v>
      </c>
    </row>
    <row r="220" spans="1:11" x14ac:dyDescent="0.45">
      <c r="A220" t="s">
        <v>463</v>
      </c>
      <c r="B220" s="1">
        <v>45139</v>
      </c>
      <c r="C220" t="s">
        <v>17</v>
      </c>
      <c r="D220" t="s">
        <v>18</v>
      </c>
      <c r="E220" t="s">
        <v>30</v>
      </c>
      <c r="F220">
        <v>56</v>
      </c>
      <c r="G220">
        <v>5.49</v>
      </c>
      <c r="H220">
        <v>0</v>
      </c>
      <c r="I220">
        <v>50</v>
      </c>
      <c r="J220" t="s">
        <v>464</v>
      </c>
      <c r="K220">
        <f t="shared" si="4"/>
        <v>307.44</v>
      </c>
    </row>
    <row r="221" spans="1:11" x14ac:dyDescent="0.45">
      <c r="A221" t="s">
        <v>465</v>
      </c>
      <c r="B221" s="1">
        <v>44816</v>
      </c>
      <c r="C221" t="s">
        <v>17</v>
      </c>
      <c r="D221" t="s">
        <v>42</v>
      </c>
      <c r="E221" t="s">
        <v>30</v>
      </c>
      <c r="F221">
        <v>81</v>
      </c>
      <c r="G221">
        <v>30.52</v>
      </c>
      <c r="H221">
        <v>10</v>
      </c>
      <c r="I221">
        <v>45</v>
      </c>
      <c r="J221" t="s">
        <v>466</v>
      </c>
      <c r="K221">
        <f t="shared" si="4"/>
        <v>2472.12</v>
      </c>
    </row>
    <row r="222" spans="1:11" x14ac:dyDescent="0.45">
      <c r="A222" t="s">
        <v>467</v>
      </c>
      <c r="B222" s="1">
        <v>44950</v>
      </c>
      <c r="C222" t="s">
        <v>17</v>
      </c>
      <c r="D222" t="s">
        <v>23</v>
      </c>
      <c r="E222" t="s">
        <v>35</v>
      </c>
      <c r="F222">
        <v>59</v>
      </c>
      <c r="G222">
        <v>28.13</v>
      </c>
      <c r="H222">
        <v>10</v>
      </c>
      <c r="I222">
        <v>64</v>
      </c>
      <c r="J222" t="s">
        <v>468</v>
      </c>
      <c r="K222">
        <f t="shared" si="4"/>
        <v>1659.6699999999998</v>
      </c>
    </row>
    <row r="223" spans="1:11" x14ac:dyDescent="0.45">
      <c r="A223" t="s">
        <v>469</v>
      </c>
      <c r="B223" s="1">
        <v>44878</v>
      </c>
      <c r="C223" t="s">
        <v>17</v>
      </c>
      <c r="D223" t="s">
        <v>42</v>
      </c>
      <c r="E223" t="s">
        <v>30</v>
      </c>
      <c r="F223">
        <v>2</v>
      </c>
      <c r="G223">
        <v>11.42</v>
      </c>
      <c r="H223">
        <v>20</v>
      </c>
      <c r="I223">
        <v>25</v>
      </c>
      <c r="J223" t="s">
        <v>470</v>
      </c>
      <c r="K223">
        <f t="shared" si="4"/>
        <v>22.84</v>
      </c>
    </row>
    <row r="224" spans="1:11" x14ac:dyDescent="0.45">
      <c r="A224" t="s">
        <v>471</v>
      </c>
      <c r="B224" s="1">
        <v>44857</v>
      </c>
      <c r="C224" t="s">
        <v>57</v>
      </c>
      <c r="D224" t="s">
        <v>18</v>
      </c>
      <c r="E224" t="s">
        <v>19</v>
      </c>
      <c r="F224">
        <v>2</v>
      </c>
      <c r="G224">
        <v>47.36</v>
      </c>
      <c r="H224">
        <v>15</v>
      </c>
      <c r="I224">
        <v>51</v>
      </c>
      <c r="J224" t="s">
        <v>472</v>
      </c>
      <c r="K224">
        <f t="shared" si="4"/>
        <v>94.72</v>
      </c>
    </row>
    <row r="225" spans="1:11" x14ac:dyDescent="0.45">
      <c r="A225" t="s">
        <v>473</v>
      </c>
      <c r="B225" s="1">
        <v>44855</v>
      </c>
      <c r="C225" t="s">
        <v>22</v>
      </c>
      <c r="D225" t="s">
        <v>18</v>
      </c>
      <c r="E225" t="s">
        <v>19</v>
      </c>
      <c r="F225">
        <v>92</v>
      </c>
      <c r="G225">
        <v>39.28</v>
      </c>
      <c r="H225">
        <v>5</v>
      </c>
      <c r="I225">
        <v>52</v>
      </c>
      <c r="J225" t="s">
        <v>474</v>
      </c>
      <c r="K225">
        <f t="shared" si="4"/>
        <v>3613.76</v>
      </c>
    </row>
    <row r="226" spans="1:11" x14ac:dyDescent="0.45">
      <c r="A226" t="s">
        <v>475</v>
      </c>
      <c r="B226" s="1">
        <v>44943</v>
      </c>
      <c r="C226" t="s">
        <v>22</v>
      </c>
      <c r="D226" t="s">
        <v>18</v>
      </c>
      <c r="E226" t="s">
        <v>30</v>
      </c>
      <c r="F226">
        <v>54</v>
      </c>
      <c r="G226">
        <v>6.56</v>
      </c>
      <c r="H226">
        <v>15</v>
      </c>
      <c r="I226">
        <v>49</v>
      </c>
      <c r="J226" t="s">
        <v>476</v>
      </c>
      <c r="K226">
        <f t="shared" si="4"/>
        <v>354.23999999999995</v>
      </c>
    </row>
    <row r="227" spans="1:11" x14ac:dyDescent="0.45">
      <c r="A227" t="s">
        <v>477</v>
      </c>
      <c r="B227" s="1">
        <v>44770</v>
      </c>
      <c r="C227" t="s">
        <v>29</v>
      </c>
      <c r="D227" t="s">
        <v>18</v>
      </c>
      <c r="E227" t="s">
        <v>19</v>
      </c>
      <c r="F227">
        <v>87</v>
      </c>
      <c r="G227">
        <v>46.62</v>
      </c>
      <c r="H227">
        <v>15</v>
      </c>
      <c r="I227">
        <v>41</v>
      </c>
      <c r="J227" t="s">
        <v>478</v>
      </c>
      <c r="K227">
        <f t="shared" si="4"/>
        <v>4055.9399999999996</v>
      </c>
    </row>
    <row r="228" spans="1:11" x14ac:dyDescent="0.45">
      <c r="A228" t="s">
        <v>479</v>
      </c>
      <c r="B228" s="1">
        <v>44839</v>
      </c>
      <c r="C228" t="s">
        <v>29</v>
      </c>
      <c r="D228" t="s">
        <v>18</v>
      </c>
      <c r="E228" t="s">
        <v>35</v>
      </c>
      <c r="F228">
        <v>96</v>
      </c>
      <c r="G228">
        <v>48.74</v>
      </c>
      <c r="H228">
        <v>10</v>
      </c>
      <c r="I228">
        <v>31</v>
      </c>
      <c r="J228" t="s">
        <v>480</v>
      </c>
      <c r="K228">
        <f t="shared" si="4"/>
        <v>4679.04</v>
      </c>
    </row>
    <row r="229" spans="1:11" x14ac:dyDescent="0.45">
      <c r="A229" t="s">
        <v>481</v>
      </c>
      <c r="B229" s="1">
        <v>45022</v>
      </c>
      <c r="C229" t="s">
        <v>22</v>
      </c>
      <c r="D229" t="s">
        <v>23</v>
      </c>
      <c r="E229" t="s">
        <v>30</v>
      </c>
      <c r="F229">
        <v>97</v>
      </c>
      <c r="G229">
        <v>49.8</v>
      </c>
      <c r="H229">
        <v>15</v>
      </c>
      <c r="I229">
        <v>49</v>
      </c>
      <c r="J229" t="s">
        <v>482</v>
      </c>
      <c r="K229">
        <f t="shared" si="4"/>
        <v>4830.5999999999995</v>
      </c>
    </row>
    <row r="230" spans="1:11" x14ac:dyDescent="0.45">
      <c r="A230" t="s">
        <v>483</v>
      </c>
      <c r="B230" s="1">
        <v>44848</v>
      </c>
      <c r="C230" t="s">
        <v>17</v>
      </c>
      <c r="D230" t="s">
        <v>23</v>
      </c>
      <c r="E230" t="s">
        <v>30</v>
      </c>
      <c r="F230">
        <v>1</v>
      </c>
      <c r="G230">
        <v>3.74</v>
      </c>
      <c r="H230">
        <v>0</v>
      </c>
      <c r="I230">
        <v>63</v>
      </c>
      <c r="J230" t="s">
        <v>484</v>
      </c>
      <c r="K230">
        <f t="shared" si="4"/>
        <v>3.74</v>
      </c>
    </row>
    <row r="231" spans="1:11" x14ac:dyDescent="0.45">
      <c r="A231" t="s">
        <v>485</v>
      </c>
      <c r="B231" s="1">
        <v>44933</v>
      </c>
      <c r="C231" t="s">
        <v>17</v>
      </c>
      <c r="D231" t="s">
        <v>18</v>
      </c>
      <c r="E231" t="s">
        <v>19</v>
      </c>
      <c r="F231">
        <v>19</v>
      </c>
      <c r="G231">
        <v>37.11</v>
      </c>
      <c r="H231">
        <v>10</v>
      </c>
      <c r="I231">
        <v>60</v>
      </c>
      <c r="J231" t="s">
        <v>486</v>
      </c>
      <c r="K231">
        <f t="shared" si="4"/>
        <v>705.09</v>
      </c>
    </row>
    <row r="232" spans="1:11" x14ac:dyDescent="0.45">
      <c r="A232" t="s">
        <v>487</v>
      </c>
      <c r="B232" s="1">
        <v>44645</v>
      </c>
      <c r="C232" t="s">
        <v>29</v>
      </c>
      <c r="D232" t="s">
        <v>18</v>
      </c>
      <c r="E232" t="s">
        <v>30</v>
      </c>
      <c r="F232">
        <v>2</v>
      </c>
      <c r="G232">
        <v>27.75</v>
      </c>
      <c r="H232">
        <v>0</v>
      </c>
      <c r="I232">
        <v>33</v>
      </c>
      <c r="J232" t="s">
        <v>488</v>
      </c>
      <c r="K232">
        <f t="shared" si="4"/>
        <v>55.5</v>
      </c>
    </row>
    <row r="233" spans="1:11" x14ac:dyDescent="0.45">
      <c r="A233" t="s">
        <v>489</v>
      </c>
      <c r="B233" s="1">
        <v>45059</v>
      </c>
      <c r="C233" t="s">
        <v>22</v>
      </c>
      <c r="D233" t="s">
        <v>23</v>
      </c>
      <c r="E233" t="s">
        <v>19</v>
      </c>
      <c r="F233">
        <v>53</v>
      </c>
      <c r="G233">
        <v>35.590000000000003</v>
      </c>
      <c r="H233">
        <v>5</v>
      </c>
      <c r="I233">
        <v>21</v>
      </c>
      <c r="J233" t="s">
        <v>490</v>
      </c>
      <c r="K233">
        <f t="shared" si="4"/>
        <v>1886.2700000000002</v>
      </c>
    </row>
    <row r="234" spans="1:11" x14ac:dyDescent="0.45">
      <c r="A234" t="s">
        <v>491</v>
      </c>
      <c r="B234" s="1">
        <v>45104</v>
      </c>
      <c r="C234" t="s">
        <v>57</v>
      </c>
      <c r="D234" t="s">
        <v>18</v>
      </c>
      <c r="E234" t="s">
        <v>30</v>
      </c>
      <c r="F234">
        <v>44</v>
      </c>
      <c r="G234">
        <v>48.46</v>
      </c>
      <c r="H234">
        <v>10</v>
      </c>
      <c r="I234">
        <v>54</v>
      </c>
      <c r="J234" t="s">
        <v>492</v>
      </c>
      <c r="K234">
        <f t="shared" si="4"/>
        <v>2132.2400000000002</v>
      </c>
    </row>
    <row r="235" spans="1:11" x14ac:dyDescent="0.45">
      <c r="A235" t="s">
        <v>493</v>
      </c>
      <c r="B235" s="1">
        <v>45085</v>
      </c>
      <c r="C235" t="s">
        <v>29</v>
      </c>
      <c r="D235" t="s">
        <v>18</v>
      </c>
      <c r="E235" t="s">
        <v>24</v>
      </c>
      <c r="F235">
        <v>90</v>
      </c>
      <c r="G235">
        <v>34.71</v>
      </c>
      <c r="H235">
        <v>5</v>
      </c>
      <c r="I235">
        <v>38</v>
      </c>
      <c r="J235" t="s">
        <v>494</v>
      </c>
      <c r="K235">
        <f t="shared" si="4"/>
        <v>3123.9</v>
      </c>
    </row>
    <row r="236" spans="1:11" x14ac:dyDescent="0.45">
      <c r="A236" t="s">
        <v>495</v>
      </c>
      <c r="B236" s="1">
        <v>45129</v>
      </c>
      <c r="C236" t="s">
        <v>29</v>
      </c>
      <c r="D236" t="s">
        <v>42</v>
      </c>
      <c r="E236" t="s">
        <v>35</v>
      </c>
      <c r="F236">
        <v>32</v>
      </c>
      <c r="G236">
        <v>42.01</v>
      </c>
      <c r="H236">
        <v>10</v>
      </c>
      <c r="I236">
        <v>31</v>
      </c>
      <c r="J236" t="s">
        <v>496</v>
      </c>
      <c r="K236">
        <f t="shared" si="4"/>
        <v>1344.32</v>
      </c>
    </row>
    <row r="237" spans="1:11" x14ac:dyDescent="0.45">
      <c r="A237" t="s">
        <v>497</v>
      </c>
      <c r="B237" s="1">
        <v>45196</v>
      </c>
      <c r="C237" t="s">
        <v>17</v>
      </c>
      <c r="D237" t="s">
        <v>42</v>
      </c>
      <c r="E237" t="s">
        <v>19</v>
      </c>
      <c r="F237">
        <v>70</v>
      </c>
      <c r="G237">
        <v>43.48</v>
      </c>
      <c r="H237">
        <v>20</v>
      </c>
      <c r="I237">
        <v>48</v>
      </c>
      <c r="J237" t="s">
        <v>498</v>
      </c>
      <c r="K237">
        <f t="shared" si="4"/>
        <v>3043.6</v>
      </c>
    </row>
    <row r="238" spans="1:11" x14ac:dyDescent="0.45">
      <c r="A238" t="s">
        <v>499</v>
      </c>
      <c r="B238" s="1">
        <v>45081</v>
      </c>
      <c r="C238" t="s">
        <v>29</v>
      </c>
      <c r="D238" t="s">
        <v>18</v>
      </c>
      <c r="E238" t="s">
        <v>35</v>
      </c>
      <c r="F238">
        <v>32</v>
      </c>
      <c r="G238">
        <v>42.09</v>
      </c>
      <c r="H238">
        <v>15</v>
      </c>
      <c r="I238">
        <v>35</v>
      </c>
      <c r="J238" t="s">
        <v>500</v>
      </c>
      <c r="K238">
        <f t="shared" si="4"/>
        <v>1346.88</v>
      </c>
    </row>
    <row r="239" spans="1:11" x14ac:dyDescent="0.45">
      <c r="A239" t="s">
        <v>501</v>
      </c>
      <c r="B239" s="1">
        <v>44899</v>
      </c>
      <c r="C239" t="s">
        <v>57</v>
      </c>
      <c r="D239" t="s">
        <v>23</v>
      </c>
      <c r="E239" t="s">
        <v>19</v>
      </c>
      <c r="F239">
        <v>68</v>
      </c>
      <c r="G239">
        <v>21.88</v>
      </c>
      <c r="H239">
        <v>20</v>
      </c>
      <c r="I239">
        <v>24</v>
      </c>
      <c r="J239" t="s">
        <v>502</v>
      </c>
      <c r="K239">
        <f t="shared" si="4"/>
        <v>1487.84</v>
      </c>
    </row>
    <row r="240" spans="1:11" x14ac:dyDescent="0.45">
      <c r="A240" t="s">
        <v>503</v>
      </c>
      <c r="B240" s="1">
        <v>44663</v>
      </c>
      <c r="C240" t="s">
        <v>22</v>
      </c>
      <c r="D240" t="s">
        <v>42</v>
      </c>
      <c r="E240" t="s">
        <v>19</v>
      </c>
      <c r="F240">
        <v>55</v>
      </c>
      <c r="G240">
        <v>11.91</v>
      </c>
      <c r="H240">
        <v>5</v>
      </c>
      <c r="I240">
        <v>27</v>
      </c>
      <c r="J240" t="s">
        <v>504</v>
      </c>
      <c r="K240">
        <f t="shared" si="4"/>
        <v>655.04999999999995</v>
      </c>
    </row>
    <row r="241" spans="1:11" x14ac:dyDescent="0.45">
      <c r="A241" t="s">
        <v>505</v>
      </c>
      <c r="B241" s="1">
        <v>44715</v>
      </c>
      <c r="C241" t="s">
        <v>17</v>
      </c>
      <c r="D241" t="s">
        <v>23</v>
      </c>
      <c r="E241" t="s">
        <v>30</v>
      </c>
      <c r="F241">
        <v>75</v>
      </c>
      <c r="G241">
        <v>20.440000000000001</v>
      </c>
      <c r="H241">
        <v>15</v>
      </c>
      <c r="I241">
        <v>24</v>
      </c>
      <c r="J241" t="s">
        <v>506</v>
      </c>
      <c r="K241">
        <f t="shared" si="4"/>
        <v>1533</v>
      </c>
    </row>
    <row r="242" spans="1:11" x14ac:dyDescent="0.45">
      <c r="A242" t="s">
        <v>507</v>
      </c>
      <c r="B242" s="1">
        <v>45001</v>
      </c>
      <c r="C242" t="s">
        <v>57</v>
      </c>
      <c r="D242" t="s">
        <v>18</v>
      </c>
      <c r="E242" t="s">
        <v>24</v>
      </c>
      <c r="F242">
        <v>56</v>
      </c>
      <c r="G242">
        <v>44.7</v>
      </c>
      <c r="H242">
        <v>10</v>
      </c>
      <c r="I242">
        <v>50</v>
      </c>
      <c r="J242" t="s">
        <v>508</v>
      </c>
      <c r="K242">
        <f t="shared" si="4"/>
        <v>2503.2000000000003</v>
      </c>
    </row>
    <row r="243" spans="1:11" x14ac:dyDescent="0.45">
      <c r="A243" t="s">
        <v>509</v>
      </c>
      <c r="B243" s="1">
        <v>45252</v>
      </c>
      <c r="C243" t="s">
        <v>57</v>
      </c>
      <c r="D243" t="s">
        <v>23</v>
      </c>
      <c r="E243" t="s">
        <v>19</v>
      </c>
      <c r="F243">
        <v>17</v>
      </c>
      <c r="G243">
        <v>8.18</v>
      </c>
      <c r="H243">
        <v>15</v>
      </c>
      <c r="I243">
        <v>40</v>
      </c>
      <c r="J243" t="s">
        <v>510</v>
      </c>
      <c r="K243">
        <f t="shared" si="4"/>
        <v>139.06</v>
      </c>
    </row>
    <row r="244" spans="1:11" x14ac:dyDescent="0.45">
      <c r="A244" t="s">
        <v>511</v>
      </c>
      <c r="B244" s="1">
        <v>45056</v>
      </c>
      <c r="C244" t="s">
        <v>57</v>
      </c>
      <c r="D244" t="s">
        <v>42</v>
      </c>
      <c r="E244" t="s">
        <v>24</v>
      </c>
      <c r="F244">
        <v>38</v>
      </c>
      <c r="G244">
        <v>26.15</v>
      </c>
      <c r="H244">
        <v>0</v>
      </c>
      <c r="I244">
        <v>38</v>
      </c>
      <c r="J244" t="s">
        <v>512</v>
      </c>
      <c r="K244">
        <f t="shared" si="4"/>
        <v>993.69999999999993</v>
      </c>
    </row>
    <row r="245" spans="1:11" x14ac:dyDescent="0.45">
      <c r="A245" t="s">
        <v>513</v>
      </c>
      <c r="B245" s="1">
        <v>45282</v>
      </c>
      <c r="C245" t="s">
        <v>29</v>
      </c>
      <c r="D245" t="s">
        <v>42</v>
      </c>
      <c r="E245" t="s">
        <v>35</v>
      </c>
      <c r="F245">
        <v>24</v>
      </c>
      <c r="G245">
        <v>12.43</v>
      </c>
      <c r="H245">
        <v>15</v>
      </c>
      <c r="I245">
        <v>36</v>
      </c>
      <c r="J245" t="s">
        <v>514</v>
      </c>
      <c r="K245">
        <f t="shared" si="4"/>
        <v>298.32</v>
      </c>
    </row>
    <row r="246" spans="1:11" x14ac:dyDescent="0.45">
      <c r="A246" t="s">
        <v>515</v>
      </c>
      <c r="B246" s="1">
        <v>45258</v>
      </c>
      <c r="C246" t="s">
        <v>17</v>
      </c>
      <c r="D246" t="s">
        <v>42</v>
      </c>
      <c r="E246" t="s">
        <v>19</v>
      </c>
      <c r="F246">
        <v>69</v>
      </c>
      <c r="G246">
        <v>29.48</v>
      </c>
      <c r="H246">
        <v>0</v>
      </c>
      <c r="I246">
        <v>36</v>
      </c>
      <c r="J246" t="s">
        <v>516</v>
      </c>
      <c r="K246">
        <f t="shared" si="4"/>
        <v>2034.1200000000001</v>
      </c>
    </row>
    <row r="247" spans="1:11" x14ac:dyDescent="0.45">
      <c r="A247" t="s">
        <v>517</v>
      </c>
      <c r="B247" s="1">
        <v>45223</v>
      </c>
      <c r="C247" t="s">
        <v>17</v>
      </c>
      <c r="D247" t="s">
        <v>18</v>
      </c>
      <c r="E247" t="s">
        <v>35</v>
      </c>
      <c r="F247">
        <v>98</v>
      </c>
      <c r="G247">
        <v>43.29</v>
      </c>
      <c r="H247">
        <v>15</v>
      </c>
      <c r="I247">
        <v>53</v>
      </c>
      <c r="J247" t="s">
        <v>518</v>
      </c>
      <c r="K247">
        <f t="shared" si="4"/>
        <v>4242.42</v>
      </c>
    </row>
    <row r="248" spans="1:11" x14ac:dyDescent="0.45">
      <c r="A248" t="s">
        <v>519</v>
      </c>
      <c r="B248" s="1">
        <v>44988</v>
      </c>
      <c r="C248" t="s">
        <v>57</v>
      </c>
      <c r="D248" t="s">
        <v>18</v>
      </c>
      <c r="E248" t="s">
        <v>30</v>
      </c>
      <c r="F248">
        <v>70</v>
      </c>
      <c r="G248">
        <v>44.14</v>
      </c>
      <c r="H248">
        <v>0</v>
      </c>
      <c r="I248">
        <v>46</v>
      </c>
      <c r="J248" t="s">
        <v>520</v>
      </c>
      <c r="K248">
        <f t="shared" si="4"/>
        <v>3089.8</v>
      </c>
    </row>
    <row r="249" spans="1:11" x14ac:dyDescent="0.45">
      <c r="A249" t="s">
        <v>521</v>
      </c>
      <c r="B249" s="1">
        <v>44809</v>
      </c>
      <c r="C249" t="s">
        <v>29</v>
      </c>
      <c r="D249" t="s">
        <v>18</v>
      </c>
      <c r="E249" t="s">
        <v>35</v>
      </c>
      <c r="F249">
        <v>86</v>
      </c>
      <c r="G249">
        <v>12.6</v>
      </c>
      <c r="H249">
        <v>5</v>
      </c>
      <c r="I249">
        <v>35</v>
      </c>
      <c r="J249" t="s">
        <v>522</v>
      </c>
      <c r="K249">
        <f t="shared" si="4"/>
        <v>1083.5999999999999</v>
      </c>
    </row>
    <row r="250" spans="1:11" x14ac:dyDescent="0.45">
      <c r="A250" t="s">
        <v>523</v>
      </c>
      <c r="B250" s="1">
        <v>44834</v>
      </c>
      <c r="C250" t="s">
        <v>57</v>
      </c>
      <c r="D250" t="s">
        <v>23</v>
      </c>
      <c r="E250" t="s">
        <v>19</v>
      </c>
      <c r="F250">
        <v>11</v>
      </c>
      <c r="G250">
        <v>45.48</v>
      </c>
      <c r="H250">
        <v>20</v>
      </c>
      <c r="I250">
        <v>19</v>
      </c>
      <c r="J250" t="s">
        <v>524</v>
      </c>
      <c r="K250">
        <f t="shared" si="4"/>
        <v>500.28</v>
      </c>
    </row>
    <row r="251" spans="1:11" x14ac:dyDescent="0.45">
      <c r="A251" t="s">
        <v>525</v>
      </c>
      <c r="B251" s="1">
        <v>45238</v>
      </c>
      <c r="C251" t="s">
        <v>22</v>
      </c>
      <c r="D251" t="s">
        <v>18</v>
      </c>
      <c r="E251" t="s">
        <v>24</v>
      </c>
      <c r="F251">
        <v>16</v>
      </c>
      <c r="G251">
        <v>30</v>
      </c>
      <c r="H251">
        <v>10</v>
      </c>
      <c r="I251">
        <v>18</v>
      </c>
      <c r="J251" t="s">
        <v>526</v>
      </c>
      <c r="K251">
        <f t="shared" si="4"/>
        <v>480</v>
      </c>
    </row>
    <row r="252" spans="1:11" x14ac:dyDescent="0.45">
      <c r="A252" t="s">
        <v>527</v>
      </c>
      <c r="B252" s="1">
        <v>45276</v>
      </c>
      <c r="C252" t="s">
        <v>29</v>
      </c>
      <c r="D252" t="s">
        <v>42</v>
      </c>
      <c r="E252" t="s">
        <v>24</v>
      </c>
      <c r="F252">
        <v>97</v>
      </c>
      <c r="G252">
        <v>18.16</v>
      </c>
      <c r="H252">
        <v>15</v>
      </c>
      <c r="I252">
        <v>64</v>
      </c>
      <c r="J252" t="s">
        <v>528</v>
      </c>
      <c r="K252">
        <f t="shared" si="4"/>
        <v>1761.52</v>
      </c>
    </row>
    <row r="253" spans="1:11" x14ac:dyDescent="0.45">
      <c r="A253" t="s">
        <v>529</v>
      </c>
      <c r="B253" s="1">
        <v>45162</v>
      </c>
      <c r="C253" t="s">
        <v>22</v>
      </c>
      <c r="D253" t="s">
        <v>42</v>
      </c>
      <c r="E253" t="s">
        <v>35</v>
      </c>
      <c r="F253">
        <v>73</v>
      </c>
      <c r="G253">
        <v>35.700000000000003</v>
      </c>
      <c r="H253">
        <v>20</v>
      </c>
      <c r="I253">
        <v>22</v>
      </c>
      <c r="J253" t="s">
        <v>530</v>
      </c>
      <c r="K253">
        <f t="shared" si="4"/>
        <v>2606.1000000000004</v>
      </c>
    </row>
    <row r="254" spans="1:11" x14ac:dyDescent="0.45">
      <c r="A254" t="s">
        <v>531</v>
      </c>
      <c r="B254" s="1">
        <v>44783</v>
      </c>
      <c r="C254" t="s">
        <v>22</v>
      </c>
      <c r="D254" t="s">
        <v>23</v>
      </c>
      <c r="E254" t="s">
        <v>30</v>
      </c>
      <c r="F254">
        <v>59</v>
      </c>
      <c r="G254">
        <v>24.6</v>
      </c>
      <c r="H254">
        <v>10</v>
      </c>
      <c r="I254">
        <v>37</v>
      </c>
      <c r="J254" t="s">
        <v>532</v>
      </c>
      <c r="K254">
        <f t="shared" si="4"/>
        <v>1451.4</v>
      </c>
    </row>
    <row r="255" spans="1:11" x14ac:dyDescent="0.45">
      <c r="A255" t="s">
        <v>533</v>
      </c>
      <c r="B255" s="1">
        <v>44958</v>
      </c>
      <c r="C255" t="s">
        <v>22</v>
      </c>
      <c r="D255" t="s">
        <v>23</v>
      </c>
      <c r="E255" t="s">
        <v>24</v>
      </c>
      <c r="F255">
        <v>70</v>
      </c>
      <c r="G255">
        <v>19.52</v>
      </c>
      <c r="H255">
        <v>10</v>
      </c>
      <c r="I255">
        <v>28</v>
      </c>
      <c r="J255" t="s">
        <v>534</v>
      </c>
      <c r="K255">
        <f t="shared" si="4"/>
        <v>1366.3999999999999</v>
      </c>
    </row>
    <row r="256" spans="1:11" x14ac:dyDescent="0.45">
      <c r="A256" t="s">
        <v>535</v>
      </c>
      <c r="B256" s="1">
        <v>44629</v>
      </c>
      <c r="C256" t="s">
        <v>22</v>
      </c>
      <c r="D256" t="s">
        <v>18</v>
      </c>
      <c r="E256" t="s">
        <v>35</v>
      </c>
      <c r="F256">
        <v>80</v>
      </c>
      <c r="G256">
        <v>35.549999999999997</v>
      </c>
      <c r="H256">
        <v>0</v>
      </c>
      <c r="I256">
        <v>59</v>
      </c>
      <c r="J256" t="s">
        <v>536</v>
      </c>
      <c r="K256">
        <f t="shared" si="4"/>
        <v>2844</v>
      </c>
    </row>
    <row r="257" spans="1:11" x14ac:dyDescent="0.45">
      <c r="A257" t="s">
        <v>537</v>
      </c>
      <c r="B257" s="1">
        <v>45040</v>
      </c>
      <c r="C257" t="s">
        <v>17</v>
      </c>
      <c r="D257" t="s">
        <v>23</v>
      </c>
      <c r="E257" t="s">
        <v>35</v>
      </c>
      <c r="F257">
        <v>93</v>
      </c>
      <c r="G257">
        <v>13.19</v>
      </c>
      <c r="H257">
        <v>5</v>
      </c>
      <c r="I257">
        <v>19</v>
      </c>
      <c r="J257" t="s">
        <v>538</v>
      </c>
      <c r="K257">
        <f t="shared" si="4"/>
        <v>1226.6699999999998</v>
      </c>
    </row>
    <row r="258" spans="1:11" x14ac:dyDescent="0.45">
      <c r="A258" t="s">
        <v>539</v>
      </c>
      <c r="B258" s="1">
        <v>44872</v>
      </c>
      <c r="C258" t="s">
        <v>22</v>
      </c>
      <c r="D258" t="s">
        <v>23</v>
      </c>
      <c r="E258" t="s">
        <v>30</v>
      </c>
      <c r="F258">
        <v>3</v>
      </c>
      <c r="G258">
        <v>17.18</v>
      </c>
      <c r="H258">
        <v>5</v>
      </c>
      <c r="I258">
        <v>20</v>
      </c>
      <c r="J258" t="s">
        <v>540</v>
      </c>
      <c r="K258">
        <f t="shared" si="4"/>
        <v>51.54</v>
      </c>
    </row>
    <row r="259" spans="1:11" x14ac:dyDescent="0.45">
      <c r="A259" t="s">
        <v>541</v>
      </c>
      <c r="B259" s="1">
        <v>44618</v>
      </c>
      <c r="C259" t="s">
        <v>57</v>
      </c>
      <c r="D259" t="s">
        <v>23</v>
      </c>
      <c r="E259" t="s">
        <v>35</v>
      </c>
      <c r="F259">
        <v>20</v>
      </c>
      <c r="G259">
        <v>22.29</v>
      </c>
      <c r="H259">
        <v>20</v>
      </c>
      <c r="I259">
        <v>40</v>
      </c>
      <c r="J259" t="s">
        <v>542</v>
      </c>
      <c r="K259">
        <f t="shared" ref="K259:K301" si="5">G259*F259</f>
        <v>445.79999999999995</v>
      </c>
    </row>
    <row r="260" spans="1:11" x14ac:dyDescent="0.45">
      <c r="A260" t="s">
        <v>543</v>
      </c>
      <c r="B260" s="1">
        <v>45250</v>
      </c>
      <c r="C260" t="s">
        <v>17</v>
      </c>
      <c r="D260" t="s">
        <v>18</v>
      </c>
      <c r="E260" t="s">
        <v>24</v>
      </c>
      <c r="F260">
        <v>59</v>
      </c>
      <c r="G260">
        <v>13.43</v>
      </c>
      <c r="H260">
        <v>5</v>
      </c>
      <c r="I260">
        <v>29</v>
      </c>
      <c r="J260" t="s">
        <v>544</v>
      </c>
      <c r="K260">
        <f t="shared" si="5"/>
        <v>792.37</v>
      </c>
    </row>
    <row r="261" spans="1:11" x14ac:dyDescent="0.45">
      <c r="A261" t="s">
        <v>545</v>
      </c>
      <c r="B261" s="1">
        <v>45213</v>
      </c>
      <c r="C261" t="s">
        <v>22</v>
      </c>
      <c r="D261" t="s">
        <v>18</v>
      </c>
      <c r="E261" t="s">
        <v>30</v>
      </c>
      <c r="F261">
        <v>36</v>
      </c>
      <c r="G261">
        <v>20.85</v>
      </c>
      <c r="H261">
        <v>15</v>
      </c>
      <c r="I261">
        <v>37</v>
      </c>
      <c r="J261" t="s">
        <v>546</v>
      </c>
      <c r="K261">
        <f t="shared" si="5"/>
        <v>750.6</v>
      </c>
    </row>
    <row r="262" spans="1:11" x14ac:dyDescent="0.45">
      <c r="A262" t="s">
        <v>547</v>
      </c>
      <c r="B262" s="1">
        <v>45253</v>
      </c>
      <c r="C262" t="s">
        <v>57</v>
      </c>
      <c r="D262" t="s">
        <v>42</v>
      </c>
      <c r="E262" t="s">
        <v>24</v>
      </c>
      <c r="F262">
        <v>19</v>
      </c>
      <c r="G262">
        <v>29</v>
      </c>
      <c r="H262">
        <v>5</v>
      </c>
      <c r="I262">
        <v>22</v>
      </c>
      <c r="J262" t="s">
        <v>548</v>
      </c>
      <c r="K262">
        <f t="shared" si="5"/>
        <v>551</v>
      </c>
    </row>
    <row r="263" spans="1:11" x14ac:dyDescent="0.45">
      <c r="A263" t="s">
        <v>549</v>
      </c>
      <c r="B263" s="1">
        <v>44670</v>
      </c>
      <c r="C263" t="s">
        <v>22</v>
      </c>
      <c r="D263" t="s">
        <v>42</v>
      </c>
      <c r="E263" t="s">
        <v>24</v>
      </c>
      <c r="F263">
        <v>90</v>
      </c>
      <c r="G263">
        <v>37.31</v>
      </c>
      <c r="H263">
        <v>20</v>
      </c>
      <c r="I263">
        <v>54</v>
      </c>
      <c r="J263" t="s">
        <v>550</v>
      </c>
      <c r="K263">
        <f t="shared" si="5"/>
        <v>3357.9</v>
      </c>
    </row>
    <row r="264" spans="1:11" x14ac:dyDescent="0.45">
      <c r="A264" t="s">
        <v>551</v>
      </c>
      <c r="B264" s="1">
        <v>44655</v>
      </c>
      <c r="C264" t="s">
        <v>57</v>
      </c>
      <c r="D264" t="s">
        <v>42</v>
      </c>
      <c r="E264" t="s">
        <v>19</v>
      </c>
      <c r="F264">
        <v>67</v>
      </c>
      <c r="G264">
        <v>38.590000000000003</v>
      </c>
      <c r="H264">
        <v>5</v>
      </c>
      <c r="I264">
        <v>55</v>
      </c>
      <c r="J264" t="s">
        <v>552</v>
      </c>
      <c r="K264">
        <f t="shared" si="5"/>
        <v>2585.5300000000002</v>
      </c>
    </row>
    <row r="265" spans="1:11" x14ac:dyDescent="0.45">
      <c r="A265" t="s">
        <v>553</v>
      </c>
      <c r="B265" s="1">
        <v>44995</v>
      </c>
      <c r="C265" t="s">
        <v>29</v>
      </c>
      <c r="D265" t="s">
        <v>18</v>
      </c>
      <c r="E265" t="s">
        <v>35</v>
      </c>
      <c r="F265">
        <v>19</v>
      </c>
      <c r="G265">
        <v>41.32</v>
      </c>
      <c r="H265">
        <v>15</v>
      </c>
      <c r="I265">
        <v>47</v>
      </c>
      <c r="J265" t="s">
        <v>554</v>
      </c>
      <c r="K265">
        <f t="shared" si="5"/>
        <v>785.08</v>
      </c>
    </row>
    <row r="266" spans="1:11" x14ac:dyDescent="0.45">
      <c r="A266" t="s">
        <v>555</v>
      </c>
      <c r="B266" s="1">
        <v>44929</v>
      </c>
      <c r="C266" t="s">
        <v>22</v>
      </c>
      <c r="D266" t="s">
        <v>42</v>
      </c>
      <c r="E266" t="s">
        <v>35</v>
      </c>
      <c r="F266">
        <v>20</v>
      </c>
      <c r="G266">
        <v>37.47</v>
      </c>
      <c r="H266">
        <v>0</v>
      </c>
      <c r="I266">
        <v>26</v>
      </c>
      <c r="J266" t="s">
        <v>556</v>
      </c>
      <c r="K266">
        <f t="shared" si="5"/>
        <v>749.4</v>
      </c>
    </row>
    <row r="267" spans="1:11" x14ac:dyDescent="0.45">
      <c r="A267" t="s">
        <v>557</v>
      </c>
      <c r="B267" s="1">
        <v>44762</v>
      </c>
      <c r="C267" t="s">
        <v>57</v>
      </c>
      <c r="D267" t="s">
        <v>23</v>
      </c>
      <c r="E267" t="s">
        <v>19</v>
      </c>
      <c r="F267">
        <v>96</v>
      </c>
      <c r="G267">
        <v>34.369999999999997</v>
      </c>
      <c r="H267">
        <v>20</v>
      </c>
      <c r="I267">
        <v>51</v>
      </c>
      <c r="J267" t="s">
        <v>558</v>
      </c>
      <c r="K267">
        <f t="shared" si="5"/>
        <v>3299.5199999999995</v>
      </c>
    </row>
    <row r="268" spans="1:11" x14ac:dyDescent="0.45">
      <c r="A268" t="s">
        <v>559</v>
      </c>
      <c r="B268" s="1">
        <v>45219</v>
      </c>
      <c r="C268" t="s">
        <v>17</v>
      </c>
      <c r="D268" t="s">
        <v>23</v>
      </c>
      <c r="E268" t="s">
        <v>19</v>
      </c>
      <c r="F268">
        <v>71</v>
      </c>
      <c r="G268">
        <v>12.64</v>
      </c>
      <c r="H268">
        <v>0</v>
      </c>
      <c r="I268">
        <v>61</v>
      </c>
      <c r="J268" t="s">
        <v>560</v>
      </c>
      <c r="K268">
        <f t="shared" si="5"/>
        <v>897.44</v>
      </c>
    </row>
    <row r="269" spans="1:11" x14ac:dyDescent="0.45">
      <c r="A269" t="s">
        <v>561</v>
      </c>
      <c r="B269" s="1">
        <v>45142</v>
      </c>
      <c r="C269" t="s">
        <v>57</v>
      </c>
      <c r="D269" t="s">
        <v>23</v>
      </c>
      <c r="E269" t="s">
        <v>35</v>
      </c>
      <c r="F269">
        <v>52</v>
      </c>
      <c r="G269">
        <v>20.61</v>
      </c>
      <c r="H269">
        <v>0</v>
      </c>
      <c r="I269">
        <v>52</v>
      </c>
      <c r="J269" t="s">
        <v>562</v>
      </c>
      <c r="K269">
        <f t="shared" si="5"/>
        <v>1071.72</v>
      </c>
    </row>
    <row r="270" spans="1:11" x14ac:dyDescent="0.45">
      <c r="A270" t="s">
        <v>563</v>
      </c>
      <c r="B270" s="1">
        <v>44563</v>
      </c>
      <c r="C270" t="s">
        <v>57</v>
      </c>
      <c r="D270" t="s">
        <v>18</v>
      </c>
      <c r="E270" t="s">
        <v>19</v>
      </c>
      <c r="F270">
        <v>33</v>
      </c>
      <c r="G270">
        <v>24.41</v>
      </c>
      <c r="H270">
        <v>0</v>
      </c>
      <c r="I270">
        <v>39</v>
      </c>
      <c r="J270" t="s">
        <v>564</v>
      </c>
      <c r="K270">
        <f t="shared" si="5"/>
        <v>805.53</v>
      </c>
    </row>
    <row r="271" spans="1:11" x14ac:dyDescent="0.45">
      <c r="A271" t="s">
        <v>565</v>
      </c>
      <c r="B271" s="1">
        <v>44580</v>
      </c>
      <c r="C271" t="s">
        <v>57</v>
      </c>
      <c r="D271" t="s">
        <v>18</v>
      </c>
      <c r="E271" t="s">
        <v>19</v>
      </c>
      <c r="F271">
        <v>40</v>
      </c>
      <c r="G271">
        <v>5.0599999999999996</v>
      </c>
      <c r="H271">
        <v>10</v>
      </c>
      <c r="I271">
        <v>61</v>
      </c>
      <c r="J271" t="s">
        <v>566</v>
      </c>
      <c r="K271">
        <f t="shared" si="5"/>
        <v>202.39999999999998</v>
      </c>
    </row>
    <row r="272" spans="1:11" x14ac:dyDescent="0.45">
      <c r="A272" t="s">
        <v>567</v>
      </c>
      <c r="B272" s="1">
        <v>44586</v>
      </c>
      <c r="C272" t="s">
        <v>22</v>
      </c>
      <c r="D272" t="s">
        <v>42</v>
      </c>
      <c r="E272" t="s">
        <v>19</v>
      </c>
      <c r="F272">
        <v>39</v>
      </c>
      <c r="G272">
        <v>26.89</v>
      </c>
      <c r="H272">
        <v>10</v>
      </c>
      <c r="I272">
        <v>41</v>
      </c>
      <c r="J272" t="s">
        <v>568</v>
      </c>
      <c r="K272">
        <f t="shared" si="5"/>
        <v>1048.71</v>
      </c>
    </row>
    <row r="273" spans="1:11" x14ac:dyDescent="0.45">
      <c r="A273" t="s">
        <v>569</v>
      </c>
      <c r="B273" s="1">
        <v>44565</v>
      </c>
      <c r="C273" t="s">
        <v>57</v>
      </c>
      <c r="D273" t="s">
        <v>23</v>
      </c>
      <c r="E273" t="s">
        <v>19</v>
      </c>
      <c r="F273">
        <v>82</v>
      </c>
      <c r="G273">
        <v>22.38</v>
      </c>
      <c r="H273">
        <v>0</v>
      </c>
      <c r="I273">
        <v>34</v>
      </c>
      <c r="J273" t="s">
        <v>570</v>
      </c>
      <c r="K273">
        <f t="shared" si="5"/>
        <v>1835.1599999999999</v>
      </c>
    </row>
    <row r="274" spans="1:11" x14ac:dyDescent="0.45">
      <c r="A274" t="s">
        <v>571</v>
      </c>
      <c r="B274" s="1">
        <v>44825</v>
      </c>
      <c r="C274" t="s">
        <v>29</v>
      </c>
      <c r="D274" t="s">
        <v>23</v>
      </c>
      <c r="E274" t="s">
        <v>19</v>
      </c>
      <c r="F274">
        <v>1</v>
      </c>
      <c r="G274">
        <v>40.299999999999997</v>
      </c>
      <c r="H274">
        <v>20</v>
      </c>
      <c r="I274">
        <v>27</v>
      </c>
      <c r="J274" t="s">
        <v>572</v>
      </c>
      <c r="K274">
        <f t="shared" si="5"/>
        <v>40.299999999999997</v>
      </c>
    </row>
    <row r="275" spans="1:11" x14ac:dyDescent="0.45">
      <c r="A275" t="s">
        <v>573</v>
      </c>
      <c r="B275" s="1">
        <v>44699</v>
      </c>
      <c r="C275" t="s">
        <v>17</v>
      </c>
      <c r="D275" t="s">
        <v>42</v>
      </c>
      <c r="E275" t="s">
        <v>30</v>
      </c>
      <c r="F275">
        <v>11</v>
      </c>
      <c r="G275">
        <v>48.92</v>
      </c>
      <c r="H275">
        <v>15</v>
      </c>
      <c r="I275">
        <v>47</v>
      </c>
      <c r="J275" t="s">
        <v>574</v>
      </c>
      <c r="K275">
        <f t="shared" si="5"/>
        <v>538.12</v>
      </c>
    </row>
    <row r="276" spans="1:11" x14ac:dyDescent="0.45">
      <c r="A276" t="s">
        <v>575</v>
      </c>
      <c r="B276" s="1">
        <v>44613</v>
      </c>
      <c r="C276" t="s">
        <v>17</v>
      </c>
      <c r="D276" t="s">
        <v>23</v>
      </c>
      <c r="E276" t="s">
        <v>30</v>
      </c>
      <c r="F276">
        <v>92</v>
      </c>
      <c r="G276">
        <v>28.24</v>
      </c>
      <c r="H276">
        <v>15</v>
      </c>
      <c r="I276">
        <v>63</v>
      </c>
      <c r="J276" t="s">
        <v>576</v>
      </c>
      <c r="K276">
        <f t="shared" si="5"/>
        <v>2598.08</v>
      </c>
    </row>
    <row r="277" spans="1:11" x14ac:dyDescent="0.45">
      <c r="A277" t="s">
        <v>577</v>
      </c>
      <c r="B277" s="1">
        <v>45280</v>
      </c>
      <c r="C277" t="s">
        <v>22</v>
      </c>
      <c r="D277" t="s">
        <v>23</v>
      </c>
      <c r="E277" t="s">
        <v>35</v>
      </c>
      <c r="F277">
        <v>57</v>
      </c>
      <c r="G277">
        <v>16.809999999999999</v>
      </c>
      <c r="H277">
        <v>5</v>
      </c>
      <c r="I277">
        <v>40</v>
      </c>
      <c r="J277" t="s">
        <v>578</v>
      </c>
      <c r="K277">
        <f t="shared" si="5"/>
        <v>958.17</v>
      </c>
    </row>
    <row r="278" spans="1:11" x14ac:dyDescent="0.45">
      <c r="A278" t="s">
        <v>579</v>
      </c>
      <c r="B278" s="1">
        <v>45186</v>
      </c>
      <c r="C278" t="s">
        <v>22</v>
      </c>
      <c r="D278" t="s">
        <v>23</v>
      </c>
      <c r="E278" t="s">
        <v>30</v>
      </c>
      <c r="F278">
        <v>89</v>
      </c>
      <c r="G278">
        <v>3.13</v>
      </c>
      <c r="H278">
        <v>20</v>
      </c>
      <c r="I278">
        <v>49</v>
      </c>
      <c r="J278" t="s">
        <v>580</v>
      </c>
      <c r="K278">
        <f t="shared" si="5"/>
        <v>278.57</v>
      </c>
    </row>
    <row r="279" spans="1:11" x14ac:dyDescent="0.45">
      <c r="A279" t="s">
        <v>581</v>
      </c>
      <c r="B279" s="1">
        <v>44908</v>
      </c>
      <c r="C279" t="s">
        <v>29</v>
      </c>
      <c r="D279" t="s">
        <v>42</v>
      </c>
      <c r="E279" t="s">
        <v>24</v>
      </c>
      <c r="F279">
        <v>50</v>
      </c>
      <c r="G279">
        <v>46.31</v>
      </c>
      <c r="H279">
        <v>10</v>
      </c>
      <c r="I279">
        <v>34</v>
      </c>
      <c r="J279" t="s">
        <v>582</v>
      </c>
      <c r="K279">
        <f t="shared" si="5"/>
        <v>2315.5</v>
      </c>
    </row>
    <row r="280" spans="1:11" x14ac:dyDescent="0.45">
      <c r="A280" t="s">
        <v>583</v>
      </c>
      <c r="B280" s="1">
        <v>45253</v>
      </c>
      <c r="C280" t="s">
        <v>57</v>
      </c>
      <c r="D280" t="s">
        <v>42</v>
      </c>
      <c r="E280" t="s">
        <v>24</v>
      </c>
      <c r="F280">
        <v>23</v>
      </c>
      <c r="G280">
        <v>46.04</v>
      </c>
      <c r="H280">
        <v>0</v>
      </c>
      <c r="I280">
        <v>34</v>
      </c>
      <c r="J280" t="s">
        <v>584</v>
      </c>
      <c r="K280">
        <f t="shared" si="5"/>
        <v>1058.92</v>
      </c>
    </row>
    <row r="281" spans="1:11" x14ac:dyDescent="0.45">
      <c r="A281" t="s">
        <v>585</v>
      </c>
      <c r="B281" s="1">
        <v>44871</v>
      </c>
      <c r="C281" t="s">
        <v>29</v>
      </c>
      <c r="D281" t="s">
        <v>23</v>
      </c>
      <c r="E281" t="s">
        <v>35</v>
      </c>
      <c r="F281">
        <v>31</v>
      </c>
      <c r="G281">
        <v>13.4</v>
      </c>
      <c r="H281">
        <v>5</v>
      </c>
      <c r="I281">
        <v>31</v>
      </c>
      <c r="J281" t="s">
        <v>586</v>
      </c>
      <c r="K281">
        <f t="shared" si="5"/>
        <v>415.40000000000003</v>
      </c>
    </row>
    <row r="282" spans="1:11" x14ac:dyDescent="0.45">
      <c r="A282" t="s">
        <v>587</v>
      </c>
      <c r="B282" s="1">
        <v>44920</v>
      </c>
      <c r="C282" t="s">
        <v>57</v>
      </c>
      <c r="D282" t="s">
        <v>18</v>
      </c>
      <c r="E282" t="s">
        <v>35</v>
      </c>
      <c r="F282">
        <v>94</v>
      </c>
      <c r="G282">
        <v>35.08</v>
      </c>
      <c r="H282">
        <v>15</v>
      </c>
      <c r="I282">
        <v>26</v>
      </c>
      <c r="J282" t="s">
        <v>588</v>
      </c>
      <c r="K282">
        <f t="shared" si="5"/>
        <v>3297.52</v>
      </c>
    </row>
    <row r="283" spans="1:11" x14ac:dyDescent="0.45">
      <c r="A283" t="s">
        <v>589</v>
      </c>
      <c r="B283" s="1">
        <v>45065</v>
      </c>
      <c r="C283" t="s">
        <v>29</v>
      </c>
      <c r="D283" t="s">
        <v>18</v>
      </c>
      <c r="E283" t="s">
        <v>24</v>
      </c>
      <c r="F283">
        <v>42</v>
      </c>
      <c r="G283">
        <v>4.7</v>
      </c>
      <c r="H283">
        <v>10</v>
      </c>
      <c r="I283">
        <v>57</v>
      </c>
      <c r="J283" t="s">
        <v>590</v>
      </c>
      <c r="K283">
        <f t="shared" si="5"/>
        <v>197.4</v>
      </c>
    </row>
    <row r="284" spans="1:11" x14ac:dyDescent="0.45">
      <c r="A284" t="s">
        <v>591</v>
      </c>
      <c r="B284" s="1">
        <v>44650</v>
      </c>
      <c r="C284" t="s">
        <v>57</v>
      </c>
      <c r="D284" t="s">
        <v>42</v>
      </c>
      <c r="E284" t="s">
        <v>19</v>
      </c>
      <c r="F284">
        <v>99</v>
      </c>
      <c r="G284">
        <v>9.14</v>
      </c>
      <c r="H284">
        <v>10</v>
      </c>
      <c r="I284">
        <v>19</v>
      </c>
      <c r="J284" t="s">
        <v>592</v>
      </c>
      <c r="K284">
        <f t="shared" si="5"/>
        <v>904.86</v>
      </c>
    </row>
    <row r="285" spans="1:11" x14ac:dyDescent="0.45">
      <c r="A285" t="s">
        <v>593</v>
      </c>
      <c r="B285" s="1">
        <v>44606</v>
      </c>
      <c r="C285" t="s">
        <v>29</v>
      </c>
      <c r="D285" t="s">
        <v>18</v>
      </c>
      <c r="E285" t="s">
        <v>19</v>
      </c>
      <c r="F285">
        <v>7</v>
      </c>
      <c r="G285">
        <v>11.62</v>
      </c>
      <c r="H285">
        <v>0</v>
      </c>
      <c r="I285">
        <v>62</v>
      </c>
      <c r="J285" t="s">
        <v>594</v>
      </c>
      <c r="K285">
        <f t="shared" si="5"/>
        <v>81.339999999999989</v>
      </c>
    </row>
    <row r="286" spans="1:11" x14ac:dyDescent="0.45">
      <c r="A286" t="s">
        <v>595</v>
      </c>
      <c r="B286" s="1">
        <v>44581</v>
      </c>
      <c r="C286" t="s">
        <v>22</v>
      </c>
      <c r="D286" t="s">
        <v>23</v>
      </c>
      <c r="E286" t="s">
        <v>35</v>
      </c>
      <c r="F286">
        <v>16</v>
      </c>
      <c r="G286">
        <v>15.43</v>
      </c>
      <c r="H286">
        <v>15</v>
      </c>
      <c r="I286">
        <v>42</v>
      </c>
      <c r="J286" t="s">
        <v>596</v>
      </c>
      <c r="K286">
        <f t="shared" si="5"/>
        <v>246.88</v>
      </c>
    </row>
    <row r="287" spans="1:11" x14ac:dyDescent="0.45">
      <c r="A287" t="s">
        <v>597</v>
      </c>
      <c r="B287" s="1">
        <v>44968</v>
      </c>
      <c r="C287" t="s">
        <v>22</v>
      </c>
      <c r="D287" t="s">
        <v>42</v>
      </c>
      <c r="E287" t="s">
        <v>19</v>
      </c>
      <c r="F287">
        <v>90</v>
      </c>
      <c r="G287">
        <v>49.8</v>
      </c>
      <c r="H287">
        <v>20</v>
      </c>
      <c r="I287">
        <v>56</v>
      </c>
      <c r="J287" t="s">
        <v>598</v>
      </c>
      <c r="K287">
        <f t="shared" si="5"/>
        <v>4482</v>
      </c>
    </row>
    <row r="288" spans="1:11" x14ac:dyDescent="0.45">
      <c r="A288" t="s">
        <v>599</v>
      </c>
      <c r="B288" s="1">
        <v>44820</v>
      </c>
      <c r="C288" t="s">
        <v>22</v>
      </c>
      <c r="D288" t="s">
        <v>23</v>
      </c>
      <c r="E288" t="s">
        <v>24</v>
      </c>
      <c r="F288">
        <v>60</v>
      </c>
      <c r="G288">
        <v>35.15</v>
      </c>
      <c r="H288">
        <v>10</v>
      </c>
      <c r="I288">
        <v>26</v>
      </c>
      <c r="J288" t="s">
        <v>600</v>
      </c>
      <c r="K288">
        <f t="shared" si="5"/>
        <v>2109</v>
      </c>
    </row>
    <row r="289" spans="1:11" x14ac:dyDescent="0.45">
      <c r="A289" t="s">
        <v>601</v>
      </c>
      <c r="B289" s="1">
        <v>44916</v>
      </c>
      <c r="C289" t="s">
        <v>57</v>
      </c>
      <c r="D289" t="s">
        <v>18</v>
      </c>
      <c r="E289" t="s">
        <v>35</v>
      </c>
      <c r="F289">
        <v>2</v>
      </c>
      <c r="G289">
        <v>19.829999999999998</v>
      </c>
      <c r="H289">
        <v>0</v>
      </c>
      <c r="I289">
        <v>39</v>
      </c>
      <c r="J289" t="s">
        <v>602</v>
      </c>
      <c r="K289">
        <f t="shared" si="5"/>
        <v>39.659999999999997</v>
      </c>
    </row>
    <row r="290" spans="1:11" x14ac:dyDescent="0.45">
      <c r="A290" t="s">
        <v>603</v>
      </c>
      <c r="B290" s="1">
        <v>44715</v>
      </c>
      <c r="C290" t="s">
        <v>22</v>
      </c>
      <c r="D290" t="s">
        <v>42</v>
      </c>
      <c r="E290" t="s">
        <v>19</v>
      </c>
      <c r="F290">
        <v>1</v>
      </c>
      <c r="G290">
        <v>37.119999999999997</v>
      </c>
      <c r="H290">
        <v>20</v>
      </c>
      <c r="I290">
        <v>60</v>
      </c>
      <c r="J290" t="s">
        <v>604</v>
      </c>
      <c r="K290">
        <f t="shared" si="5"/>
        <v>37.119999999999997</v>
      </c>
    </row>
    <row r="291" spans="1:11" x14ac:dyDescent="0.45">
      <c r="A291" t="s">
        <v>605</v>
      </c>
      <c r="B291" s="1">
        <v>44810</v>
      </c>
      <c r="C291" t="s">
        <v>22</v>
      </c>
      <c r="D291" t="s">
        <v>42</v>
      </c>
      <c r="E291" t="s">
        <v>35</v>
      </c>
      <c r="F291">
        <v>48</v>
      </c>
      <c r="G291">
        <v>45.85</v>
      </c>
      <c r="H291">
        <v>15</v>
      </c>
      <c r="I291">
        <v>63</v>
      </c>
      <c r="J291" t="s">
        <v>606</v>
      </c>
      <c r="K291">
        <f t="shared" si="5"/>
        <v>2200.8000000000002</v>
      </c>
    </row>
    <row r="292" spans="1:11" x14ac:dyDescent="0.45">
      <c r="A292" t="s">
        <v>607</v>
      </c>
      <c r="B292" s="1">
        <v>44763</v>
      </c>
      <c r="C292" t="s">
        <v>17</v>
      </c>
      <c r="D292" t="s">
        <v>42</v>
      </c>
      <c r="E292" t="s">
        <v>19</v>
      </c>
      <c r="F292">
        <v>12</v>
      </c>
      <c r="G292">
        <v>47.98</v>
      </c>
      <c r="H292">
        <v>10</v>
      </c>
      <c r="I292">
        <v>21</v>
      </c>
      <c r="J292" t="s">
        <v>608</v>
      </c>
      <c r="K292">
        <f t="shared" si="5"/>
        <v>575.76</v>
      </c>
    </row>
    <row r="293" spans="1:11" x14ac:dyDescent="0.45">
      <c r="A293" t="s">
        <v>609</v>
      </c>
      <c r="B293" s="1">
        <v>44990</v>
      </c>
      <c r="C293" t="s">
        <v>57</v>
      </c>
      <c r="D293" t="s">
        <v>18</v>
      </c>
      <c r="E293" t="s">
        <v>35</v>
      </c>
      <c r="F293">
        <v>69</v>
      </c>
      <c r="G293">
        <v>3.84</v>
      </c>
      <c r="H293">
        <v>20</v>
      </c>
      <c r="I293">
        <v>43</v>
      </c>
      <c r="J293" t="s">
        <v>610</v>
      </c>
      <c r="K293">
        <f t="shared" si="5"/>
        <v>264.95999999999998</v>
      </c>
    </row>
    <row r="294" spans="1:11" x14ac:dyDescent="0.45">
      <c r="A294" t="s">
        <v>611</v>
      </c>
      <c r="B294" s="1">
        <v>45098</v>
      </c>
      <c r="C294" t="s">
        <v>22</v>
      </c>
      <c r="D294" t="s">
        <v>42</v>
      </c>
      <c r="E294" t="s">
        <v>19</v>
      </c>
      <c r="F294">
        <v>37</v>
      </c>
      <c r="G294">
        <v>20.329999999999998</v>
      </c>
      <c r="H294">
        <v>20</v>
      </c>
      <c r="I294">
        <v>46</v>
      </c>
      <c r="J294" t="s">
        <v>612</v>
      </c>
      <c r="K294">
        <f t="shared" si="5"/>
        <v>752.20999999999992</v>
      </c>
    </row>
    <row r="295" spans="1:11" x14ac:dyDescent="0.45">
      <c r="A295" t="s">
        <v>613</v>
      </c>
      <c r="B295" s="1">
        <v>44660</v>
      </c>
      <c r="C295" t="s">
        <v>22</v>
      </c>
      <c r="D295" t="s">
        <v>23</v>
      </c>
      <c r="E295" t="s">
        <v>30</v>
      </c>
      <c r="F295">
        <v>32</v>
      </c>
      <c r="G295">
        <v>6.23</v>
      </c>
      <c r="H295">
        <v>20</v>
      </c>
      <c r="I295">
        <v>62</v>
      </c>
      <c r="J295" t="s">
        <v>614</v>
      </c>
      <c r="K295">
        <f t="shared" si="5"/>
        <v>199.36</v>
      </c>
    </row>
    <row r="296" spans="1:11" x14ac:dyDescent="0.45">
      <c r="A296" t="s">
        <v>615</v>
      </c>
      <c r="B296" s="1">
        <v>45139</v>
      </c>
      <c r="C296" t="s">
        <v>29</v>
      </c>
      <c r="D296" t="s">
        <v>18</v>
      </c>
      <c r="E296" t="s">
        <v>24</v>
      </c>
      <c r="F296">
        <v>9</v>
      </c>
      <c r="G296">
        <v>17.45</v>
      </c>
      <c r="H296">
        <v>10</v>
      </c>
      <c r="I296">
        <v>51</v>
      </c>
      <c r="J296" t="s">
        <v>616</v>
      </c>
      <c r="K296">
        <f t="shared" si="5"/>
        <v>157.04999999999998</v>
      </c>
    </row>
    <row r="297" spans="1:11" x14ac:dyDescent="0.45">
      <c r="A297" t="s">
        <v>617</v>
      </c>
      <c r="B297" s="1">
        <v>44603</v>
      </c>
      <c r="C297" t="s">
        <v>29</v>
      </c>
      <c r="D297" t="s">
        <v>23</v>
      </c>
      <c r="E297" t="s">
        <v>19</v>
      </c>
      <c r="F297">
        <v>99</v>
      </c>
      <c r="G297">
        <v>9.31</v>
      </c>
      <c r="H297">
        <v>10</v>
      </c>
      <c r="I297">
        <v>40</v>
      </c>
      <c r="J297" t="s">
        <v>618</v>
      </c>
      <c r="K297">
        <f t="shared" si="5"/>
        <v>921.69</v>
      </c>
    </row>
    <row r="298" spans="1:11" x14ac:dyDescent="0.45">
      <c r="A298" t="s">
        <v>619</v>
      </c>
      <c r="B298" s="1">
        <v>44996</v>
      </c>
      <c r="C298" t="s">
        <v>17</v>
      </c>
      <c r="D298" t="s">
        <v>23</v>
      </c>
      <c r="E298" t="s">
        <v>35</v>
      </c>
      <c r="F298">
        <v>19</v>
      </c>
      <c r="G298">
        <v>32.700000000000003</v>
      </c>
      <c r="H298">
        <v>5</v>
      </c>
      <c r="I298">
        <v>54</v>
      </c>
      <c r="J298" t="s">
        <v>620</v>
      </c>
      <c r="K298">
        <f t="shared" si="5"/>
        <v>621.30000000000007</v>
      </c>
    </row>
    <row r="299" spans="1:11" x14ac:dyDescent="0.45">
      <c r="A299" t="s">
        <v>621</v>
      </c>
      <c r="B299" s="1">
        <v>44888</v>
      </c>
      <c r="C299" t="s">
        <v>57</v>
      </c>
      <c r="D299" t="s">
        <v>42</v>
      </c>
      <c r="E299" t="s">
        <v>35</v>
      </c>
      <c r="F299">
        <v>48</v>
      </c>
      <c r="G299">
        <v>20.03</v>
      </c>
      <c r="H299">
        <v>15</v>
      </c>
      <c r="I299">
        <v>28</v>
      </c>
      <c r="J299" t="s">
        <v>622</v>
      </c>
      <c r="K299">
        <f t="shared" si="5"/>
        <v>961.44</v>
      </c>
    </row>
    <row r="300" spans="1:11" x14ac:dyDescent="0.45">
      <c r="A300" t="s">
        <v>623</v>
      </c>
      <c r="B300" s="1">
        <v>45079</v>
      </c>
      <c r="C300" t="s">
        <v>22</v>
      </c>
      <c r="D300" t="s">
        <v>23</v>
      </c>
      <c r="E300" t="s">
        <v>19</v>
      </c>
      <c r="F300">
        <v>80</v>
      </c>
      <c r="G300">
        <v>12.24</v>
      </c>
      <c r="H300">
        <v>0</v>
      </c>
      <c r="I300">
        <v>23</v>
      </c>
      <c r="J300" t="s">
        <v>624</v>
      </c>
      <c r="K300">
        <f t="shared" si="5"/>
        <v>979.2</v>
      </c>
    </row>
    <row r="301" spans="1:11" x14ac:dyDescent="0.45">
      <c r="A301" t="s">
        <v>625</v>
      </c>
      <c r="B301" s="1">
        <v>44863</v>
      </c>
      <c r="C301" t="s">
        <v>22</v>
      </c>
      <c r="D301" t="s">
        <v>18</v>
      </c>
      <c r="E301" t="s">
        <v>30</v>
      </c>
      <c r="F301">
        <v>3</v>
      </c>
      <c r="G301">
        <v>14.03</v>
      </c>
      <c r="H301">
        <v>20</v>
      </c>
      <c r="I301">
        <v>35</v>
      </c>
      <c r="J301" t="s">
        <v>626</v>
      </c>
      <c r="K301">
        <f t="shared" si="5"/>
        <v>42.089999999999996</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election sqref="A1:I11"/>
    </sheetView>
  </sheetViews>
  <sheetFormatPr defaultRowHeight="14.25" x14ac:dyDescent="0.45"/>
  <sheetData>
    <row r="1" spans="1:2" x14ac:dyDescent="0.45">
      <c r="A1" t="s">
        <v>0</v>
      </c>
      <c r="B1" t="s">
        <v>1</v>
      </c>
    </row>
    <row r="2" spans="1:2" x14ac:dyDescent="0.45">
      <c r="A2" t="s">
        <v>2</v>
      </c>
      <c r="B2" t="s">
        <v>627</v>
      </c>
    </row>
    <row r="3" spans="1:2" x14ac:dyDescent="0.45">
      <c r="A3" t="s">
        <v>4</v>
      </c>
      <c r="B3" t="s">
        <v>628</v>
      </c>
    </row>
    <row r="4" spans="1:2" x14ac:dyDescent="0.45">
      <c r="A4" t="s">
        <v>629</v>
      </c>
      <c r="B4" t="s">
        <v>630</v>
      </c>
    </row>
    <row r="5" spans="1:2" x14ac:dyDescent="0.45">
      <c r="A5" t="s">
        <v>631</v>
      </c>
      <c r="B5" t="s">
        <v>632</v>
      </c>
    </row>
    <row r="6" spans="1:2" x14ac:dyDescent="0.45">
      <c r="A6" t="s">
        <v>633</v>
      </c>
      <c r="B6" t="s">
        <v>634</v>
      </c>
    </row>
    <row r="7" spans="1:2" x14ac:dyDescent="0.45">
      <c r="A7" t="s">
        <v>635</v>
      </c>
      <c r="B7" t="s">
        <v>636</v>
      </c>
    </row>
    <row r="8" spans="1:2" x14ac:dyDescent="0.45">
      <c r="A8" t="s">
        <v>637</v>
      </c>
      <c r="B8" t="s">
        <v>638</v>
      </c>
    </row>
    <row r="9" spans="1:2" x14ac:dyDescent="0.45">
      <c r="A9" t="s">
        <v>639</v>
      </c>
      <c r="B9" t="s">
        <v>640</v>
      </c>
    </row>
    <row r="10" spans="1:2" x14ac:dyDescent="0.45">
      <c r="A10" t="s">
        <v>641</v>
      </c>
      <c r="B10" t="s">
        <v>642</v>
      </c>
    </row>
    <row r="11" spans="1:2" x14ac:dyDescent="0.45">
      <c r="A11" t="s">
        <v>643</v>
      </c>
      <c r="B11" t="s">
        <v>644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01"/>
  <sheetViews>
    <sheetView workbookViewId="0">
      <selection activeCell="H1" sqref="H1"/>
    </sheetView>
  </sheetViews>
  <sheetFormatPr defaultRowHeight="14.25" x14ac:dyDescent="0.45"/>
  <cols>
    <col min="2" max="2" width="16.3984375" bestFit="1" customWidth="1"/>
    <col min="4" max="4" width="12.46484375" customWidth="1"/>
    <col min="5" max="5" width="8.9296875" customWidth="1"/>
    <col min="6" max="6" width="10.86328125" customWidth="1"/>
    <col min="7" max="7" width="13.06640625" customWidth="1"/>
    <col min="8" max="8" width="14.86328125" customWidth="1"/>
    <col min="9" max="9" width="15.06640625" customWidth="1"/>
    <col min="10" max="10" width="8.6640625" bestFit="1" customWidth="1"/>
  </cols>
  <sheetData>
    <row r="1" spans="1:10" x14ac:dyDescent="0.45">
      <c r="A1" t="s">
        <v>645</v>
      </c>
      <c r="B1" t="s">
        <v>7</v>
      </c>
      <c r="C1" t="s">
        <v>646</v>
      </c>
      <c r="D1" t="s">
        <v>647</v>
      </c>
      <c r="E1" t="s">
        <v>10</v>
      </c>
      <c r="F1" t="s">
        <v>11</v>
      </c>
      <c r="G1" t="s">
        <v>648</v>
      </c>
      <c r="H1" t="s">
        <v>649</v>
      </c>
      <c r="I1" t="s">
        <v>650</v>
      </c>
      <c r="J1" t="s">
        <v>651</v>
      </c>
    </row>
    <row r="2" spans="1:10" hidden="1" x14ac:dyDescent="0.45">
      <c r="A2" t="s">
        <v>652</v>
      </c>
      <c r="B2" s="1">
        <v>45191</v>
      </c>
      <c r="C2" t="s">
        <v>653</v>
      </c>
      <c r="D2" t="s">
        <v>654</v>
      </c>
      <c r="E2" t="s">
        <v>19</v>
      </c>
      <c r="F2">
        <v>85</v>
      </c>
      <c r="G2">
        <v>227.98</v>
      </c>
      <c r="H2" t="s">
        <v>655</v>
      </c>
      <c r="I2" t="s">
        <v>656</v>
      </c>
      <c r="J2" t="s">
        <v>657</v>
      </c>
    </row>
    <row r="3" spans="1:10" hidden="1" x14ac:dyDescent="0.45">
      <c r="A3" t="s">
        <v>658</v>
      </c>
      <c r="B3" s="1">
        <v>44816</v>
      </c>
      <c r="C3" t="s">
        <v>653</v>
      </c>
      <c r="D3" t="s">
        <v>654</v>
      </c>
      <c r="E3" t="s">
        <v>30</v>
      </c>
      <c r="F3">
        <v>42</v>
      </c>
      <c r="G3">
        <v>686.43</v>
      </c>
      <c r="H3" t="s">
        <v>655</v>
      </c>
      <c r="I3" t="s">
        <v>659</v>
      </c>
      <c r="J3" t="s">
        <v>660</v>
      </c>
    </row>
    <row r="4" spans="1:10" hidden="1" x14ac:dyDescent="0.45">
      <c r="A4" t="s">
        <v>661</v>
      </c>
      <c r="B4" s="1">
        <v>45091</v>
      </c>
      <c r="C4" t="s">
        <v>662</v>
      </c>
      <c r="D4" t="s">
        <v>663</v>
      </c>
      <c r="E4" t="s">
        <v>19</v>
      </c>
      <c r="F4">
        <v>41</v>
      </c>
      <c r="G4">
        <v>85.37</v>
      </c>
      <c r="H4" t="s">
        <v>655</v>
      </c>
      <c r="I4" t="s">
        <v>656</v>
      </c>
      <c r="J4" t="s">
        <v>660</v>
      </c>
    </row>
    <row r="5" spans="1:10" x14ac:dyDescent="0.45">
      <c r="A5" t="s">
        <v>664</v>
      </c>
      <c r="B5" s="1">
        <v>44983</v>
      </c>
      <c r="C5" t="s">
        <v>653</v>
      </c>
      <c r="D5" t="s">
        <v>665</v>
      </c>
      <c r="E5" t="s">
        <v>35</v>
      </c>
      <c r="F5">
        <v>38</v>
      </c>
      <c r="G5">
        <v>852.69</v>
      </c>
      <c r="H5" t="s">
        <v>666</v>
      </c>
      <c r="I5" t="s">
        <v>667</v>
      </c>
      <c r="J5" t="s">
        <v>660</v>
      </c>
    </row>
    <row r="6" spans="1:10" hidden="1" x14ac:dyDescent="0.45">
      <c r="A6" t="s">
        <v>668</v>
      </c>
      <c r="B6" s="1">
        <v>44900</v>
      </c>
      <c r="C6" t="s">
        <v>662</v>
      </c>
      <c r="D6" t="s">
        <v>663</v>
      </c>
      <c r="E6" t="s">
        <v>30</v>
      </c>
      <c r="F6">
        <v>34</v>
      </c>
      <c r="G6">
        <v>500.2</v>
      </c>
      <c r="H6" t="s">
        <v>655</v>
      </c>
      <c r="I6" t="s">
        <v>656</v>
      </c>
      <c r="J6" t="s">
        <v>669</v>
      </c>
    </row>
    <row r="7" spans="1:10" x14ac:dyDescent="0.45">
      <c r="A7" t="s">
        <v>670</v>
      </c>
      <c r="B7" s="1">
        <v>45072</v>
      </c>
      <c r="C7" t="s">
        <v>671</v>
      </c>
      <c r="D7" t="s">
        <v>672</v>
      </c>
      <c r="E7" t="s">
        <v>24</v>
      </c>
      <c r="F7">
        <v>17</v>
      </c>
      <c r="G7">
        <v>485.78</v>
      </c>
      <c r="H7" t="s">
        <v>666</v>
      </c>
      <c r="I7" t="s">
        <v>656</v>
      </c>
      <c r="J7" t="s">
        <v>669</v>
      </c>
    </row>
    <row r="8" spans="1:10" x14ac:dyDescent="0.45">
      <c r="A8" t="s">
        <v>673</v>
      </c>
      <c r="B8" s="1">
        <v>45078</v>
      </c>
      <c r="C8" t="s">
        <v>662</v>
      </c>
      <c r="D8" t="s">
        <v>654</v>
      </c>
      <c r="E8" t="s">
        <v>19</v>
      </c>
      <c r="F8">
        <v>37</v>
      </c>
      <c r="G8">
        <v>596.48</v>
      </c>
      <c r="H8" t="s">
        <v>666</v>
      </c>
      <c r="I8" t="s">
        <v>656</v>
      </c>
      <c r="J8" t="s">
        <v>674</v>
      </c>
    </row>
    <row r="9" spans="1:10" hidden="1" x14ac:dyDescent="0.45">
      <c r="A9" t="s">
        <v>675</v>
      </c>
      <c r="B9" s="1">
        <v>45025</v>
      </c>
      <c r="C9" t="s">
        <v>653</v>
      </c>
      <c r="D9" t="s">
        <v>672</v>
      </c>
      <c r="E9" t="s">
        <v>19</v>
      </c>
      <c r="F9">
        <v>25</v>
      </c>
      <c r="G9">
        <v>826.43</v>
      </c>
      <c r="H9" t="s">
        <v>655</v>
      </c>
      <c r="I9" t="s">
        <v>659</v>
      </c>
      <c r="J9" t="s">
        <v>657</v>
      </c>
    </row>
    <row r="10" spans="1:10" hidden="1" x14ac:dyDescent="0.45">
      <c r="A10" t="s">
        <v>676</v>
      </c>
      <c r="B10" s="1">
        <v>44677</v>
      </c>
      <c r="C10" t="s">
        <v>653</v>
      </c>
      <c r="D10" t="s">
        <v>663</v>
      </c>
      <c r="E10" t="s">
        <v>19</v>
      </c>
      <c r="F10">
        <v>76</v>
      </c>
      <c r="G10">
        <v>354.33</v>
      </c>
      <c r="H10" t="s">
        <v>655</v>
      </c>
      <c r="I10" t="s">
        <v>659</v>
      </c>
      <c r="J10" t="s">
        <v>660</v>
      </c>
    </row>
    <row r="11" spans="1:10" x14ac:dyDescent="0.45">
      <c r="A11" t="s">
        <v>677</v>
      </c>
      <c r="B11" s="1">
        <v>44758</v>
      </c>
      <c r="C11" t="s">
        <v>662</v>
      </c>
      <c r="D11" t="s">
        <v>665</v>
      </c>
      <c r="E11" t="s">
        <v>30</v>
      </c>
      <c r="F11">
        <v>87</v>
      </c>
      <c r="G11">
        <v>681.24</v>
      </c>
      <c r="H11" t="s">
        <v>666</v>
      </c>
      <c r="I11" t="s">
        <v>659</v>
      </c>
      <c r="J11" t="s">
        <v>674</v>
      </c>
    </row>
    <row r="12" spans="1:10" x14ac:dyDescent="0.45">
      <c r="A12" t="s">
        <v>678</v>
      </c>
      <c r="B12" s="1">
        <v>45238</v>
      </c>
      <c r="C12" t="s">
        <v>671</v>
      </c>
      <c r="D12" t="s">
        <v>654</v>
      </c>
      <c r="E12" t="s">
        <v>19</v>
      </c>
      <c r="F12">
        <v>86</v>
      </c>
      <c r="G12">
        <v>570.07000000000005</v>
      </c>
      <c r="H12" t="s">
        <v>666</v>
      </c>
      <c r="I12" t="s">
        <v>667</v>
      </c>
      <c r="J12" t="s">
        <v>657</v>
      </c>
    </row>
    <row r="13" spans="1:10" hidden="1" x14ac:dyDescent="0.45">
      <c r="A13" t="s">
        <v>679</v>
      </c>
      <c r="B13" s="1">
        <v>45236</v>
      </c>
      <c r="C13" t="s">
        <v>662</v>
      </c>
      <c r="D13" t="s">
        <v>654</v>
      </c>
      <c r="E13" t="s">
        <v>30</v>
      </c>
      <c r="F13">
        <v>85</v>
      </c>
      <c r="G13">
        <v>274.36</v>
      </c>
      <c r="H13" t="s">
        <v>655</v>
      </c>
      <c r="I13" t="s">
        <v>656</v>
      </c>
      <c r="J13" t="s">
        <v>657</v>
      </c>
    </row>
    <row r="14" spans="1:10" hidden="1" x14ac:dyDescent="0.45">
      <c r="A14" t="s">
        <v>680</v>
      </c>
      <c r="B14" s="1">
        <v>45219</v>
      </c>
      <c r="C14" t="s">
        <v>662</v>
      </c>
      <c r="D14" t="s">
        <v>663</v>
      </c>
      <c r="E14" t="s">
        <v>35</v>
      </c>
      <c r="F14">
        <v>27</v>
      </c>
      <c r="G14">
        <v>879.84</v>
      </c>
      <c r="H14" t="s">
        <v>655</v>
      </c>
      <c r="I14" t="s">
        <v>681</v>
      </c>
      <c r="J14" t="s">
        <v>669</v>
      </c>
    </row>
    <row r="15" spans="1:10" x14ac:dyDescent="0.45">
      <c r="A15" t="s">
        <v>682</v>
      </c>
      <c r="B15" s="1">
        <v>45060</v>
      </c>
      <c r="C15" t="s">
        <v>662</v>
      </c>
      <c r="D15" t="s">
        <v>654</v>
      </c>
      <c r="E15" t="s">
        <v>24</v>
      </c>
      <c r="F15">
        <v>57</v>
      </c>
      <c r="G15">
        <v>799.45</v>
      </c>
      <c r="H15" t="s">
        <v>666</v>
      </c>
      <c r="I15" t="s">
        <v>681</v>
      </c>
      <c r="J15" t="s">
        <v>660</v>
      </c>
    </row>
    <row r="16" spans="1:10" x14ac:dyDescent="0.45">
      <c r="A16" t="s">
        <v>683</v>
      </c>
      <c r="B16" s="1">
        <v>45095</v>
      </c>
      <c r="C16" t="s">
        <v>662</v>
      </c>
      <c r="D16" t="s">
        <v>665</v>
      </c>
      <c r="E16" t="s">
        <v>35</v>
      </c>
      <c r="F16">
        <v>31</v>
      </c>
      <c r="G16">
        <v>661.87</v>
      </c>
      <c r="H16" t="s">
        <v>666</v>
      </c>
      <c r="I16" t="s">
        <v>667</v>
      </c>
      <c r="J16" t="s">
        <v>669</v>
      </c>
    </row>
    <row r="17" spans="1:10" hidden="1" x14ac:dyDescent="0.45">
      <c r="A17" t="s">
        <v>684</v>
      </c>
      <c r="B17" s="1">
        <v>44997</v>
      </c>
      <c r="C17" t="s">
        <v>662</v>
      </c>
      <c r="D17" t="s">
        <v>665</v>
      </c>
      <c r="E17" t="s">
        <v>24</v>
      </c>
      <c r="F17">
        <v>6</v>
      </c>
      <c r="G17">
        <v>852.08</v>
      </c>
      <c r="H17" t="s">
        <v>655</v>
      </c>
      <c r="I17" t="s">
        <v>667</v>
      </c>
      <c r="J17" t="s">
        <v>674</v>
      </c>
    </row>
    <row r="18" spans="1:10" x14ac:dyDescent="0.45">
      <c r="A18" t="s">
        <v>685</v>
      </c>
      <c r="B18" s="1">
        <v>44754</v>
      </c>
      <c r="C18" t="s">
        <v>662</v>
      </c>
      <c r="D18" t="s">
        <v>672</v>
      </c>
      <c r="E18" t="s">
        <v>35</v>
      </c>
      <c r="F18">
        <v>91</v>
      </c>
      <c r="G18">
        <v>868.62</v>
      </c>
      <c r="H18" t="s">
        <v>666</v>
      </c>
      <c r="I18" t="s">
        <v>659</v>
      </c>
      <c r="J18" t="s">
        <v>660</v>
      </c>
    </row>
    <row r="19" spans="1:10" x14ac:dyDescent="0.45">
      <c r="A19" t="s">
        <v>686</v>
      </c>
      <c r="B19" s="1">
        <v>45222</v>
      </c>
      <c r="C19" t="s">
        <v>653</v>
      </c>
      <c r="D19" t="s">
        <v>663</v>
      </c>
      <c r="E19" t="s">
        <v>30</v>
      </c>
      <c r="F19">
        <v>40</v>
      </c>
      <c r="G19">
        <v>711.28</v>
      </c>
      <c r="H19" t="s">
        <v>666</v>
      </c>
      <c r="I19" t="s">
        <v>656</v>
      </c>
      <c r="J19" t="s">
        <v>669</v>
      </c>
    </row>
    <row r="20" spans="1:10" x14ac:dyDescent="0.45">
      <c r="A20" t="s">
        <v>687</v>
      </c>
      <c r="B20" s="1">
        <v>44584</v>
      </c>
      <c r="C20" t="s">
        <v>662</v>
      </c>
      <c r="D20" t="s">
        <v>672</v>
      </c>
      <c r="E20" t="s">
        <v>30</v>
      </c>
      <c r="F20">
        <v>98</v>
      </c>
      <c r="G20">
        <v>838.64</v>
      </c>
      <c r="H20" t="s">
        <v>666</v>
      </c>
      <c r="I20" t="s">
        <v>659</v>
      </c>
      <c r="J20" t="s">
        <v>669</v>
      </c>
    </row>
    <row r="21" spans="1:10" x14ac:dyDescent="0.45">
      <c r="A21" t="s">
        <v>688</v>
      </c>
      <c r="B21" s="1">
        <v>45139</v>
      </c>
      <c r="C21" t="s">
        <v>653</v>
      </c>
      <c r="D21" t="s">
        <v>672</v>
      </c>
      <c r="E21" t="s">
        <v>24</v>
      </c>
      <c r="F21">
        <v>12</v>
      </c>
      <c r="G21">
        <v>700.5</v>
      </c>
      <c r="H21" t="s">
        <v>666</v>
      </c>
      <c r="I21" t="s">
        <v>659</v>
      </c>
      <c r="J21" t="s">
        <v>660</v>
      </c>
    </row>
    <row r="22" spans="1:10" hidden="1" x14ac:dyDescent="0.45">
      <c r="A22" t="s">
        <v>689</v>
      </c>
      <c r="B22" s="1">
        <v>44923</v>
      </c>
      <c r="C22" t="s">
        <v>653</v>
      </c>
      <c r="D22" t="s">
        <v>665</v>
      </c>
      <c r="E22" t="s">
        <v>35</v>
      </c>
      <c r="F22">
        <v>53</v>
      </c>
      <c r="G22">
        <v>683.34</v>
      </c>
      <c r="H22" t="s">
        <v>655</v>
      </c>
      <c r="I22" t="s">
        <v>667</v>
      </c>
      <c r="J22" t="s">
        <v>657</v>
      </c>
    </row>
    <row r="23" spans="1:10" x14ac:dyDescent="0.45">
      <c r="A23" t="s">
        <v>690</v>
      </c>
      <c r="B23" s="1">
        <v>44600</v>
      </c>
      <c r="C23" t="s">
        <v>662</v>
      </c>
      <c r="D23" t="s">
        <v>672</v>
      </c>
      <c r="E23" t="s">
        <v>30</v>
      </c>
      <c r="F23">
        <v>71</v>
      </c>
      <c r="G23">
        <v>622.42999999999995</v>
      </c>
      <c r="H23" t="s">
        <v>666</v>
      </c>
      <c r="I23" t="s">
        <v>681</v>
      </c>
      <c r="J23" t="s">
        <v>669</v>
      </c>
    </row>
    <row r="24" spans="1:10" x14ac:dyDescent="0.45">
      <c r="A24" t="s">
        <v>691</v>
      </c>
      <c r="B24" s="1">
        <v>44955</v>
      </c>
      <c r="C24" t="s">
        <v>671</v>
      </c>
      <c r="D24" t="s">
        <v>672</v>
      </c>
      <c r="E24" t="s">
        <v>35</v>
      </c>
      <c r="F24">
        <v>10</v>
      </c>
      <c r="G24">
        <v>755.19</v>
      </c>
      <c r="H24" t="s">
        <v>666</v>
      </c>
      <c r="I24" t="s">
        <v>667</v>
      </c>
      <c r="J24" t="s">
        <v>657</v>
      </c>
    </row>
    <row r="25" spans="1:10" hidden="1" x14ac:dyDescent="0.45">
      <c r="A25" t="s">
        <v>692</v>
      </c>
      <c r="B25" s="1">
        <v>45003</v>
      </c>
      <c r="C25" t="s">
        <v>662</v>
      </c>
      <c r="D25" t="s">
        <v>665</v>
      </c>
      <c r="E25" t="s">
        <v>19</v>
      </c>
      <c r="F25">
        <v>45</v>
      </c>
      <c r="G25">
        <v>167.02</v>
      </c>
      <c r="H25" t="s">
        <v>655</v>
      </c>
      <c r="I25" t="s">
        <v>681</v>
      </c>
      <c r="J25" t="s">
        <v>660</v>
      </c>
    </row>
    <row r="26" spans="1:10" x14ac:dyDescent="0.45">
      <c r="A26" t="s">
        <v>693</v>
      </c>
      <c r="B26" s="1">
        <v>45289</v>
      </c>
      <c r="C26" t="s">
        <v>671</v>
      </c>
      <c r="D26" t="s">
        <v>654</v>
      </c>
      <c r="E26" t="s">
        <v>19</v>
      </c>
      <c r="F26">
        <v>17</v>
      </c>
      <c r="G26">
        <v>882.06</v>
      </c>
      <c r="H26" t="s">
        <v>666</v>
      </c>
      <c r="I26" t="s">
        <v>659</v>
      </c>
      <c r="J26" t="s">
        <v>669</v>
      </c>
    </row>
    <row r="27" spans="1:10" hidden="1" x14ac:dyDescent="0.45">
      <c r="A27" t="s">
        <v>694</v>
      </c>
      <c r="B27" s="1">
        <v>44893</v>
      </c>
      <c r="C27" t="s">
        <v>653</v>
      </c>
      <c r="D27" t="s">
        <v>663</v>
      </c>
      <c r="E27" t="s">
        <v>35</v>
      </c>
      <c r="F27">
        <v>26</v>
      </c>
      <c r="G27">
        <v>873.13</v>
      </c>
      <c r="H27" t="s">
        <v>655</v>
      </c>
      <c r="I27" t="s">
        <v>681</v>
      </c>
      <c r="J27" t="s">
        <v>657</v>
      </c>
    </row>
    <row r="28" spans="1:10" x14ac:dyDescent="0.45">
      <c r="A28" t="s">
        <v>695</v>
      </c>
      <c r="B28" s="1">
        <v>44946</v>
      </c>
      <c r="C28" t="s">
        <v>671</v>
      </c>
      <c r="D28" t="s">
        <v>663</v>
      </c>
      <c r="E28" t="s">
        <v>35</v>
      </c>
      <c r="F28">
        <v>85</v>
      </c>
      <c r="G28">
        <v>38.950000000000003</v>
      </c>
      <c r="H28" t="s">
        <v>666</v>
      </c>
      <c r="I28" t="s">
        <v>681</v>
      </c>
      <c r="J28" t="s">
        <v>657</v>
      </c>
    </row>
    <row r="29" spans="1:10" hidden="1" x14ac:dyDescent="0.45">
      <c r="A29" t="s">
        <v>696</v>
      </c>
      <c r="B29" s="1">
        <v>44795</v>
      </c>
      <c r="C29" t="s">
        <v>671</v>
      </c>
      <c r="D29" t="s">
        <v>663</v>
      </c>
      <c r="E29" t="s">
        <v>24</v>
      </c>
      <c r="F29">
        <v>92</v>
      </c>
      <c r="G29">
        <v>827.56</v>
      </c>
      <c r="H29" t="s">
        <v>655</v>
      </c>
      <c r="I29" t="s">
        <v>656</v>
      </c>
      <c r="J29" t="s">
        <v>660</v>
      </c>
    </row>
    <row r="30" spans="1:10" x14ac:dyDescent="0.45">
      <c r="A30" t="s">
        <v>697</v>
      </c>
      <c r="B30" s="1">
        <v>44783</v>
      </c>
      <c r="C30" t="s">
        <v>671</v>
      </c>
      <c r="D30" t="s">
        <v>665</v>
      </c>
      <c r="E30" t="s">
        <v>30</v>
      </c>
      <c r="F30">
        <v>62</v>
      </c>
      <c r="G30">
        <v>137.58000000000001</v>
      </c>
      <c r="H30" t="s">
        <v>666</v>
      </c>
      <c r="I30" t="s">
        <v>656</v>
      </c>
      <c r="J30" t="s">
        <v>657</v>
      </c>
    </row>
    <row r="31" spans="1:10" hidden="1" x14ac:dyDescent="0.45">
      <c r="A31" t="s">
        <v>698</v>
      </c>
      <c r="B31" s="1">
        <v>45207</v>
      </c>
      <c r="C31" t="s">
        <v>653</v>
      </c>
      <c r="D31" t="s">
        <v>665</v>
      </c>
      <c r="E31" t="s">
        <v>35</v>
      </c>
      <c r="F31">
        <v>46</v>
      </c>
      <c r="G31">
        <v>341.77</v>
      </c>
      <c r="H31" t="s">
        <v>655</v>
      </c>
      <c r="I31" t="s">
        <v>667</v>
      </c>
      <c r="J31" t="s">
        <v>660</v>
      </c>
    </row>
    <row r="32" spans="1:10" hidden="1" x14ac:dyDescent="0.45">
      <c r="A32" t="s">
        <v>699</v>
      </c>
      <c r="B32" s="1">
        <v>45048</v>
      </c>
      <c r="C32" t="s">
        <v>653</v>
      </c>
      <c r="D32" t="s">
        <v>663</v>
      </c>
      <c r="E32" t="s">
        <v>35</v>
      </c>
      <c r="F32">
        <v>64</v>
      </c>
      <c r="G32">
        <v>746.07</v>
      </c>
      <c r="H32" t="s">
        <v>655</v>
      </c>
      <c r="I32" t="s">
        <v>659</v>
      </c>
      <c r="J32" t="s">
        <v>657</v>
      </c>
    </row>
    <row r="33" spans="1:10" hidden="1" x14ac:dyDescent="0.45">
      <c r="A33" t="s">
        <v>700</v>
      </c>
      <c r="B33" s="1">
        <v>44827</v>
      </c>
      <c r="C33" t="s">
        <v>653</v>
      </c>
      <c r="D33" t="s">
        <v>663</v>
      </c>
      <c r="E33" t="s">
        <v>24</v>
      </c>
      <c r="F33">
        <v>2</v>
      </c>
      <c r="G33">
        <v>169.15</v>
      </c>
      <c r="H33" t="s">
        <v>655</v>
      </c>
      <c r="I33" t="s">
        <v>656</v>
      </c>
      <c r="J33" t="s">
        <v>660</v>
      </c>
    </row>
    <row r="34" spans="1:10" hidden="1" x14ac:dyDescent="0.45">
      <c r="A34" t="s">
        <v>701</v>
      </c>
      <c r="B34" s="1">
        <v>45246</v>
      </c>
      <c r="C34" t="s">
        <v>662</v>
      </c>
      <c r="D34" t="s">
        <v>663</v>
      </c>
      <c r="E34" t="s">
        <v>30</v>
      </c>
      <c r="F34">
        <v>54</v>
      </c>
      <c r="G34">
        <v>819.79</v>
      </c>
      <c r="H34" t="s">
        <v>655</v>
      </c>
      <c r="I34" t="s">
        <v>681</v>
      </c>
      <c r="J34" t="s">
        <v>669</v>
      </c>
    </row>
    <row r="35" spans="1:10" hidden="1" x14ac:dyDescent="0.45">
      <c r="A35" t="s">
        <v>702</v>
      </c>
      <c r="B35" s="1">
        <v>45049</v>
      </c>
      <c r="C35" t="s">
        <v>653</v>
      </c>
      <c r="D35" t="s">
        <v>665</v>
      </c>
      <c r="E35" t="s">
        <v>30</v>
      </c>
      <c r="F35">
        <v>65</v>
      </c>
      <c r="G35">
        <v>833.81</v>
      </c>
      <c r="H35" t="s">
        <v>655</v>
      </c>
      <c r="I35" t="s">
        <v>656</v>
      </c>
      <c r="J35" t="s">
        <v>669</v>
      </c>
    </row>
    <row r="36" spans="1:10" x14ac:dyDescent="0.45">
      <c r="A36" t="s">
        <v>703</v>
      </c>
      <c r="B36" s="1">
        <v>44617</v>
      </c>
      <c r="C36" t="s">
        <v>662</v>
      </c>
      <c r="D36" t="s">
        <v>665</v>
      </c>
      <c r="E36" t="s">
        <v>24</v>
      </c>
      <c r="F36">
        <v>51</v>
      </c>
      <c r="G36">
        <v>512.39</v>
      </c>
      <c r="H36" t="s">
        <v>666</v>
      </c>
      <c r="I36" t="s">
        <v>656</v>
      </c>
      <c r="J36" t="s">
        <v>669</v>
      </c>
    </row>
    <row r="37" spans="1:10" hidden="1" x14ac:dyDescent="0.45">
      <c r="A37" t="s">
        <v>704</v>
      </c>
      <c r="B37" s="1">
        <v>44805</v>
      </c>
      <c r="C37" t="s">
        <v>653</v>
      </c>
      <c r="D37" t="s">
        <v>672</v>
      </c>
      <c r="E37" t="s">
        <v>30</v>
      </c>
      <c r="F37">
        <v>53</v>
      </c>
      <c r="G37">
        <v>16.32</v>
      </c>
      <c r="H37" t="s">
        <v>655</v>
      </c>
      <c r="I37" t="s">
        <v>681</v>
      </c>
      <c r="J37" t="s">
        <v>660</v>
      </c>
    </row>
    <row r="38" spans="1:10" x14ac:dyDescent="0.45">
      <c r="A38" t="s">
        <v>705</v>
      </c>
      <c r="B38" s="1">
        <v>44730</v>
      </c>
      <c r="C38" t="s">
        <v>662</v>
      </c>
      <c r="D38" t="s">
        <v>654</v>
      </c>
      <c r="E38" t="s">
        <v>19</v>
      </c>
      <c r="F38">
        <v>36</v>
      </c>
      <c r="G38">
        <v>294.17</v>
      </c>
      <c r="H38" t="s">
        <v>666</v>
      </c>
      <c r="I38" t="s">
        <v>667</v>
      </c>
      <c r="J38" t="s">
        <v>657</v>
      </c>
    </row>
    <row r="39" spans="1:10" hidden="1" x14ac:dyDescent="0.45">
      <c r="A39" t="s">
        <v>706</v>
      </c>
      <c r="B39" s="1">
        <v>45247</v>
      </c>
      <c r="C39" t="s">
        <v>653</v>
      </c>
      <c r="D39" t="s">
        <v>663</v>
      </c>
      <c r="E39" t="s">
        <v>24</v>
      </c>
      <c r="F39">
        <v>26</v>
      </c>
      <c r="G39">
        <v>620.76</v>
      </c>
      <c r="H39" t="s">
        <v>655</v>
      </c>
      <c r="I39" t="s">
        <v>667</v>
      </c>
      <c r="J39" t="s">
        <v>657</v>
      </c>
    </row>
    <row r="40" spans="1:10" hidden="1" x14ac:dyDescent="0.45">
      <c r="A40" t="s">
        <v>707</v>
      </c>
      <c r="B40" s="1">
        <v>44837</v>
      </c>
      <c r="C40" t="s">
        <v>653</v>
      </c>
      <c r="D40" t="s">
        <v>672</v>
      </c>
      <c r="E40" t="s">
        <v>19</v>
      </c>
      <c r="F40">
        <v>29</v>
      </c>
      <c r="G40">
        <v>981.37</v>
      </c>
      <c r="H40" t="s">
        <v>655</v>
      </c>
      <c r="I40" t="s">
        <v>656</v>
      </c>
      <c r="J40" t="s">
        <v>674</v>
      </c>
    </row>
    <row r="41" spans="1:10" x14ac:dyDescent="0.45">
      <c r="A41" t="s">
        <v>708</v>
      </c>
      <c r="B41" s="1">
        <v>45282</v>
      </c>
      <c r="C41" t="s">
        <v>671</v>
      </c>
      <c r="D41" t="s">
        <v>672</v>
      </c>
      <c r="E41" t="s">
        <v>35</v>
      </c>
      <c r="F41">
        <v>21</v>
      </c>
      <c r="G41">
        <v>635.5</v>
      </c>
      <c r="H41" t="s">
        <v>666</v>
      </c>
      <c r="I41" t="s">
        <v>659</v>
      </c>
      <c r="J41" t="s">
        <v>674</v>
      </c>
    </row>
    <row r="42" spans="1:10" hidden="1" x14ac:dyDescent="0.45">
      <c r="A42" t="s">
        <v>709</v>
      </c>
      <c r="B42" s="1">
        <v>44674</v>
      </c>
      <c r="C42" t="s">
        <v>653</v>
      </c>
      <c r="D42" t="s">
        <v>663</v>
      </c>
      <c r="E42" t="s">
        <v>24</v>
      </c>
      <c r="F42">
        <v>11</v>
      </c>
      <c r="G42">
        <v>267.20999999999998</v>
      </c>
      <c r="H42" t="s">
        <v>655</v>
      </c>
      <c r="I42" t="s">
        <v>681</v>
      </c>
      <c r="J42" t="s">
        <v>669</v>
      </c>
    </row>
    <row r="43" spans="1:10" hidden="1" x14ac:dyDescent="0.45">
      <c r="A43" t="s">
        <v>710</v>
      </c>
      <c r="B43" s="1">
        <v>44879</v>
      </c>
      <c r="C43" t="s">
        <v>671</v>
      </c>
      <c r="D43" t="s">
        <v>663</v>
      </c>
      <c r="E43" t="s">
        <v>30</v>
      </c>
      <c r="F43">
        <v>40</v>
      </c>
      <c r="G43">
        <v>637.66999999999996</v>
      </c>
      <c r="H43" t="s">
        <v>655</v>
      </c>
      <c r="I43" t="s">
        <v>659</v>
      </c>
      <c r="J43" t="s">
        <v>669</v>
      </c>
    </row>
    <row r="44" spans="1:10" hidden="1" x14ac:dyDescent="0.45">
      <c r="A44" t="s">
        <v>711</v>
      </c>
      <c r="B44" s="1">
        <v>44767</v>
      </c>
      <c r="C44" t="s">
        <v>671</v>
      </c>
      <c r="D44" t="s">
        <v>665</v>
      </c>
      <c r="E44" t="s">
        <v>19</v>
      </c>
      <c r="F44">
        <v>11</v>
      </c>
      <c r="G44">
        <v>544.59</v>
      </c>
      <c r="H44" t="s">
        <v>655</v>
      </c>
      <c r="I44" t="s">
        <v>656</v>
      </c>
      <c r="J44" t="s">
        <v>674</v>
      </c>
    </row>
    <row r="45" spans="1:10" hidden="1" x14ac:dyDescent="0.45">
      <c r="A45" t="s">
        <v>712</v>
      </c>
      <c r="B45" s="1">
        <v>45056</v>
      </c>
      <c r="C45" t="s">
        <v>653</v>
      </c>
      <c r="D45" t="s">
        <v>665</v>
      </c>
      <c r="E45" t="s">
        <v>35</v>
      </c>
      <c r="F45">
        <v>36</v>
      </c>
      <c r="G45">
        <v>782.05</v>
      </c>
      <c r="H45" t="s">
        <v>655</v>
      </c>
      <c r="I45" t="s">
        <v>656</v>
      </c>
      <c r="J45" t="s">
        <v>674</v>
      </c>
    </row>
    <row r="46" spans="1:10" hidden="1" x14ac:dyDescent="0.45">
      <c r="A46" t="s">
        <v>713</v>
      </c>
      <c r="B46" s="1">
        <v>44908</v>
      </c>
      <c r="C46" t="s">
        <v>671</v>
      </c>
      <c r="D46" t="s">
        <v>654</v>
      </c>
      <c r="E46" t="s">
        <v>24</v>
      </c>
      <c r="F46">
        <v>59</v>
      </c>
      <c r="G46">
        <v>115.91</v>
      </c>
      <c r="H46" t="s">
        <v>655</v>
      </c>
      <c r="I46" t="s">
        <v>656</v>
      </c>
      <c r="J46" t="s">
        <v>660</v>
      </c>
    </row>
    <row r="47" spans="1:10" x14ac:dyDescent="0.45">
      <c r="A47" t="s">
        <v>714</v>
      </c>
      <c r="B47" s="1">
        <v>45035</v>
      </c>
      <c r="C47" t="s">
        <v>662</v>
      </c>
      <c r="D47" t="s">
        <v>654</v>
      </c>
      <c r="E47" t="s">
        <v>35</v>
      </c>
      <c r="F47">
        <v>39</v>
      </c>
      <c r="G47">
        <v>763.42</v>
      </c>
      <c r="H47" t="s">
        <v>666</v>
      </c>
      <c r="I47" t="s">
        <v>659</v>
      </c>
      <c r="J47" t="s">
        <v>669</v>
      </c>
    </row>
    <row r="48" spans="1:10" hidden="1" x14ac:dyDescent="0.45">
      <c r="A48" t="s">
        <v>715</v>
      </c>
      <c r="B48" s="1">
        <v>45002</v>
      </c>
      <c r="C48" t="s">
        <v>671</v>
      </c>
      <c r="D48" t="s">
        <v>663</v>
      </c>
      <c r="E48" t="s">
        <v>19</v>
      </c>
      <c r="F48">
        <v>99</v>
      </c>
      <c r="G48">
        <v>545.85</v>
      </c>
      <c r="H48" t="s">
        <v>655</v>
      </c>
      <c r="I48" t="s">
        <v>667</v>
      </c>
      <c r="J48" t="s">
        <v>660</v>
      </c>
    </row>
    <row r="49" spans="1:10" x14ac:dyDescent="0.45">
      <c r="A49" t="s">
        <v>716</v>
      </c>
      <c r="B49" s="1">
        <v>44727</v>
      </c>
      <c r="C49" t="s">
        <v>653</v>
      </c>
      <c r="D49" t="s">
        <v>665</v>
      </c>
      <c r="E49" t="s">
        <v>24</v>
      </c>
      <c r="F49">
        <v>54</v>
      </c>
      <c r="G49">
        <v>963.36</v>
      </c>
      <c r="H49" t="s">
        <v>666</v>
      </c>
      <c r="I49" t="s">
        <v>656</v>
      </c>
      <c r="J49" t="s">
        <v>674</v>
      </c>
    </row>
    <row r="50" spans="1:10" hidden="1" x14ac:dyDescent="0.45">
      <c r="A50" t="s">
        <v>717</v>
      </c>
      <c r="B50" s="1">
        <v>45016</v>
      </c>
      <c r="C50" t="s">
        <v>671</v>
      </c>
      <c r="D50" t="s">
        <v>663</v>
      </c>
      <c r="E50" t="s">
        <v>19</v>
      </c>
      <c r="F50">
        <v>98</v>
      </c>
      <c r="G50">
        <v>348.45</v>
      </c>
      <c r="H50" t="s">
        <v>655</v>
      </c>
      <c r="I50" t="s">
        <v>667</v>
      </c>
      <c r="J50" t="s">
        <v>669</v>
      </c>
    </row>
    <row r="51" spans="1:10" hidden="1" x14ac:dyDescent="0.45">
      <c r="A51" t="s">
        <v>718</v>
      </c>
      <c r="B51" s="1">
        <v>44777</v>
      </c>
      <c r="C51" t="s">
        <v>653</v>
      </c>
      <c r="D51" t="s">
        <v>665</v>
      </c>
      <c r="E51" t="s">
        <v>24</v>
      </c>
      <c r="F51">
        <v>55</v>
      </c>
      <c r="G51">
        <v>636.29999999999995</v>
      </c>
      <c r="H51" t="s">
        <v>655</v>
      </c>
      <c r="I51" t="s">
        <v>681</v>
      </c>
      <c r="J51" t="s">
        <v>660</v>
      </c>
    </row>
    <row r="52" spans="1:10" hidden="1" x14ac:dyDescent="0.45">
      <c r="A52" t="s">
        <v>719</v>
      </c>
      <c r="B52" s="1">
        <v>45060</v>
      </c>
      <c r="C52" t="s">
        <v>671</v>
      </c>
      <c r="D52" t="s">
        <v>663</v>
      </c>
      <c r="E52" t="s">
        <v>30</v>
      </c>
      <c r="F52">
        <v>24</v>
      </c>
      <c r="G52">
        <v>932.71</v>
      </c>
      <c r="H52" t="s">
        <v>655</v>
      </c>
      <c r="I52" t="s">
        <v>667</v>
      </c>
      <c r="J52" t="s">
        <v>657</v>
      </c>
    </row>
    <row r="53" spans="1:10" x14ac:dyDescent="0.45">
      <c r="A53" t="s">
        <v>720</v>
      </c>
      <c r="B53" s="1">
        <v>44981</v>
      </c>
      <c r="C53" t="s">
        <v>662</v>
      </c>
      <c r="D53" t="s">
        <v>654</v>
      </c>
      <c r="E53" t="s">
        <v>19</v>
      </c>
      <c r="F53">
        <v>22</v>
      </c>
      <c r="G53">
        <v>111.48</v>
      </c>
      <c r="H53" t="s">
        <v>666</v>
      </c>
      <c r="I53" t="s">
        <v>656</v>
      </c>
      <c r="J53" t="s">
        <v>669</v>
      </c>
    </row>
    <row r="54" spans="1:10" hidden="1" x14ac:dyDescent="0.45">
      <c r="A54" t="s">
        <v>721</v>
      </c>
      <c r="B54" s="1">
        <v>45069</v>
      </c>
      <c r="C54" t="s">
        <v>653</v>
      </c>
      <c r="D54" t="s">
        <v>654</v>
      </c>
      <c r="E54" t="s">
        <v>35</v>
      </c>
      <c r="F54">
        <v>69</v>
      </c>
      <c r="G54">
        <v>937.86</v>
      </c>
      <c r="H54" t="s">
        <v>655</v>
      </c>
      <c r="I54" t="s">
        <v>656</v>
      </c>
      <c r="J54" t="s">
        <v>674</v>
      </c>
    </row>
    <row r="55" spans="1:10" hidden="1" x14ac:dyDescent="0.45">
      <c r="A55" t="s">
        <v>722</v>
      </c>
      <c r="B55" s="1">
        <v>44657</v>
      </c>
      <c r="C55" t="s">
        <v>671</v>
      </c>
      <c r="D55" t="s">
        <v>654</v>
      </c>
      <c r="E55" t="s">
        <v>35</v>
      </c>
      <c r="F55">
        <v>56</v>
      </c>
      <c r="G55">
        <v>691.01</v>
      </c>
      <c r="H55" t="s">
        <v>655</v>
      </c>
      <c r="I55" t="s">
        <v>656</v>
      </c>
      <c r="J55" t="s">
        <v>657</v>
      </c>
    </row>
    <row r="56" spans="1:10" x14ac:dyDescent="0.45">
      <c r="A56" t="s">
        <v>723</v>
      </c>
      <c r="B56" s="1">
        <v>44825</v>
      </c>
      <c r="C56" t="s">
        <v>671</v>
      </c>
      <c r="D56" t="s">
        <v>665</v>
      </c>
      <c r="E56" t="s">
        <v>35</v>
      </c>
      <c r="F56">
        <v>33</v>
      </c>
      <c r="G56">
        <v>77.16</v>
      </c>
      <c r="H56" t="s">
        <v>666</v>
      </c>
      <c r="I56" t="s">
        <v>681</v>
      </c>
      <c r="J56" t="s">
        <v>657</v>
      </c>
    </row>
    <row r="57" spans="1:10" x14ac:dyDescent="0.45">
      <c r="A57" t="s">
        <v>724</v>
      </c>
      <c r="B57" s="1">
        <v>44885</v>
      </c>
      <c r="C57" t="s">
        <v>662</v>
      </c>
      <c r="D57" t="s">
        <v>654</v>
      </c>
      <c r="E57" t="s">
        <v>24</v>
      </c>
      <c r="F57">
        <v>36</v>
      </c>
      <c r="G57">
        <v>307.95</v>
      </c>
      <c r="H57" t="s">
        <v>666</v>
      </c>
      <c r="I57" t="s">
        <v>667</v>
      </c>
      <c r="J57" t="s">
        <v>660</v>
      </c>
    </row>
    <row r="58" spans="1:10" x14ac:dyDescent="0.45">
      <c r="A58" t="s">
        <v>725</v>
      </c>
      <c r="B58" s="1">
        <v>45217</v>
      </c>
      <c r="C58" t="s">
        <v>671</v>
      </c>
      <c r="D58" t="s">
        <v>663</v>
      </c>
      <c r="E58" t="s">
        <v>35</v>
      </c>
      <c r="F58">
        <v>20</v>
      </c>
      <c r="G58">
        <v>711.09</v>
      </c>
      <c r="H58" t="s">
        <v>666</v>
      </c>
      <c r="I58" t="s">
        <v>656</v>
      </c>
      <c r="J58" t="s">
        <v>674</v>
      </c>
    </row>
    <row r="59" spans="1:10" hidden="1" x14ac:dyDescent="0.45">
      <c r="A59" t="s">
        <v>726</v>
      </c>
      <c r="B59" s="1">
        <v>45211</v>
      </c>
      <c r="C59" t="s">
        <v>662</v>
      </c>
      <c r="D59" t="s">
        <v>654</v>
      </c>
      <c r="E59" t="s">
        <v>24</v>
      </c>
      <c r="F59">
        <v>83</v>
      </c>
      <c r="G59">
        <v>76.680000000000007</v>
      </c>
      <c r="H59" t="s">
        <v>655</v>
      </c>
      <c r="I59" t="s">
        <v>667</v>
      </c>
      <c r="J59" t="s">
        <v>660</v>
      </c>
    </row>
    <row r="60" spans="1:10" x14ac:dyDescent="0.45">
      <c r="A60" t="s">
        <v>727</v>
      </c>
      <c r="B60" s="1">
        <v>45092</v>
      </c>
      <c r="C60" t="s">
        <v>662</v>
      </c>
      <c r="D60" t="s">
        <v>654</v>
      </c>
      <c r="E60" t="s">
        <v>19</v>
      </c>
      <c r="F60">
        <v>99</v>
      </c>
      <c r="G60">
        <v>586.35</v>
      </c>
      <c r="H60" t="s">
        <v>666</v>
      </c>
      <c r="I60" t="s">
        <v>681</v>
      </c>
      <c r="J60" t="s">
        <v>660</v>
      </c>
    </row>
    <row r="61" spans="1:10" x14ac:dyDescent="0.45">
      <c r="A61" t="s">
        <v>728</v>
      </c>
      <c r="B61" s="1">
        <v>45125</v>
      </c>
      <c r="C61" t="s">
        <v>653</v>
      </c>
      <c r="D61" t="s">
        <v>654</v>
      </c>
      <c r="E61" t="s">
        <v>30</v>
      </c>
      <c r="F61">
        <v>81</v>
      </c>
      <c r="G61">
        <v>352.42</v>
      </c>
      <c r="H61" t="s">
        <v>666</v>
      </c>
      <c r="I61" t="s">
        <v>659</v>
      </c>
      <c r="J61" t="s">
        <v>660</v>
      </c>
    </row>
    <row r="62" spans="1:10" x14ac:dyDescent="0.45">
      <c r="A62" t="s">
        <v>729</v>
      </c>
      <c r="B62" s="1">
        <v>44693</v>
      </c>
      <c r="C62" t="s">
        <v>671</v>
      </c>
      <c r="D62" t="s">
        <v>663</v>
      </c>
      <c r="E62" t="s">
        <v>30</v>
      </c>
      <c r="F62">
        <v>62</v>
      </c>
      <c r="G62">
        <v>624.71</v>
      </c>
      <c r="H62" t="s">
        <v>666</v>
      </c>
      <c r="I62" t="s">
        <v>681</v>
      </c>
      <c r="J62" t="s">
        <v>660</v>
      </c>
    </row>
    <row r="63" spans="1:10" hidden="1" x14ac:dyDescent="0.45">
      <c r="A63" t="s">
        <v>730</v>
      </c>
      <c r="B63" s="1">
        <v>44633</v>
      </c>
      <c r="C63" t="s">
        <v>653</v>
      </c>
      <c r="D63" t="s">
        <v>672</v>
      </c>
      <c r="E63" t="s">
        <v>35</v>
      </c>
      <c r="F63">
        <v>98</v>
      </c>
      <c r="G63">
        <v>55.28</v>
      </c>
      <c r="H63" t="s">
        <v>655</v>
      </c>
      <c r="I63" t="s">
        <v>681</v>
      </c>
      <c r="J63" t="s">
        <v>669</v>
      </c>
    </row>
    <row r="64" spans="1:10" x14ac:dyDescent="0.45">
      <c r="A64" t="s">
        <v>731</v>
      </c>
      <c r="B64" s="1">
        <v>44857</v>
      </c>
      <c r="C64" t="s">
        <v>671</v>
      </c>
      <c r="D64" t="s">
        <v>665</v>
      </c>
      <c r="E64" t="s">
        <v>24</v>
      </c>
      <c r="F64">
        <v>73</v>
      </c>
      <c r="G64">
        <v>872.82</v>
      </c>
      <c r="H64" t="s">
        <v>666</v>
      </c>
      <c r="I64" t="s">
        <v>681</v>
      </c>
      <c r="J64" t="s">
        <v>657</v>
      </c>
    </row>
    <row r="65" spans="1:10" x14ac:dyDescent="0.45">
      <c r="A65" t="s">
        <v>732</v>
      </c>
      <c r="B65" s="1">
        <v>45260</v>
      </c>
      <c r="C65" t="s">
        <v>653</v>
      </c>
      <c r="D65" t="s">
        <v>663</v>
      </c>
      <c r="E65" t="s">
        <v>24</v>
      </c>
      <c r="F65">
        <v>26</v>
      </c>
      <c r="G65">
        <v>973.75</v>
      </c>
      <c r="H65" t="s">
        <v>666</v>
      </c>
      <c r="I65" t="s">
        <v>659</v>
      </c>
      <c r="J65" t="s">
        <v>674</v>
      </c>
    </row>
    <row r="66" spans="1:10" x14ac:dyDescent="0.45">
      <c r="A66" t="s">
        <v>733</v>
      </c>
      <c r="B66" s="1">
        <v>45201</v>
      </c>
      <c r="C66" t="s">
        <v>653</v>
      </c>
      <c r="D66" t="s">
        <v>672</v>
      </c>
      <c r="E66" t="s">
        <v>30</v>
      </c>
      <c r="F66">
        <v>66</v>
      </c>
      <c r="G66">
        <v>969.19</v>
      </c>
      <c r="H66" t="s">
        <v>666</v>
      </c>
      <c r="I66" t="s">
        <v>656</v>
      </c>
      <c r="J66" t="s">
        <v>657</v>
      </c>
    </row>
    <row r="67" spans="1:10" x14ac:dyDescent="0.45">
      <c r="A67" t="s">
        <v>734</v>
      </c>
      <c r="B67" s="1">
        <v>44579</v>
      </c>
      <c r="C67" t="s">
        <v>653</v>
      </c>
      <c r="D67" t="s">
        <v>663</v>
      </c>
      <c r="E67" t="s">
        <v>35</v>
      </c>
      <c r="F67">
        <v>73</v>
      </c>
      <c r="G67">
        <v>752.16</v>
      </c>
      <c r="H67" t="s">
        <v>666</v>
      </c>
      <c r="I67" t="s">
        <v>656</v>
      </c>
      <c r="J67" t="s">
        <v>660</v>
      </c>
    </row>
    <row r="68" spans="1:10" x14ac:dyDescent="0.45">
      <c r="A68" t="s">
        <v>735</v>
      </c>
      <c r="B68" s="1">
        <v>44949</v>
      </c>
      <c r="C68" t="s">
        <v>662</v>
      </c>
      <c r="D68" t="s">
        <v>672</v>
      </c>
      <c r="E68" t="s">
        <v>24</v>
      </c>
      <c r="F68">
        <v>73</v>
      </c>
      <c r="G68">
        <v>138.79</v>
      </c>
      <c r="H68" t="s">
        <v>666</v>
      </c>
      <c r="I68" t="s">
        <v>656</v>
      </c>
      <c r="J68" t="s">
        <v>660</v>
      </c>
    </row>
    <row r="69" spans="1:10" hidden="1" x14ac:dyDescent="0.45">
      <c r="A69" t="s">
        <v>736</v>
      </c>
      <c r="B69" s="1">
        <v>44970</v>
      </c>
      <c r="C69" t="s">
        <v>653</v>
      </c>
      <c r="D69" t="s">
        <v>663</v>
      </c>
      <c r="E69" t="s">
        <v>24</v>
      </c>
      <c r="F69">
        <v>40</v>
      </c>
      <c r="G69">
        <v>760.68</v>
      </c>
      <c r="H69" t="s">
        <v>655</v>
      </c>
      <c r="I69" t="s">
        <v>681</v>
      </c>
      <c r="J69" t="s">
        <v>657</v>
      </c>
    </row>
    <row r="70" spans="1:10" x14ac:dyDescent="0.45">
      <c r="A70" t="s">
        <v>737</v>
      </c>
      <c r="B70" s="1">
        <v>45104</v>
      </c>
      <c r="C70" t="s">
        <v>662</v>
      </c>
      <c r="D70" t="s">
        <v>663</v>
      </c>
      <c r="E70" t="s">
        <v>24</v>
      </c>
      <c r="F70">
        <v>17</v>
      </c>
      <c r="G70">
        <v>34.340000000000003</v>
      </c>
      <c r="H70" t="s">
        <v>666</v>
      </c>
      <c r="I70" t="s">
        <v>681</v>
      </c>
      <c r="J70" t="s">
        <v>669</v>
      </c>
    </row>
    <row r="71" spans="1:10" x14ac:dyDescent="0.45">
      <c r="A71" t="s">
        <v>738</v>
      </c>
      <c r="B71" s="1">
        <v>44622</v>
      </c>
      <c r="C71" t="s">
        <v>671</v>
      </c>
      <c r="D71" t="s">
        <v>663</v>
      </c>
      <c r="E71" t="s">
        <v>35</v>
      </c>
      <c r="F71">
        <v>1</v>
      </c>
      <c r="G71">
        <v>31.9</v>
      </c>
      <c r="H71" t="s">
        <v>666</v>
      </c>
      <c r="I71" t="s">
        <v>659</v>
      </c>
      <c r="J71" t="s">
        <v>657</v>
      </c>
    </row>
    <row r="72" spans="1:10" hidden="1" x14ac:dyDescent="0.45">
      <c r="A72" t="s">
        <v>739</v>
      </c>
      <c r="B72" s="1">
        <v>45238</v>
      </c>
      <c r="C72" t="s">
        <v>653</v>
      </c>
      <c r="D72" t="s">
        <v>672</v>
      </c>
      <c r="E72" t="s">
        <v>24</v>
      </c>
      <c r="F72">
        <v>89</v>
      </c>
      <c r="G72">
        <v>330.37</v>
      </c>
      <c r="H72" t="s">
        <v>655</v>
      </c>
      <c r="I72" t="s">
        <v>656</v>
      </c>
      <c r="J72" t="s">
        <v>657</v>
      </c>
    </row>
    <row r="73" spans="1:10" x14ac:dyDescent="0.45">
      <c r="A73" t="s">
        <v>740</v>
      </c>
      <c r="B73" s="1">
        <v>44759</v>
      </c>
      <c r="C73" t="s">
        <v>653</v>
      </c>
      <c r="D73" t="s">
        <v>672</v>
      </c>
      <c r="E73" t="s">
        <v>30</v>
      </c>
      <c r="F73">
        <v>61</v>
      </c>
      <c r="G73">
        <v>493.76</v>
      </c>
      <c r="H73" t="s">
        <v>666</v>
      </c>
      <c r="I73" t="s">
        <v>656</v>
      </c>
      <c r="J73" t="s">
        <v>657</v>
      </c>
    </row>
    <row r="74" spans="1:10" hidden="1" x14ac:dyDescent="0.45">
      <c r="A74" t="s">
        <v>741</v>
      </c>
      <c r="B74" s="1">
        <v>44851</v>
      </c>
      <c r="C74" t="s">
        <v>653</v>
      </c>
      <c r="D74" t="s">
        <v>654</v>
      </c>
      <c r="E74" t="s">
        <v>30</v>
      </c>
      <c r="F74">
        <v>43</v>
      </c>
      <c r="G74">
        <v>772.7</v>
      </c>
      <c r="H74" t="s">
        <v>655</v>
      </c>
      <c r="I74" t="s">
        <v>659</v>
      </c>
      <c r="J74" t="s">
        <v>657</v>
      </c>
    </row>
    <row r="75" spans="1:10" x14ac:dyDescent="0.45">
      <c r="A75" t="s">
        <v>742</v>
      </c>
      <c r="B75" s="1">
        <v>44620</v>
      </c>
      <c r="C75" t="s">
        <v>653</v>
      </c>
      <c r="D75" t="s">
        <v>654</v>
      </c>
      <c r="E75" t="s">
        <v>19</v>
      </c>
      <c r="F75">
        <v>42</v>
      </c>
      <c r="G75">
        <v>686.46</v>
      </c>
      <c r="H75" t="s">
        <v>666</v>
      </c>
      <c r="I75" t="s">
        <v>667</v>
      </c>
      <c r="J75" t="s">
        <v>660</v>
      </c>
    </row>
    <row r="76" spans="1:10" x14ac:dyDescent="0.45">
      <c r="A76" t="s">
        <v>743</v>
      </c>
      <c r="B76" s="1">
        <v>44906</v>
      </c>
      <c r="C76" t="s">
        <v>653</v>
      </c>
      <c r="D76" t="s">
        <v>663</v>
      </c>
      <c r="E76" t="s">
        <v>35</v>
      </c>
      <c r="F76">
        <v>25</v>
      </c>
      <c r="G76">
        <v>451.44</v>
      </c>
      <c r="H76" t="s">
        <v>666</v>
      </c>
      <c r="I76" t="s">
        <v>659</v>
      </c>
      <c r="J76" t="s">
        <v>657</v>
      </c>
    </row>
    <row r="77" spans="1:10" x14ac:dyDescent="0.45">
      <c r="A77" t="s">
        <v>744</v>
      </c>
      <c r="B77" s="1">
        <v>45156</v>
      </c>
      <c r="C77" t="s">
        <v>653</v>
      </c>
      <c r="D77" t="s">
        <v>665</v>
      </c>
      <c r="E77" t="s">
        <v>30</v>
      </c>
      <c r="F77">
        <v>39</v>
      </c>
      <c r="G77">
        <v>280.89</v>
      </c>
      <c r="H77" t="s">
        <v>666</v>
      </c>
      <c r="I77" t="s">
        <v>656</v>
      </c>
      <c r="J77" t="s">
        <v>660</v>
      </c>
    </row>
    <row r="78" spans="1:10" hidden="1" x14ac:dyDescent="0.45">
      <c r="A78" t="s">
        <v>745</v>
      </c>
      <c r="B78" s="1">
        <v>45236</v>
      </c>
      <c r="C78" t="s">
        <v>653</v>
      </c>
      <c r="D78" t="s">
        <v>663</v>
      </c>
      <c r="E78" t="s">
        <v>30</v>
      </c>
      <c r="F78">
        <v>35</v>
      </c>
      <c r="G78">
        <v>997.15</v>
      </c>
      <c r="H78" t="s">
        <v>655</v>
      </c>
      <c r="I78" t="s">
        <v>656</v>
      </c>
      <c r="J78" t="s">
        <v>660</v>
      </c>
    </row>
    <row r="79" spans="1:10" x14ac:dyDescent="0.45">
      <c r="A79" t="s">
        <v>746</v>
      </c>
      <c r="B79" s="1">
        <v>45033</v>
      </c>
      <c r="C79" t="s">
        <v>653</v>
      </c>
      <c r="D79" t="s">
        <v>663</v>
      </c>
      <c r="E79" t="s">
        <v>35</v>
      </c>
      <c r="F79">
        <v>3</v>
      </c>
      <c r="G79">
        <v>431.92</v>
      </c>
      <c r="H79" t="s">
        <v>666</v>
      </c>
      <c r="I79" t="s">
        <v>659</v>
      </c>
      <c r="J79" t="s">
        <v>657</v>
      </c>
    </row>
    <row r="80" spans="1:10" hidden="1" x14ac:dyDescent="0.45">
      <c r="A80" t="s">
        <v>747</v>
      </c>
      <c r="B80" s="1">
        <v>44895</v>
      </c>
      <c r="C80" t="s">
        <v>671</v>
      </c>
      <c r="D80" t="s">
        <v>672</v>
      </c>
      <c r="E80" t="s">
        <v>30</v>
      </c>
      <c r="F80">
        <v>44</v>
      </c>
      <c r="G80">
        <v>456.87</v>
      </c>
      <c r="H80" t="s">
        <v>655</v>
      </c>
      <c r="I80" t="s">
        <v>667</v>
      </c>
      <c r="J80" t="s">
        <v>674</v>
      </c>
    </row>
    <row r="81" spans="1:10" x14ac:dyDescent="0.45">
      <c r="A81" t="s">
        <v>748</v>
      </c>
      <c r="B81" s="1">
        <v>44919</v>
      </c>
      <c r="C81" t="s">
        <v>653</v>
      </c>
      <c r="D81" t="s">
        <v>665</v>
      </c>
      <c r="E81" t="s">
        <v>19</v>
      </c>
      <c r="F81">
        <v>51</v>
      </c>
      <c r="G81">
        <v>171.99</v>
      </c>
      <c r="H81" t="s">
        <v>666</v>
      </c>
      <c r="I81" t="s">
        <v>656</v>
      </c>
      <c r="J81" t="s">
        <v>657</v>
      </c>
    </row>
    <row r="82" spans="1:10" hidden="1" x14ac:dyDescent="0.45">
      <c r="A82" t="s">
        <v>749</v>
      </c>
      <c r="B82" s="1">
        <v>45063</v>
      </c>
      <c r="C82" t="s">
        <v>662</v>
      </c>
      <c r="D82" t="s">
        <v>665</v>
      </c>
      <c r="E82" t="s">
        <v>19</v>
      </c>
      <c r="F82">
        <v>94</v>
      </c>
      <c r="G82">
        <v>796.86</v>
      </c>
      <c r="H82" t="s">
        <v>655</v>
      </c>
      <c r="I82" t="s">
        <v>656</v>
      </c>
      <c r="J82" t="s">
        <v>657</v>
      </c>
    </row>
    <row r="83" spans="1:10" hidden="1" x14ac:dyDescent="0.45">
      <c r="A83" t="s">
        <v>750</v>
      </c>
      <c r="B83" s="1">
        <v>44650</v>
      </c>
      <c r="C83" t="s">
        <v>662</v>
      </c>
      <c r="D83" t="s">
        <v>672</v>
      </c>
      <c r="E83" t="s">
        <v>35</v>
      </c>
      <c r="F83">
        <v>98</v>
      </c>
      <c r="G83">
        <v>696.75</v>
      </c>
      <c r="H83" t="s">
        <v>655</v>
      </c>
      <c r="I83" t="s">
        <v>659</v>
      </c>
      <c r="J83" t="s">
        <v>660</v>
      </c>
    </row>
    <row r="84" spans="1:10" hidden="1" x14ac:dyDescent="0.45">
      <c r="A84" t="s">
        <v>751</v>
      </c>
      <c r="B84" s="1">
        <v>44616</v>
      </c>
      <c r="C84" t="s">
        <v>653</v>
      </c>
      <c r="D84" t="s">
        <v>654</v>
      </c>
      <c r="E84" t="s">
        <v>30</v>
      </c>
      <c r="F84">
        <v>12</v>
      </c>
      <c r="G84">
        <v>228.56</v>
      </c>
      <c r="H84" t="s">
        <v>655</v>
      </c>
      <c r="I84" t="s">
        <v>656</v>
      </c>
      <c r="J84" t="s">
        <v>674</v>
      </c>
    </row>
    <row r="85" spans="1:10" x14ac:dyDescent="0.45">
      <c r="A85" t="s">
        <v>752</v>
      </c>
      <c r="B85" s="1">
        <v>44622</v>
      </c>
      <c r="C85" t="s">
        <v>671</v>
      </c>
      <c r="D85" t="s">
        <v>672</v>
      </c>
      <c r="E85" t="s">
        <v>19</v>
      </c>
      <c r="F85">
        <v>19</v>
      </c>
      <c r="G85">
        <v>91.56</v>
      </c>
      <c r="H85" t="s">
        <v>666</v>
      </c>
      <c r="I85" t="s">
        <v>667</v>
      </c>
      <c r="J85" t="s">
        <v>657</v>
      </c>
    </row>
    <row r="86" spans="1:10" x14ac:dyDescent="0.45">
      <c r="A86" t="s">
        <v>753</v>
      </c>
      <c r="B86" s="1">
        <v>44855</v>
      </c>
      <c r="C86" t="s">
        <v>653</v>
      </c>
      <c r="D86" t="s">
        <v>663</v>
      </c>
      <c r="E86" t="s">
        <v>24</v>
      </c>
      <c r="F86">
        <v>44</v>
      </c>
      <c r="G86">
        <v>683.69</v>
      </c>
      <c r="H86" t="s">
        <v>666</v>
      </c>
      <c r="I86" t="s">
        <v>659</v>
      </c>
      <c r="J86" t="s">
        <v>660</v>
      </c>
    </row>
    <row r="87" spans="1:10" hidden="1" x14ac:dyDescent="0.45">
      <c r="A87" t="s">
        <v>754</v>
      </c>
      <c r="B87" s="1">
        <v>45284</v>
      </c>
      <c r="C87" t="s">
        <v>662</v>
      </c>
      <c r="D87" t="s">
        <v>672</v>
      </c>
      <c r="E87" t="s">
        <v>24</v>
      </c>
      <c r="F87">
        <v>59</v>
      </c>
      <c r="G87">
        <v>657.97</v>
      </c>
      <c r="H87" t="s">
        <v>655</v>
      </c>
      <c r="I87" t="s">
        <v>659</v>
      </c>
      <c r="J87" t="s">
        <v>674</v>
      </c>
    </row>
    <row r="88" spans="1:10" x14ac:dyDescent="0.45">
      <c r="A88" t="s">
        <v>755</v>
      </c>
      <c r="B88" s="1">
        <v>44810</v>
      </c>
      <c r="C88" t="s">
        <v>671</v>
      </c>
      <c r="D88" t="s">
        <v>665</v>
      </c>
      <c r="E88" t="s">
        <v>24</v>
      </c>
      <c r="F88">
        <v>49</v>
      </c>
      <c r="G88">
        <v>280.52999999999997</v>
      </c>
      <c r="H88" t="s">
        <v>666</v>
      </c>
      <c r="I88" t="s">
        <v>681</v>
      </c>
      <c r="J88" t="s">
        <v>674</v>
      </c>
    </row>
    <row r="89" spans="1:10" hidden="1" x14ac:dyDescent="0.45">
      <c r="A89" t="s">
        <v>756</v>
      </c>
      <c r="B89" s="1">
        <v>44974</v>
      </c>
      <c r="C89" t="s">
        <v>653</v>
      </c>
      <c r="D89" t="s">
        <v>663</v>
      </c>
      <c r="E89" t="s">
        <v>19</v>
      </c>
      <c r="F89">
        <v>61</v>
      </c>
      <c r="G89">
        <v>951.35</v>
      </c>
      <c r="H89" t="s">
        <v>655</v>
      </c>
      <c r="I89" t="s">
        <v>681</v>
      </c>
      <c r="J89" t="s">
        <v>674</v>
      </c>
    </row>
    <row r="90" spans="1:10" hidden="1" x14ac:dyDescent="0.45">
      <c r="A90" t="s">
        <v>757</v>
      </c>
      <c r="B90" s="1">
        <v>45151</v>
      </c>
      <c r="C90" t="s">
        <v>653</v>
      </c>
      <c r="D90" t="s">
        <v>672</v>
      </c>
      <c r="E90" t="s">
        <v>30</v>
      </c>
      <c r="F90">
        <v>17</v>
      </c>
      <c r="G90">
        <v>159.55000000000001</v>
      </c>
      <c r="H90" t="s">
        <v>655</v>
      </c>
      <c r="I90" t="s">
        <v>667</v>
      </c>
      <c r="J90" t="s">
        <v>657</v>
      </c>
    </row>
    <row r="91" spans="1:10" x14ac:dyDescent="0.45">
      <c r="A91" t="s">
        <v>758</v>
      </c>
      <c r="B91" s="1">
        <v>45237</v>
      </c>
      <c r="C91" t="s">
        <v>662</v>
      </c>
      <c r="D91" t="s">
        <v>672</v>
      </c>
      <c r="E91" t="s">
        <v>24</v>
      </c>
      <c r="F91">
        <v>74</v>
      </c>
      <c r="G91">
        <v>438.01</v>
      </c>
      <c r="H91" t="s">
        <v>666</v>
      </c>
      <c r="I91" t="s">
        <v>656</v>
      </c>
      <c r="J91" t="s">
        <v>674</v>
      </c>
    </row>
    <row r="92" spans="1:10" hidden="1" x14ac:dyDescent="0.45">
      <c r="A92" t="s">
        <v>759</v>
      </c>
      <c r="B92" s="1">
        <v>45103</v>
      </c>
      <c r="C92" t="s">
        <v>671</v>
      </c>
      <c r="D92" t="s">
        <v>672</v>
      </c>
      <c r="E92" t="s">
        <v>24</v>
      </c>
      <c r="F92">
        <v>57</v>
      </c>
      <c r="G92">
        <v>944.18</v>
      </c>
      <c r="H92" t="s">
        <v>655</v>
      </c>
      <c r="I92" t="s">
        <v>667</v>
      </c>
      <c r="J92" t="s">
        <v>669</v>
      </c>
    </row>
    <row r="93" spans="1:10" hidden="1" x14ac:dyDescent="0.45">
      <c r="A93" t="s">
        <v>760</v>
      </c>
      <c r="B93" s="1">
        <v>45066</v>
      </c>
      <c r="C93" t="s">
        <v>671</v>
      </c>
      <c r="D93" t="s">
        <v>665</v>
      </c>
      <c r="E93" t="s">
        <v>35</v>
      </c>
      <c r="F93">
        <v>55</v>
      </c>
      <c r="G93">
        <v>425.53</v>
      </c>
      <c r="H93" t="s">
        <v>655</v>
      </c>
      <c r="I93" t="s">
        <v>667</v>
      </c>
      <c r="J93" t="s">
        <v>660</v>
      </c>
    </row>
    <row r="94" spans="1:10" hidden="1" x14ac:dyDescent="0.45">
      <c r="A94" t="s">
        <v>761</v>
      </c>
      <c r="B94" s="1">
        <v>44698</v>
      </c>
      <c r="C94" t="s">
        <v>671</v>
      </c>
      <c r="D94" t="s">
        <v>663</v>
      </c>
      <c r="E94" t="s">
        <v>35</v>
      </c>
      <c r="F94">
        <v>47</v>
      </c>
      <c r="G94">
        <v>642.14</v>
      </c>
      <c r="H94" t="s">
        <v>655</v>
      </c>
      <c r="I94" t="s">
        <v>656</v>
      </c>
      <c r="J94" t="s">
        <v>674</v>
      </c>
    </row>
    <row r="95" spans="1:10" x14ac:dyDescent="0.45">
      <c r="A95" t="s">
        <v>762</v>
      </c>
      <c r="B95" s="1">
        <v>45026</v>
      </c>
      <c r="C95" t="s">
        <v>662</v>
      </c>
      <c r="D95" t="s">
        <v>665</v>
      </c>
      <c r="E95" t="s">
        <v>35</v>
      </c>
      <c r="F95">
        <v>12</v>
      </c>
      <c r="G95">
        <v>403.62</v>
      </c>
      <c r="H95" t="s">
        <v>666</v>
      </c>
      <c r="I95" t="s">
        <v>667</v>
      </c>
      <c r="J95" t="s">
        <v>669</v>
      </c>
    </row>
    <row r="96" spans="1:10" x14ac:dyDescent="0.45">
      <c r="A96" t="s">
        <v>763</v>
      </c>
      <c r="B96" s="1">
        <v>44983</v>
      </c>
      <c r="C96" t="s">
        <v>671</v>
      </c>
      <c r="D96" t="s">
        <v>672</v>
      </c>
      <c r="E96" t="s">
        <v>19</v>
      </c>
      <c r="F96">
        <v>62</v>
      </c>
      <c r="G96">
        <v>281.47000000000003</v>
      </c>
      <c r="H96" t="s">
        <v>666</v>
      </c>
      <c r="I96" t="s">
        <v>667</v>
      </c>
      <c r="J96" t="s">
        <v>669</v>
      </c>
    </row>
    <row r="97" spans="1:10" hidden="1" x14ac:dyDescent="0.45">
      <c r="A97" t="s">
        <v>764</v>
      </c>
      <c r="B97" s="1">
        <v>45022</v>
      </c>
      <c r="C97" t="s">
        <v>653</v>
      </c>
      <c r="D97" t="s">
        <v>654</v>
      </c>
      <c r="E97" t="s">
        <v>30</v>
      </c>
      <c r="F97">
        <v>80</v>
      </c>
      <c r="G97">
        <v>984.14</v>
      </c>
      <c r="H97" t="s">
        <v>655</v>
      </c>
      <c r="I97" t="s">
        <v>656</v>
      </c>
      <c r="J97" t="s">
        <v>660</v>
      </c>
    </row>
    <row r="98" spans="1:10" x14ac:dyDescent="0.45">
      <c r="A98" t="s">
        <v>765</v>
      </c>
      <c r="B98" s="1">
        <v>45110</v>
      </c>
      <c r="C98" t="s">
        <v>671</v>
      </c>
      <c r="D98" t="s">
        <v>665</v>
      </c>
      <c r="E98" t="s">
        <v>35</v>
      </c>
      <c r="F98">
        <v>88</v>
      </c>
      <c r="G98">
        <v>415.24</v>
      </c>
      <c r="H98" t="s">
        <v>666</v>
      </c>
      <c r="I98" t="s">
        <v>656</v>
      </c>
      <c r="J98" t="s">
        <v>660</v>
      </c>
    </row>
    <row r="99" spans="1:10" hidden="1" x14ac:dyDescent="0.45">
      <c r="A99" t="s">
        <v>766</v>
      </c>
      <c r="B99" s="1">
        <v>44964</v>
      </c>
      <c r="C99" t="s">
        <v>653</v>
      </c>
      <c r="D99" t="s">
        <v>654</v>
      </c>
      <c r="E99" t="s">
        <v>30</v>
      </c>
      <c r="F99">
        <v>83</v>
      </c>
      <c r="G99">
        <v>895.16</v>
      </c>
      <c r="H99" t="s">
        <v>655</v>
      </c>
      <c r="I99" t="s">
        <v>656</v>
      </c>
      <c r="J99" t="s">
        <v>660</v>
      </c>
    </row>
    <row r="100" spans="1:10" hidden="1" x14ac:dyDescent="0.45">
      <c r="A100" t="s">
        <v>767</v>
      </c>
      <c r="B100" s="1">
        <v>45279</v>
      </c>
      <c r="C100" t="s">
        <v>662</v>
      </c>
      <c r="D100" t="s">
        <v>665</v>
      </c>
      <c r="E100" t="s">
        <v>30</v>
      </c>
      <c r="F100">
        <v>8</v>
      </c>
      <c r="G100">
        <v>237.66</v>
      </c>
      <c r="H100" t="s">
        <v>655</v>
      </c>
      <c r="I100" t="s">
        <v>681</v>
      </c>
      <c r="J100" t="s">
        <v>674</v>
      </c>
    </row>
    <row r="101" spans="1:10" x14ac:dyDescent="0.45">
      <c r="A101" t="s">
        <v>768</v>
      </c>
      <c r="B101" s="1">
        <v>44648</v>
      </c>
      <c r="C101" t="s">
        <v>662</v>
      </c>
      <c r="D101" t="s">
        <v>663</v>
      </c>
      <c r="E101" t="s">
        <v>24</v>
      </c>
      <c r="F101">
        <v>95</v>
      </c>
      <c r="G101">
        <v>220.97</v>
      </c>
      <c r="H101" t="s">
        <v>666</v>
      </c>
      <c r="I101" t="s">
        <v>659</v>
      </c>
      <c r="J101" t="s">
        <v>669</v>
      </c>
    </row>
    <row r="102" spans="1:10" x14ac:dyDescent="0.45">
      <c r="A102" t="s">
        <v>769</v>
      </c>
      <c r="B102" s="1">
        <v>44674</v>
      </c>
      <c r="C102" t="s">
        <v>671</v>
      </c>
      <c r="D102" t="s">
        <v>663</v>
      </c>
      <c r="E102" t="s">
        <v>19</v>
      </c>
      <c r="F102">
        <v>21</v>
      </c>
      <c r="G102">
        <v>40.82</v>
      </c>
      <c r="H102" t="s">
        <v>666</v>
      </c>
      <c r="I102" t="s">
        <v>681</v>
      </c>
      <c r="J102" t="s">
        <v>657</v>
      </c>
    </row>
    <row r="103" spans="1:10" x14ac:dyDescent="0.45">
      <c r="A103" t="s">
        <v>770</v>
      </c>
      <c r="B103" s="1">
        <v>44696</v>
      </c>
      <c r="C103" t="s">
        <v>671</v>
      </c>
      <c r="D103" t="s">
        <v>672</v>
      </c>
      <c r="E103" t="s">
        <v>24</v>
      </c>
      <c r="F103">
        <v>81</v>
      </c>
      <c r="G103">
        <v>655.15</v>
      </c>
      <c r="H103" t="s">
        <v>666</v>
      </c>
      <c r="I103" t="s">
        <v>659</v>
      </c>
      <c r="J103" t="s">
        <v>669</v>
      </c>
    </row>
    <row r="104" spans="1:10" hidden="1" x14ac:dyDescent="0.45">
      <c r="A104" t="s">
        <v>771</v>
      </c>
      <c r="B104" s="1">
        <v>44994</v>
      </c>
      <c r="C104" t="s">
        <v>662</v>
      </c>
      <c r="D104" t="s">
        <v>665</v>
      </c>
      <c r="E104" t="s">
        <v>19</v>
      </c>
      <c r="F104">
        <v>87</v>
      </c>
      <c r="G104">
        <v>374.84</v>
      </c>
      <c r="H104" t="s">
        <v>655</v>
      </c>
      <c r="I104" t="s">
        <v>667</v>
      </c>
      <c r="J104" t="s">
        <v>657</v>
      </c>
    </row>
    <row r="105" spans="1:10" x14ac:dyDescent="0.45">
      <c r="A105" t="s">
        <v>772</v>
      </c>
      <c r="B105" s="1">
        <v>45166</v>
      </c>
      <c r="C105" t="s">
        <v>653</v>
      </c>
      <c r="D105" t="s">
        <v>654</v>
      </c>
      <c r="E105" t="s">
        <v>35</v>
      </c>
      <c r="F105">
        <v>80</v>
      </c>
      <c r="G105">
        <v>865.71</v>
      </c>
      <c r="H105" t="s">
        <v>666</v>
      </c>
      <c r="I105" t="s">
        <v>681</v>
      </c>
      <c r="J105" t="s">
        <v>674</v>
      </c>
    </row>
    <row r="106" spans="1:10" hidden="1" x14ac:dyDescent="0.45">
      <c r="A106" t="s">
        <v>773</v>
      </c>
      <c r="B106" s="1">
        <v>45271</v>
      </c>
      <c r="C106" t="s">
        <v>653</v>
      </c>
      <c r="D106" t="s">
        <v>672</v>
      </c>
      <c r="E106" t="s">
        <v>30</v>
      </c>
      <c r="F106">
        <v>70</v>
      </c>
      <c r="G106">
        <v>478.48</v>
      </c>
      <c r="H106" t="s">
        <v>655</v>
      </c>
      <c r="I106" t="s">
        <v>667</v>
      </c>
      <c r="J106" t="s">
        <v>669</v>
      </c>
    </row>
    <row r="107" spans="1:10" x14ac:dyDescent="0.45">
      <c r="A107" t="s">
        <v>774</v>
      </c>
      <c r="B107" s="1">
        <v>44583</v>
      </c>
      <c r="C107" t="s">
        <v>671</v>
      </c>
      <c r="D107" t="s">
        <v>663</v>
      </c>
      <c r="E107" t="s">
        <v>30</v>
      </c>
      <c r="F107">
        <v>72</v>
      </c>
      <c r="G107">
        <v>968.51</v>
      </c>
      <c r="H107" t="s">
        <v>666</v>
      </c>
      <c r="I107" t="s">
        <v>667</v>
      </c>
      <c r="J107" t="s">
        <v>660</v>
      </c>
    </row>
    <row r="108" spans="1:10" x14ac:dyDescent="0.45">
      <c r="A108" t="s">
        <v>775</v>
      </c>
      <c r="B108" s="1">
        <v>44991</v>
      </c>
      <c r="C108" t="s">
        <v>662</v>
      </c>
      <c r="D108" t="s">
        <v>663</v>
      </c>
      <c r="E108" t="s">
        <v>35</v>
      </c>
      <c r="F108">
        <v>25</v>
      </c>
      <c r="G108">
        <v>193.67</v>
      </c>
      <c r="H108" t="s">
        <v>666</v>
      </c>
      <c r="I108" t="s">
        <v>667</v>
      </c>
      <c r="J108" t="s">
        <v>674</v>
      </c>
    </row>
    <row r="109" spans="1:10" hidden="1" x14ac:dyDescent="0.45">
      <c r="A109" t="s">
        <v>776</v>
      </c>
      <c r="B109" s="1">
        <v>44599</v>
      </c>
      <c r="C109" t="s">
        <v>653</v>
      </c>
      <c r="D109" t="s">
        <v>654</v>
      </c>
      <c r="E109" t="s">
        <v>35</v>
      </c>
      <c r="F109">
        <v>82</v>
      </c>
      <c r="G109">
        <v>869.94</v>
      </c>
      <c r="H109" t="s">
        <v>655</v>
      </c>
      <c r="I109" t="s">
        <v>681</v>
      </c>
      <c r="J109" t="s">
        <v>674</v>
      </c>
    </row>
    <row r="110" spans="1:10" hidden="1" x14ac:dyDescent="0.45">
      <c r="A110" t="s">
        <v>777</v>
      </c>
      <c r="B110" s="1">
        <v>45072</v>
      </c>
      <c r="C110" t="s">
        <v>662</v>
      </c>
      <c r="D110" t="s">
        <v>665</v>
      </c>
      <c r="E110" t="s">
        <v>19</v>
      </c>
      <c r="F110">
        <v>89</v>
      </c>
      <c r="G110">
        <v>778.83</v>
      </c>
      <c r="H110" t="s">
        <v>655</v>
      </c>
      <c r="I110" t="s">
        <v>681</v>
      </c>
      <c r="J110" t="s">
        <v>657</v>
      </c>
    </row>
    <row r="111" spans="1:10" x14ac:dyDescent="0.45">
      <c r="A111" t="s">
        <v>778</v>
      </c>
      <c r="B111" s="1">
        <v>45104</v>
      </c>
      <c r="C111" t="s">
        <v>662</v>
      </c>
      <c r="D111" t="s">
        <v>672</v>
      </c>
      <c r="E111" t="s">
        <v>35</v>
      </c>
      <c r="F111">
        <v>12</v>
      </c>
      <c r="G111">
        <v>773.21</v>
      </c>
      <c r="H111" t="s">
        <v>666</v>
      </c>
      <c r="I111" t="s">
        <v>659</v>
      </c>
      <c r="J111" t="s">
        <v>674</v>
      </c>
    </row>
    <row r="112" spans="1:10" x14ac:dyDescent="0.45">
      <c r="A112" t="s">
        <v>779</v>
      </c>
      <c r="B112" s="1">
        <v>45135</v>
      </c>
      <c r="C112" t="s">
        <v>662</v>
      </c>
      <c r="D112" t="s">
        <v>654</v>
      </c>
      <c r="E112" t="s">
        <v>30</v>
      </c>
      <c r="F112">
        <v>15</v>
      </c>
      <c r="G112">
        <v>846.34</v>
      </c>
      <c r="H112" t="s">
        <v>666</v>
      </c>
      <c r="I112" t="s">
        <v>659</v>
      </c>
      <c r="J112" t="s">
        <v>669</v>
      </c>
    </row>
    <row r="113" spans="1:10" hidden="1" x14ac:dyDescent="0.45">
      <c r="A113" t="s">
        <v>780</v>
      </c>
      <c r="B113" s="1">
        <v>45250</v>
      </c>
      <c r="C113" t="s">
        <v>671</v>
      </c>
      <c r="D113" t="s">
        <v>654</v>
      </c>
      <c r="E113" t="s">
        <v>30</v>
      </c>
      <c r="F113">
        <v>59</v>
      </c>
      <c r="G113">
        <v>763.41</v>
      </c>
      <c r="H113" t="s">
        <v>655</v>
      </c>
      <c r="I113" t="s">
        <v>656</v>
      </c>
      <c r="J113" t="s">
        <v>674</v>
      </c>
    </row>
    <row r="114" spans="1:10" hidden="1" x14ac:dyDescent="0.45">
      <c r="A114" t="s">
        <v>781</v>
      </c>
      <c r="B114" s="1">
        <v>45033</v>
      </c>
      <c r="C114" t="s">
        <v>653</v>
      </c>
      <c r="D114" t="s">
        <v>654</v>
      </c>
      <c r="E114" t="s">
        <v>30</v>
      </c>
      <c r="F114">
        <v>26</v>
      </c>
      <c r="G114">
        <v>629.96</v>
      </c>
      <c r="H114" t="s">
        <v>655</v>
      </c>
      <c r="I114" t="s">
        <v>656</v>
      </c>
      <c r="J114" t="s">
        <v>660</v>
      </c>
    </row>
    <row r="115" spans="1:10" hidden="1" x14ac:dyDescent="0.45">
      <c r="A115" t="s">
        <v>782</v>
      </c>
      <c r="B115" s="1">
        <v>45152</v>
      </c>
      <c r="C115" t="s">
        <v>671</v>
      </c>
      <c r="D115" t="s">
        <v>665</v>
      </c>
      <c r="E115" t="s">
        <v>19</v>
      </c>
      <c r="F115">
        <v>26</v>
      </c>
      <c r="G115">
        <v>139.93</v>
      </c>
      <c r="H115" t="s">
        <v>655</v>
      </c>
      <c r="I115" t="s">
        <v>659</v>
      </c>
      <c r="J115" t="s">
        <v>657</v>
      </c>
    </row>
    <row r="116" spans="1:10" hidden="1" x14ac:dyDescent="0.45">
      <c r="A116" t="s">
        <v>783</v>
      </c>
      <c r="B116" s="1">
        <v>44564</v>
      </c>
      <c r="C116" t="s">
        <v>653</v>
      </c>
      <c r="D116" t="s">
        <v>663</v>
      </c>
      <c r="E116" t="s">
        <v>35</v>
      </c>
      <c r="F116">
        <v>47</v>
      </c>
      <c r="G116">
        <v>42.2</v>
      </c>
      <c r="H116" t="s">
        <v>655</v>
      </c>
      <c r="I116" t="s">
        <v>667</v>
      </c>
      <c r="J116" t="s">
        <v>674</v>
      </c>
    </row>
    <row r="117" spans="1:10" hidden="1" x14ac:dyDescent="0.45">
      <c r="A117" t="s">
        <v>784</v>
      </c>
      <c r="B117" s="1">
        <v>44919</v>
      </c>
      <c r="C117" t="s">
        <v>662</v>
      </c>
      <c r="D117" t="s">
        <v>663</v>
      </c>
      <c r="E117" t="s">
        <v>35</v>
      </c>
      <c r="F117">
        <v>32</v>
      </c>
      <c r="G117">
        <v>921.64</v>
      </c>
      <c r="H117" t="s">
        <v>655</v>
      </c>
      <c r="I117" t="s">
        <v>656</v>
      </c>
      <c r="J117" t="s">
        <v>657</v>
      </c>
    </row>
    <row r="118" spans="1:10" x14ac:dyDescent="0.45">
      <c r="A118" t="s">
        <v>785</v>
      </c>
      <c r="B118" s="1">
        <v>45162</v>
      </c>
      <c r="C118" t="s">
        <v>671</v>
      </c>
      <c r="D118" t="s">
        <v>663</v>
      </c>
      <c r="E118" t="s">
        <v>24</v>
      </c>
      <c r="F118">
        <v>10</v>
      </c>
      <c r="G118">
        <v>620.48</v>
      </c>
      <c r="H118" t="s">
        <v>666</v>
      </c>
      <c r="I118" t="s">
        <v>681</v>
      </c>
      <c r="J118" t="s">
        <v>660</v>
      </c>
    </row>
    <row r="119" spans="1:10" x14ac:dyDescent="0.45">
      <c r="A119" t="s">
        <v>786</v>
      </c>
      <c r="B119" s="1">
        <v>45082</v>
      </c>
      <c r="C119" t="s">
        <v>671</v>
      </c>
      <c r="D119" t="s">
        <v>663</v>
      </c>
      <c r="E119" t="s">
        <v>30</v>
      </c>
      <c r="F119">
        <v>16</v>
      </c>
      <c r="G119">
        <v>798.57</v>
      </c>
      <c r="H119" t="s">
        <v>666</v>
      </c>
      <c r="I119" t="s">
        <v>667</v>
      </c>
      <c r="J119" t="s">
        <v>660</v>
      </c>
    </row>
    <row r="120" spans="1:10" hidden="1" x14ac:dyDescent="0.45">
      <c r="A120" t="s">
        <v>787</v>
      </c>
      <c r="B120" s="1">
        <v>45290</v>
      </c>
      <c r="C120" t="s">
        <v>671</v>
      </c>
      <c r="D120" t="s">
        <v>665</v>
      </c>
      <c r="E120" t="s">
        <v>30</v>
      </c>
      <c r="F120">
        <v>71</v>
      </c>
      <c r="G120">
        <v>486.71</v>
      </c>
      <c r="H120" t="s">
        <v>655</v>
      </c>
      <c r="I120" t="s">
        <v>667</v>
      </c>
      <c r="J120" t="s">
        <v>657</v>
      </c>
    </row>
    <row r="121" spans="1:10" hidden="1" x14ac:dyDescent="0.45">
      <c r="A121" t="s">
        <v>788</v>
      </c>
      <c r="B121" s="1">
        <v>45230</v>
      </c>
      <c r="C121" t="s">
        <v>662</v>
      </c>
      <c r="D121" t="s">
        <v>665</v>
      </c>
      <c r="E121" t="s">
        <v>30</v>
      </c>
      <c r="F121">
        <v>17</v>
      </c>
      <c r="G121">
        <v>126.14</v>
      </c>
      <c r="H121" t="s">
        <v>655</v>
      </c>
      <c r="I121" t="s">
        <v>667</v>
      </c>
      <c r="J121" t="s">
        <v>657</v>
      </c>
    </row>
    <row r="122" spans="1:10" x14ac:dyDescent="0.45">
      <c r="A122" t="s">
        <v>789</v>
      </c>
      <c r="B122" s="1">
        <v>44877</v>
      </c>
      <c r="C122" t="s">
        <v>662</v>
      </c>
      <c r="D122" t="s">
        <v>654</v>
      </c>
      <c r="E122" t="s">
        <v>30</v>
      </c>
      <c r="F122">
        <v>23</v>
      </c>
      <c r="G122">
        <v>133.93</v>
      </c>
      <c r="H122" t="s">
        <v>666</v>
      </c>
      <c r="I122" t="s">
        <v>659</v>
      </c>
      <c r="J122" t="s">
        <v>660</v>
      </c>
    </row>
    <row r="123" spans="1:10" x14ac:dyDescent="0.45">
      <c r="A123" t="s">
        <v>790</v>
      </c>
      <c r="B123" s="1">
        <v>44657</v>
      </c>
      <c r="C123" t="s">
        <v>671</v>
      </c>
      <c r="D123" t="s">
        <v>663</v>
      </c>
      <c r="E123" t="s">
        <v>19</v>
      </c>
      <c r="F123">
        <v>26</v>
      </c>
      <c r="G123">
        <v>688.71</v>
      </c>
      <c r="H123" t="s">
        <v>666</v>
      </c>
      <c r="I123" t="s">
        <v>659</v>
      </c>
      <c r="J123" t="s">
        <v>657</v>
      </c>
    </row>
    <row r="124" spans="1:10" hidden="1" x14ac:dyDescent="0.45">
      <c r="A124" t="s">
        <v>791</v>
      </c>
      <c r="B124" s="1">
        <v>45134</v>
      </c>
      <c r="C124" t="s">
        <v>653</v>
      </c>
      <c r="D124" t="s">
        <v>672</v>
      </c>
      <c r="E124" t="s">
        <v>30</v>
      </c>
      <c r="F124">
        <v>85</v>
      </c>
      <c r="G124">
        <v>436</v>
      </c>
      <c r="H124" t="s">
        <v>655</v>
      </c>
      <c r="I124" t="s">
        <v>659</v>
      </c>
      <c r="J124" t="s">
        <v>669</v>
      </c>
    </row>
    <row r="125" spans="1:10" hidden="1" x14ac:dyDescent="0.45">
      <c r="A125" t="s">
        <v>792</v>
      </c>
      <c r="B125" s="1">
        <v>44643</v>
      </c>
      <c r="C125" t="s">
        <v>662</v>
      </c>
      <c r="D125" t="s">
        <v>672</v>
      </c>
      <c r="E125" t="s">
        <v>24</v>
      </c>
      <c r="F125">
        <v>86</v>
      </c>
      <c r="G125">
        <v>208.52</v>
      </c>
      <c r="H125" t="s">
        <v>655</v>
      </c>
      <c r="I125" t="s">
        <v>681</v>
      </c>
      <c r="J125" t="s">
        <v>660</v>
      </c>
    </row>
    <row r="126" spans="1:10" hidden="1" x14ac:dyDescent="0.45">
      <c r="A126" t="s">
        <v>793</v>
      </c>
      <c r="B126" s="1">
        <v>45143</v>
      </c>
      <c r="C126" t="s">
        <v>662</v>
      </c>
      <c r="D126" t="s">
        <v>663</v>
      </c>
      <c r="E126" t="s">
        <v>24</v>
      </c>
      <c r="F126">
        <v>7</v>
      </c>
      <c r="G126">
        <v>496.68</v>
      </c>
      <c r="H126" t="s">
        <v>655</v>
      </c>
      <c r="I126" t="s">
        <v>659</v>
      </c>
      <c r="J126" t="s">
        <v>674</v>
      </c>
    </row>
    <row r="127" spans="1:10" hidden="1" x14ac:dyDescent="0.45">
      <c r="A127" t="s">
        <v>794</v>
      </c>
      <c r="B127" s="1">
        <v>45225</v>
      </c>
      <c r="C127" t="s">
        <v>671</v>
      </c>
      <c r="D127" t="s">
        <v>672</v>
      </c>
      <c r="E127" t="s">
        <v>19</v>
      </c>
      <c r="F127">
        <v>14</v>
      </c>
      <c r="G127">
        <v>73.569999999999993</v>
      </c>
      <c r="H127" t="s">
        <v>655</v>
      </c>
      <c r="I127" t="s">
        <v>667</v>
      </c>
      <c r="J127" t="s">
        <v>657</v>
      </c>
    </row>
    <row r="128" spans="1:10" x14ac:dyDescent="0.45">
      <c r="A128" t="s">
        <v>795</v>
      </c>
      <c r="B128" s="1">
        <v>44637</v>
      </c>
      <c r="C128" t="s">
        <v>662</v>
      </c>
      <c r="D128" t="s">
        <v>654</v>
      </c>
      <c r="E128" t="s">
        <v>24</v>
      </c>
      <c r="F128">
        <v>79</v>
      </c>
      <c r="G128">
        <v>586.15</v>
      </c>
      <c r="H128" t="s">
        <v>666</v>
      </c>
      <c r="I128" t="s">
        <v>659</v>
      </c>
      <c r="J128" t="s">
        <v>660</v>
      </c>
    </row>
    <row r="129" spans="1:10" hidden="1" x14ac:dyDescent="0.45">
      <c r="A129" t="s">
        <v>796</v>
      </c>
      <c r="B129" s="1">
        <v>44704</v>
      </c>
      <c r="C129" t="s">
        <v>671</v>
      </c>
      <c r="D129" t="s">
        <v>654</v>
      </c>
      <c r="E129" t="s">
        <v>35</v>
      </c>
      <c r="F129">
        <v>7</v>
      </c>
      <c r="G129">
        <v>276.3</v>
      </c>
      <c r="H129" t="s">
        <v>655</v>
      </c>
      <c r="I129" t="s">
        <v>656</v>
      </c>
      <c r="J129" t="s">
        <v>669</v>
      </c>
    </row>
    <row r="130" spans="1:10" hidden="1" x14ac:dyDescent="0.45">
      <c r="A130" t="s">
        <v>797</v>
      </c>
      <c r="B130" s="1">
        <v>44747</v>
      </c>
      <c r="C130" t="s">
        <v>671</v>
      </c>
      <c r="D130" t="s">
        <v>654</v>
      </c>
      <c r="E130" t="s">
        <v>30</v>
      </c>
      <c r="F130">
        <v>9</v>
      </c>
      <c r="G130">
        <v>799.58</v>
      </c>
      <c r="H130" t="s">
        <v>655</v>
      </c>
      <c r="I130" t="s">
        <v>681</v>
      </c>
      <c r="J130" t="s">
        <v>674</v>
      </c>
    </row>
    <row r="131" spans="1:10" hidden="1" x14ac:dyDescent="0.45">
      <c r="A131" t="s">
        <v>798</v>
      </c>
      <c r="B131" s="1">
        <v>45160</v>
      </c>
      <c r="C131" t="s">
        <v>671</v>
      </c>
      <c r="D131" t="s">
        <v>654</v>
      </c>
      <c r="E131" t="s">
        <v>35</v>
      </c>
      <c r="F131">
        <v>48</v>
      </c>
      <c r="G131">
        <v>317.26</v>
      </c>
      <c r="H131" t="s">
        <v>655</v>
      </c>
      <c r="I131" t="s">
        <v>656</v>
      </c>
      <c r="J131" t="s">
        <v>669</v>
      </c>
    </row>
    <row r="132" spans="1:10" hidden="1" x14ac:dyDescent="0.45">
      <c r="A132" t="s">
        <v>799</v>
      </c>
      <c r="B132" s="1">
        <v>44997</v>
      </c>
      <c r="C132" t="s">
        <v>662</v>
      </c>
      <c r="D132" t="s">
        <v>665</v>
      </c>
      <c r="E132" t="s">
        <v>35</v>
      </c>
      <c r="F132">
        <v>72</v>
      </c>
      <c r="G132">
        <v>460.67</v>
      </c>
      <c r="H132" t="s">
        <v>655</v>
      </c>
      <c r="I132" t="s">
        <v>681</v>
      </c>
      <c r="J132" t="s">
        <v>674</v>
      </c>
    </row>
    <row r="133" spans="1:10" x14ac:dyDescent="0.45">
      <c r="A133" t="s">
        <v>800</v>
      </c>
      <c r="B133" s="1">
        <v>44985</v>
      </c>
      <c r="C133" t="s">
        <v>653</v>
      </c>
      <c r="D133" t="s">
        <v>654</v>
      </c>
      <c r="E133" t="s">
        <v>24</v>
      </c>
      <c r="F133">
        <v>59</v>
      </c>
      <c r="G133">
        <v>21.5</v>
      </c>
      <c r="H133" t="s">
        <v>666</v>
      </c>
      <c r="I133" t="s">
        <v>681</v>
      </c>
      <c r="J133" t="s">
        <v>660</v>
      </c>
    </row>
    <row r="134" spans="1:10" x14ac:dyDescent="0.45">
      <c r="A134" t="s">
        <v>801</v>
      </c>
      <c r="B134" s="1">
        <v>44791</v>
      </c>
      <c r="C134" t="s">
        <v>662</v>
      </c>
      <c r="D134" t="s">
        <v>672</v>
      </c>
      <c r="E134" t="s">
        <v>35</v>
      </c>
      <c r="F134">
        <v>87</v>
      </c>
      <c r="G134">
        <v>81.72</v>
      </c>
      <c r="H134" t="s">
        <v>666</v>
      </c>
      <c r="I134" t="s">
        <v>656</v>
      </c>
      <c r="J134" t="s">
        <v>657</v>
      </c>
    </row>
    <row r="135" spans="1:10" hidden="1" x14ac:dyDescent="0.45">
      <c r="A135" t="s">
        <v>802</v>
      </c>
      <c r="B135" s="1">
        <v>44737</v>
      </c>
      <c r="C135" t="s">
        <v>671</v>
      </c>
      <c r="D135" t="s">
        <v>665</v>
      </c>
      <c r="E135" t="s">
        <v>30</v>
      </c>
      <c r="F135">
        <v>93</v>
      </c>
      <c r="G135">
        <v>398.57</v>
      </c>
      <c r="H135" t="s">
        <v>655</v>
      </c>
      <c r="I135" t="s">
        <v>667</v>
      </c>
      <c r="J135" t="s">
        <v>674</v>
      </c>
    </row>
    <row r="136" spans="1:10" hidden="1" x14ac:dyDescent="0.45">
      <c r="A136" t="s">
        <v>803</v>
      </c>
      <c r="B136" s="1">
        <v>45200</v>
      </c>
      <c r="C136" t="s">
        <v>671</v>
      </c>
      <c r="D136" t="s">
        <v>663</v>
      </c>
      <c r="E136" t="s">
        <v>19</v>
      </c>
      <c r="F136">
        <v>82</v>
      </c>
      <c r="G136">
        <v>485.14</v>
      </c>
      <c r="H136" t="s">
        <v>655</v>
      </c>
      <c r="I136" t="s">
        <v>681</v>
      </c>
      <c r="J136" t="s">
        <v>674</v>
      </c>
    </row>
    <row r="137" spans="1:10" x14ac:dyDescent="0.45">
      <c r="A137" t="s">
        <v>804</v>
      </c>
      <c r="B137" s="1">
        <v>44564</v>
      </c>
      <c r="C137" t="s">
        <v>671</v>
      </c>
      <c r="D137" t="s">
        <v>663</v>
      </c>
      <c r="E137" t="s">
        <v>24</v>
      </c>
      <c r="F137">
        <v>95</v>
      </c>
      <c r="G137">
        <v>604.02</v>
      </c>
      <c r="H137" t="s">
        <v>666</v>
      </c>
      <c r="I137" t="s">
        <v>656</v>
      </c>
      <c r="J137" t="s">
        <v>674</v>
      </c>
    </row>
    <row r="138" spans="1:10" hidden="1" x14ac:dyDescent="0.45">
      <c r="A138" t="s">
        <v>805</v>
      </c>
      <c r="B138" s="1">
        <v>45028</v>
      </c>
      <c r="C138" t="s">
        <v>653</v>
      </c>
      <c r="D138" t="s">
        <v>654</v>
      </c>
      <c r="E138" t="s">
        <v>30</v>
      </c>
      <c r="F138">
        <v>94</v>
      </c>
      <c r="G138">
        <v>298.75</v>
      </c>
      <c r="H138" t="s">
        <v>655</v>
      </c>
      <c r="I138" t="s">
        <v>667</v>
      </c>
      <c r="J138" t="s">
        <v>674</v>
      </c>
    </row>
    <row r="139" spans="1:10" x14ac:dyDescent="0.45">
      <c r="A139" t="s">
        <v>806</v>
      </c>
      <c r="B139" s="1">
        <v>45272</v>
      </c>
      <c r="C139" t="s">
        <v>671</v>
      </c>
      <c r="D139" t="s">
        <v>672</v>
      </c>
      <c r="E139" t="s">
        <v>30</v>
      </c>
      <c r="F139">
        <v>39</v>
      </c>
      <c r="G139">
        <v>698.03</v>
      </c>
      <c r="H139" t="s">
        <v>666</v>
      </c>
      <c r="I139" t="s">
        <v>656</v>
      </c>
      <c r="J139" t="s">
        <v>660</v>
      </c>
    </row>
    <row r="140" spans="1:10" hidden="1" x14ac:dyDescent="0.45">
      <c r="A140" t="s">
        <v>807</v>
      </c>
      <c r="B140" s="1">
        <v>45106</v>
      </c>
      <c r="C140" t="s">
        <v>653</v>
      </c>
      <c r="D140" t="s">
        <v>654</v>
      </c>
      <c r="E140" t="s">
        <v>35</v>
      </c>
      <c r="F140">
        <v>99</v>
      </c>
      <c r="G140">
        <v>861.52</v>
      </c>
      <c r="H140" t="s">
        <v>655</v>
      </c>
      <c r="I140" t="s">
        <v>659</v>
      </c>
      <c r="J140" t="s">
        <v>660</v>
      </c>
    </row>
    <row r="141" spans="1:10" x14ac:dyDescent="0.45">
      <c r="A141" t="s">
        <v>808</v>
      </c>
      <c r="B141" s="1">
        <v>45288</v>
      </c>
      <c r="C141" t="s">
        <v>671</v>
      </c>
      <c r="D141" t="s">
        <v>654</v>
      </c>
      <c r="E141" t="s">
        <v>19</v>
      </c>
      <c r="F141">
        <v>18</v>
      </c>
      <c r="G141">
        <v>782.05</v>
      </c>
      <c r="H141" t="s">
        <v>666</v>
      </c>
      <c r="I141" t="s">
        <v>681</v>
      </c>
      <c r="J141" t="s">
        <v>674</v>
      </c>
    </row>
    <row r="142" spans="1:10" x14ac:dyDescent="0.45">
      <c r="A142" t="s">
        <v>809</v>
      </c>
      <c r="B142" s="1">
        <v>44860</v>
      </c>
      <c r="C142" t="s">
        <v>653</v>
      </c>
      <c r="D142" t="s">
        <v>654</v>
      </c>
      <c r="E142" t="s">
        <v>24</v>
      </c>
      <c r="F142">
        <v>59</v>
      </c>
      <c r="G142">
        <v>49.22</v>
      </c>
      <c r="H142" t="s">
        <v>666</v>
      </c>
      <c r="I142" t="s">
        <v>667</v>
      </c>
      <c r="J142" t="s">
        <v>669</v>
      </c>
    </row>
    <row r="143" spans="1:10" x14ac:dyDescent="0.45">
      <c r="A143" t="s">
        <v>810</v>
      </c>
      <c r="B143" s="1">
        <v>44679</v>
      </c>
      <c r="C143" t="s">
        <v>662</v>
      </c>
      <c r="D143" t="s">
        <v>665</v>
      </c>
      <c r="E143" t="s">
        <v>24</v>
      </c>
      <c r="F143">
        <v>17</v>
      </c>
      <c r="G143">
        <v>485.7</v>
      </c>
      <c r="H143" t="s">
        <v>666</v>
      </c>
      <c r="I143" t="s">
        <v>667</v>
      </c>
      <c r="J143" t="s">
        <v>660</v>
      </c>
    </row>
    <row r="144" spans="1:10" x14ac:dyDescent="0.45">
      <c r="A144" t="s">
        <v>811</v>
      </c>
      <c r="B144" s="1">
        <v>44668</v>
      </c>
      <c r="C144" t="s">
        <v>662</v>
      </c>
      <c r="D144" t="s">
        <v>672</v>
      </c>
      <c r="E144" t="s">
        <v>35</v>
      </c>
      <c r="F144">
        <v>14</v>
      </c>
      <c r="G144">
        <v>113.88</v>
      </c>
      <c r="H144" t="s">
        <v>666</v>
      </c>
      <c r="I144" t="s">
        <v>659</v>
      </c>
      <c r="J144" t="s">
        <v>674</v>
      </c>
    </row>
    <row r="145" spans="1:10" x14ac:dyDescent="0.45">
      <c r="A145" t="s">
        <v>812</v>
      </c>
      <c r="B145" s="1">
        <v>45291</v>
      </c>
      <c r="C145" t="s">
        <v>653</v>
      </c>
      <c r="D145" t="s">
        <v>654</v>
      </c>
      <c r="E145" t="s">
        <v>30</v>
      </c>
      <c r="F145">
        <v>31</v>
      </c>
      <c r="G145">
        <v>249.62</v>
      </c>
      <c r="H145" t="s">
        <v>666</v>
      </c>
      <c r="I145" t="s">
        <v>667</v>
      </c>
      <c r="J145" t="s">
        <v>669</v>
      </c>
    </row>
    <row r="146" spans="1:10" hidden="1" x14ac:dyDescent="0.45">
      <c r="A146" t="s">
        <v>813</v>
      </c>
      <c r="B146" s="1">
        <v>44650</v>
      </c>
      <c r="C146" t="s">
        <v>671</v>
      </c>
      <c r="D146" t="s">
        <v>672</v>
      </c>
      <c r="E146" t="s">
        <v>19</v>
      </c>
      <c r="F146">
        <v>24</v>
      </c>
      <c r="G146">
        <v>986.8</v>
      </c>
      <c r="H146" t="s">
        <v>655</v>
      </c>
      <c r="I146" t="s">
        <v>659</v>
      </c>
      <c r="J146" t="s">
        <v>674</v>
      </c>
    </row>
    <row r="147" spans="1:10" hidden="1" x14ac:dyDescent="0.45">
      <c r="A147" t="s">
        <v>814</v>
      </c>
      <c r="B147" s="1">
        <v>44600</v>
      </c>
      <c r="C147" t="s">
        <v>662</v>
      </c>
      <c r="D147" t="s">
        <v>672</v>
      </c>
      <c r="E147" t="s">
        <v>19</v>
      </c>
      <c r="F147">
        <v>99</v>
      </c>
      <c r="G147">
        <v>151.07</v>
      </c>
      <c r="H147" t="s">
        <v>655</v>
      </c>
      <c r="I147" t="s">
        <v>681</v>
      </c>
      <c r="J147" t="s">
        <v>657</v>
      </c>
    </row>
    <row r="148" spans="1:10" hidden="1" x14ac:dyDescent="0.45">
      <c r="A148" t="s">
        <v>815</v>
      </c>
      <c r="B148" s="1">
        <v>44682</v>
      </c>
      <c r="C148" t="s">
        <v>662</v>
      </c>
      <c r="D148" t="s">
        <v>663</v>
      </c>
      <c r="E148" t="s">
        <v>30</v>
      </c>
      <c r="F148">
        <v>60</v>
      </c>
      <c r="G148">
        <v>503.9</v>
      </c>
      <c r="H148" t="s">
        <v>655</v>
      </c>
      <c r="I148" t="s">
        <v>667</v>
      </c>
      <c r="J148" t="s">
        <v>660</v>
      </c>
    </row>
    <row r="149" spans="1:10" hidden="1" x14ac:dyDescent="0.45">
      <c r="A149" t="s">
        <v>816</v>
      </c>
      <c r="B149" s="1">
        <v>44989</v>
      </c>
      <c r="C149" t="s">
        <v>662</v>
      </c>
      <c r="D149" t="s">
        <v>654</v>
      </c>
      <c r="E149" t="s">
        <v>35</v>
      </c>
      <c r="F149">
        <v>45</v>
      </c>
      <c r="G149">
        <v>621.97</v>
      </c>
      <c r="H149" t="s">
        <v>655</v>
      </c>
      <c r="I149" t="s">
        <v>667</v>
      </c>
      <c r="J149" t="s">
        <v>669</v>
      </c>
    </row>
    <row r="150" spans="1:10" x14ac:dyDescent="0.45">
      <c r="A150" t="s">
        <v>817</v>
      </c>
      <c r="B150" s="1">
        <v>44914</v>
      </c>
      <c r="C150" t="s">
        <v>653</v>
      </c>
      <c r="D150" t="s">
        <v>665</v>
      </c>
      <c r="E150" t="s">
        <v>19</v>
      </c>
      <c r="F150">
        <v>98</v>
      </c>
      <c r="G150">
        <v>705.44</v>
      </c>
      <c r="H150" t="s">
        <v>666</v>
      </c>
      <c r="I150" t="s">
        <v>667</v>
      </c>
      <c r="J150" t="s">
        <v>657</v>
      </c>
    </row>
    <row r="151" spans="1:10" hidden="1" x14ac:dyDescent="0.45">
      <c r="A151" t="s">
        <v>818</v>
      </c>
      <c r="B151" s="1">
        <v>45239</v>
      </c>
      <c r="C151" t="s">
        <v>653</v>
      </c>
      <c r="D151" t="s">
        <v>654</v>
      </c>
      <c r="E151" t="s">
        <v>30</v>
      </c>
      <c r="F151">
        <v>3</v>
      </c>
      <c r="G151">
        <v>564.04999999999995</v>
      </c>
      <c r="H151" t="s">
        <v>655</v>
      </c>
      <c r="I151" t="s">
        <v>656</v>
      </c>
      <c r="J151" t="s">
        <v>657</v>
      </c>
    </row>
    <row r="152" spans="1:10" hidden="1" x14ac:dyDescent="0.45">
      <c r="A152" t="s">
        <v>819</v>
      </c>
      <c r="B152" s="1">
        <v>45052</v>
      </c>
      <c r="C152" t="s">
        <v>653</v>
      </c>
      <c r="D152" t="s">
        <v>665</v>
      </c>
      <c r="E152" t="s">
        <v>35</v>
      </c>
      <c r="F152">
        <v>37</v>
      </c>
      <c r="G152">
        <v>19.670000000000002</v>
      </c>
      <c r="H152" t="s">
        <v>655</v>
      </c>
      <c r="I152" t="s">
        <v>667</v>
      </c>
      <c r="J152" t="s">
        <v>674</v>
      </c>
    </row>
    <row r="153" spans="1:10" x14ac:dyDescent="0.45">
      <c r="A153" t="s">
        <v>820</v>
      </c>
      <c r="B153" s="1">
        <v>44997</v>
      </c>
      <c r="C153" t="s">
        <v>653</v>
      </c>
      <c r="D153" t="s">
        <v>654</v>
      </c>
      <c r="E153" t="s">
        <v>24</v>
      </c>
      <c r="F153">
        <v>43</v>
      </c>
      <c r="G153">
        <v>333.2</v>
      </c>
      <c r="H153" t="s">
        <v>666</v>
      </c>
      <c r="I153" t="s">
        <v>667</v>
      </c>
      <c r="J153" t="s">
        <v>660</v>
      </c>
    </row>
    <row r="154" spans="1:10" hidden="1" x14ac:dyDescent="0.45">
      <c r="A154" t="s">
        <v>821</v>
      </c>
      <c r="B154" s="1">
        <v>44801</v>
      </c>
      <c r="C154" t="s">
        <v>662</v>
      </c>
      <c r="D154" t="s">
        <v>654</v>
      </c>
      <c r="E154" t="s">
        <v>30</v>
      </c>
      <c r="F154">
        <v>40</v>
      </c>
      <c r="G154">
        <v>522.53</v>
      </c>
      <c r="H154" t="s">
        <v>655</v>
      </c>
      <c r="I154" t="s">
        <v>681</v>
      </c>
      <c r="J154" t="s">
        <v>657</v>
      </c>
    </row>
    <row r="155" spans="1:10" hidden="1" x14ac:dyDescent="0.45">
      <c r="A155" t="s">
        <v>822</v>
      </c>
      <c r="B155" s="1">
        <v>44915</v>
      </c>
      <c r="C155" t="s">
        <v>671</v>
      </c>
      <c r="D155" t="s">
        <v>654</v>
      </c>
      <c r="E155" t="s">
        <v>19</v>
      </c>
      <c r="F155">
        <v>90</v>
      </c>
      <c r="G155">
        <v>96.99</v>
      </c>
      <c r="H155" t="s">
        <v>655</v>
      </c>
      <c r="I155" t="s">
        <v>667</v>
      </c>
      <c r="J155" t="s">
        <v>660</v>
      </c>
    </row>
    <row r="156" spans="1:10" hidden="1" x14ac:dyDescent="0.45">
      <c r="A156" t="s">
        <v>823</v>
      </c>
      <c r="B156" s="1">
        <v>44922</v>
      </c>
      <c r="C156" t="s">
        <v>653</v>
      </c>
      <c r="D156" t="s">
        <v>665</v>
      </c>
      <c r="E156" t="s">
        <v>35</v>
      </c>
      <c r="F156">
        <v>55</v>
      </c>
      <c r="G156">
        <v>357.12</v>
      </c>
      <c r="H156" t="s">
        <v>655</v>
      </c>
      <c r="I156" t="s">
        <v>659</v>
      </c>
      <c r="J156" t="s">
        <v>660</v>
      </c>
    </row>
    <row r="157" spans="1:10" x14ac:dyDescent="0.45">
      <c r="A157" t="s">
        <v>824</v>
      </c>
      <c r="B157" s="1">
        <v>44904</v>
      </c>
      <c r="C157" t="s">
        <v>653</v>
      </c>
      <c r="D157" t="s">
        <v>654</v>
      </c>
      <c r="E157" t="s">
        <v>19</v>
      </c>
      <c r="F157">
        <v>87</v>
      </c>
      <c r="G157">
        <v>42.87</v>
      </c>
      <c r="H157" t="s">
        <v>666</v>
      </c>
      <c r="I157" t="s">
        <v>681</v>
      </c>
      <c r="J157" t="s">
        <v>657</v>
      </c>
    </row>
    <row r="158" spans="1:10" hidden="1" x14ac:dyDescent="0.45">
      <c r="A158" t="s">
        <v>825</v>
      </c>
      <c r="B158" s="1">
        <v>45186</v>
      </c>
      <c r="C158" t="s">
        <v>662</v>
      </c>
      <c r="D158" t="s">
        <v>665</v>
      </c>
      <c r="E158" t="s">
        <v>30</v>
      </c>
      <c r="F158">
        <v>39</v>
      </c>
      <c r="G158">
        <v>87.79</v>
      </c>
      <c r="H158" t="s">
        <v>655</v>
      </c>
      <c r="I158" t="s">
        <v>659</v>
      </c>
      <c r="J158" t="s">
        <v>669</v>
      </c>
    </row>
    <row r="159" spans="1:10" hidden="1" x14ac:dyDescent="0.45">
      <c r="A159" t="s">
        <v>826</v>
      </c>
      <c r="B159" s="1">
        <v>44770</v>
      </c>
      <c r="C159" t="s">
        <v>662</v>
      </c>
      <c r="D159" t="s">
        <v>665</v>
      </c>
      <c r="E159" t="s">
        <v>35</v>
      </c>
      <c r="F159">
        <v>15</v>
      </c>
      <c r="G159">
        <v>402.95</v>
      </c>
      <c r="H159" t="s">
        <v>655</v>
      </c>
      <c r="I159" t="s">
        <v>659</v>
      </c>
      <c r="J159" t="s">
        <v>669</v>
      </c>
    </row>
    <row r="160" spans="1:10" x14ac:dyDescent="0.45">
      <c r="A160" t="s">
        <v>827</v>
      </c>
      <c r="B160" s="1">
        <v>44871</v>
      </c>
      <c r="C160" t="s">
        <v>662</v>
      </c>
      <c r="D160" t="s">
        <v>663</v>
      </c>
      <c r="E160" t="s">
        <v>35</v>
      </c>
      <c r="F160">
        <v>4</v>
      </c>
      <c r="G160">
        <v>141.38999999999999</v>
      </c>
      <c r="H160" t="s">
        <v>666</v>
      </c>
      <c r="I160" t="s">
        <v>656</v>
      </c>
      <c r="J160" t="s">
        <v>660</v>
      </c>
    </row>
    <row r="161" spans="1:10" hidden="1" x14ac:dyDescent="0.45">
      <c r="A161" t="s">
        <v>828</v>
      </c>
      <c r="B161" s="1">
        <v>44655</v>
      </c>
      <c r="C161" t="s">
        <v>671</v>
      </c>
      <c r="D161" t="s">
        <v>672</v>
      </c>
      <c r="E161" t="s">
        <v>30</v>
      </c>
      <c r="F161">
        <v>93</v>
      </c>
      <c r="G161">
        <v>571.87</v>
      </c>
      <c r="H161" t="s">
        <v>655</v>
      </c>
      <c r="I161" t="s">
        <v>659</v>
      </c>
      <c r="J161" t="s">
        <v>660</v>
      </c>
    </row>
    <row r="162" spans="1:10" hidden="1" x14ac:dyDescent="0.45">
      <c r="A162" t="s">
        <v>829</v>
      </c>
      <c r="B162" s="1">
        <v>44604</v>
      </c>
      <c r="C162" t="s">
        <v>653</v>
      </c>
      <c r="D162" t="s">
        <v>654</v>
      </c>
      <c r="E162" t="s">
        <v>30</v>
      </c>
      <c r="F162">
        <v>86</v>
      </c>
      <c r="G162">
        <v>692.57</v>
      </c>
      <c r="H162" t="s">
        <v>655</v>
      </c>
      <c r="I162" t="s">
        <v>667</v>
      </c>
      <c r="J162" t="s">
        <v>657</v>
      </c>
    </row>
    <row r="163" spans="1:10" hidden="1" x14ac:dyDescent="0.45">
      <c r="A163" t="s">
        <v>830</v>
      </c>
      <c r="B163" s="1">
        <v>45222</v>
      </c>
      <c r="C163" t="s">
        <v>671</v>
      </c>
      <c r="D163" t="s">
        <v>663</v>
      </c>
      <c r="E163" t="s">
        <v>30</v>
      </c>
      <c r="F163">
        <v>25</v>
      </c>
      <c r="G163">
        <v>802.58</v>
      </c>
      <c r="H163" t="s">
        <v>655</v>
      </c>
      <c r="I163" t="s">
        <v>681</v>
      </c>
      <c r="J163" t="s">
        <v>660</v>
      </c>
    </row>
    <row r="164" spans="1:10" hidden="1" x14ac:dyDescent="0.45">
      <c r="A164" t="s">
        <v>831</v>
      </c>
      <c r="B164" s="1">
        <v>44786</v>
      </c>
      <c r="C164" t="s">
        <v>653</v>
      </c>
      <c r="D164" t="s">
        <v>654</v>
      </c>
      <c r="E164" t="s">
        <v>24</v>
      </c>
      <c r="F164">
        <v>13</v>
      </c>
      <c r="G164">
        <v>208.15</v>
      </c>
      <c r="H164" t="s">
        <v>655</v>
      </c>
      <c r="I164" t="s">
        <v>667</v>
      </c>
      <c r="J164" t="s">
        <v>669</v>
      </c>
    </row>
    <row r="165" spans="1:10" x14ac:dyDescent="0.45">
      <c r="A165" t="s">
        <v>832</v>
      </c>
      <c r="B165" s="1">
        <v>44629</v>
      </c>
      <c r="C165" t="s">
        <v>662</v>
      </c>
      <c r="D165" t="s">
        <v>665</v>
      </c>
      <c r="E165" t="s">
        <v>30</v>
      </c>
      <c r="F165">
        <v>82</v>
      </c>
      <c r="G165">
        <v>175.81</v>
      </c>
      <c r="H165" t="s">
        <v>666</v>
      </c>
      <c r="I165" t="s">
        <v>656</v>
      </c>
      <c r="J165" t="s">
        <v>669</v>
      </c>
    </row>
    <row r="166" spans="1:10" hidden="1" x14ac:dyDescent="0.45">
      <c r="A166" t="s">
        <v>833</v>
      </c>
      <c r="B166" s="1">
        <v>44617</v>
      </c>
      <c r="C166" t="s">
        <v>671</v>
      </c>
      <c r="D166" t="s">
        <v>672</v>
      </c>
      <c r="E166" t="s">
        <v>19</v>
      </c>
      <c r="F166">
        <v>33</v>
      </c>
      <c r="G166">
        <v>113.52</v>
      </c>
      <c r="H166" t="s">
        <v>655</v>
      </c>
      <c r="I166" t="s">
        <v>659</v>
      </c>
      <c r="J166" t="s">
        <v>660</v>
      </c>
    </row>
    <row r="167" spans="1:10" hidden="1" x14ac:dyDescent="0.45">
      <c r="A167" t="s">
        <v>834</v>
      </c>
      <c r="B167" s="1">
        <v>44887</v>
      </c>
      <c r="C167" t="s">
        <v>671</v>
      </c>
      <c r="D167" t="s">
        <v>672</v>
      </c>
      <c r="E167" t="s">
        <v>19</v>
      </c>
      <c r="F167">
        <v>16</v>
      </c>
      <c r="G167">
        <v>640.07000000000005</v>
      </c>
      <c r="H167" t="s">
        <v>655</v>
      </c>
      <c r="I167" t="s">
        <v>667</v>
      </c>
      <c r="J167" t="s">
        <v>669</v>
      </c>
    </row>
    <row r="168" spans="1:10" hidden="1" x14ac:dyDescent="0.45">
      <c r="A168" t="s">
        <v>835</v>
      </c>
      <c r="B168" s="1">
        <v>45173</v>
      </c>
      <c r="C168" t="s">
        <v>662</v>
      </c>
      <c r="D168" t="s">
        <v>672</v>
      </c>
      <c r="E168" t="s">
        <v>30</v>
      </c>
      <c r="F168">
        <v>42</v>
      </c>
      <c r="G168">
        <v>709.41</v>
      </c>
      <c r="H168" t="s">
        <v>655</v>
      </c>
      <c r="I168" t="s">
        <v>667</v>
      </c>
      <c r="J168" t="s">
        <v>657</v>
      </c>
    </row>
    <row r="169" spans="1:10" hidden="1" x14ac:dyDescent="0.45">
      <c r="A169" t="s">
        <v>836</v>
      </c>
      <c r="B169" s="1">
        <v>44588</v>
      </c>
      <c r="C169" t="s">
        <v>662</v>
      </c>
      <c r="D169" t="s">
        <v>672</v>
      </c>
      <c r="E169" t="s">
        <v>35</v>
      </c>
      <c r="F169">
        <v>66</v>
      </c>
      <c r="G169">
        <v>41.27</v>
      </c>
      <c r="H169" t="s">
        <v>655</v>
      </c>
      <c r="I169" t="s">
        <v>667</v>
      </c>
      <c r="J169" t="s">
        <v>660</v>
      </c>
    </row>
    <row r="170" spans="1:10" x14ac:dyDescent="0.45">
      <c r="A170" t="s">
        <v>837</v>
      </c>
      <c r="B170" s="1">
        <v>44859</v>
      </c>
      <c r="C170" t="s">
        <v>653</v>
      </c>
      <c r="D170" t="s">
        <v>665</v>
      </c>
      <c r="E170" t="s">
        <v>35</v>
      </c>
      <c r="F170">
        <v>55</v>
      </c>
      <c r="G170">
        <v>936.85</v>
      </c>
      <c r="H170" t="s">
        <v>666</v>
      </c>
      <c r="I170" t="s">
        <v>659</v>
      </c>
      <c r="J170" t="s">
        <v>669</v>
      </c>
    </row>
    <row r="171" spans="1:10" x14ac:dyDescent="0.45">
      <c r="A171" t="s">
        <v>838</v>
      </c>
      <c r="B171" s="1">
        <v>44946</v>
      </c>
      <c r="C171" t="s">
        <v>671</v>
      </c>
      <c r="D171" t="s">
        <v>665</v>
      </c>
      <c r="E171" t="s">
        <v>30</v>
      </c>
      <c r="F171">
        <v>99</v>
      </c>
      <c r="G171">
        <v>61.45</v>
      </c>
      <c r="H171" t="s">
        <v>666</v>
      </c>
      <c r="I171" t="s">
        <v>667</v>
      </c>
      <c r="J171" t="s">
        <v>657</v>
      </c>
    </row>
    <row r="172" spans="1:10" hidden="1" x14ac:dyDescent="0.45">
      <c r="A172" t="s">
        <v>839</v>
      </c>
      <c r="B172" s="1">
        <v>44585</v>
      </c>
      <c r="C172" t="s">
        <v>671</v>
      </c>
      <c r="D172" t="s">
        <v>654</v>
      </c>
      <c r="E172" t="s">
        <v>24</v>
      </c>
      <c r="F172">
        <v>42</v>
      </c>
      <c r="G172">
        <v>545.88</v>
      </c>
      <c r="H172" t="s">
        <v>655</v>
      </c>
      <c r="I172" t="s">
        <v>681</v>
      </c>
      <c r="J172" t="s">
        <v>674</v>
      </c>
    </row>
    <row r="173" spans="1:10" x14ac:dyDescent="0.45">
      <c r="A173" t="s">
        <v>840</v>
      </c>
      <c r="B173" s="1">
        <v>44868</v>
      </c>
      <c r="C173" t="s">
        <v>662</v>
      </c>
      <c r="D173" t="s">
        <v>654</v>
      </c>
      <c r="E173" t="s">
        <v>19</v>
      </c>
      <c r="F173">
        <v>34</v>
      </c>
      <c r="G173">
        <v>711.97</v>
      </c>
      <c r="H173" t="s">
        <v>666</v>
      </c>
      <c r="I173" t="s">
        <v>681</v>
      </c>
      <c r="J173" t="s">
        <v>657</v>
      </c>
    </row>
    <row r="174" spans="1:10" hidden="1" x14ac:dyDescent="0.45">
      <c r="A174" t="s">
        <v>841</v>
      </c>
      <c r="B174" s="1">
        <v>45046</v>
      </c>
      <c r="C174" t="s">
        <v>671</v>
      </c>
      <c r="D174" t="s">
        <v>665</v>
      </c>
      <c r="E174" t="s">
        <v>19</v>
      </c>
      <c r="F174">
        <v>30</v>
      </c>
      <c r="G174">
        <v>872.26</v>
      </c>
      <c r="H174" t="s">
        <v>655</v>
      </c>
      <c r="I174" t="s">
        <v>656</v>
      </c>
      <c r="J174" t="s">
        <v>660</v>
      </c>
    </row>
    <row r="175" spans="1:10" x14ac:dyDescent="0.45">
      <c r="A175" t="s">
        <v>842</v>
      </c>
      <c r="B175" s="1">
        <v>45200</v>
      </c>
      <c r="C175" t="s">
        <v>662</v>
      </c>
      <c r="D175" t="s">
        <v>665</v>
      </c>
      <c r="E175" t="s">
        <v>30</v>
      </c>
      <c r="F175">
        <v>13</v>
      </c>
      <c r="G175">
        <v>716.95</v>
      </c>
      <c r="H175" t="s">
        <v>666</v>
      </c>
      <c r="I175" t="s">
        <v>659</v>
      </c>
      <c r="J175" t="s">
        <v>657</v>
      </c>
    </row>
    <row r="176" spans="1:10" x14ac:dyDescent="0.45">
      <c r="A176" t="s">
        <v>843</v>
      </c>
      <c r="B176" s="1">
        <v>45132</v>
      </c>
      <c r="C176" t="s">
        <v>662</v>
      </c>
      <c r="D176" t="s">
        <v>654</v>
      </c>
      <c r="E176" t="s">
        <v>30</v>
      </c>
      <c r="F176">
        <v>13</v>
      </c>
      <c r="G176">
        <v>803.71</v>
      </c>
      <c r="H176" t="s">
        <v>666</v>
      </c>
      <c r="I176" t="s">
        <v>681</v>
      </c>
      <c r="J176" t="s">
        <v>674</v>
      </c>
    </row>
    <row r="177" spans="1:10" hidden="1" x14ac:dyDescent="0.45">
      <c r="A177" t="s">
        <v>844</v>
      </c>
      <c r="B177" s="1">
        <v>44627</v>
      </c>
      <c r="C177" t="s">
        <v>671</v>
      </c>
      <c r="D177" t="s">
        <v>663</v>
      </c>
      <c r="E177" t="s">
        <v>19</v>
      </c>
      <c r="F177">
        <v>18</v>
      </c>
      <c r="G177">
        <v>346.06</v>
      </c>
      <c r="H177" t="s">
        <v>655</v>
      </c>
      <c r="I177" t="s">
        <v>667</v>
      </c>
      <c r="J177" t="s">
        <v>657</v>
      </c>
    </row>
    <row r="178" spans="1:10" x14ac:dyDescent="0.45">
      <c r="A178" t="s">
        <v>845</v>
      </c>
      <c r="B178" s="1">
        <v>44676</v>
      </c>
      <c r="C178" t="s">
        <v>671</v>
      </c>
      <c r="D178" t="s">
        <v>672</v>
      </c>
      <c r="E178" t="s">
        <v>30</v>
      </c>
      <c r="F178">
        <v>32</v>
      </c>
      <c r="G178">
        <v>816.68</v>
      </c>
      <c r="H178" t="s">
        <v>666</v>
      </c>
      <c r="I178" t="s">
        <v>656</v>
      </c>
      <c r="J178" t="s">
        <v>669</v>
      </c>
    </row>
    <row r="179" spans="1:10" hidden="1" x14ac:dyDescent="0.45">
      <c r="A179" t="s">
        <v>846</v>
      </c>
      <c r="B179" s="1">
        <v>45067</v>
      </c>
      <c r="C179" t="s">
        <v>662</v>
      </c>
      <c r="D179" t="s">
        <v>654</v>
      </c>
      <c r="E179" t="s">
        <v>19</v>
      </c>
      <c r="F179">
        <v>96</v>
      </c>
      <c r="G179">
        <v>89.31</v>
      </c>
      <c r="H179" t="s">
        <v>655</v>
      </c>
      <c r="I179" t="s">
        <v>656</v>
      </c>
      <c r="J179" t="s">
        <v>669</v>
      </c>
    </row>
    <row r="180" spans="1:10" x14ac:dyDescent="0.45">
      <c r="A180" t="s">
        <v>847</v>
      </c>
      <c r="B180" s="1">
        <v>45221</v>
      </c>
      <c r="C180" t="s">
        <v>653</v>
      </c>
      <c r="D180" t="s">
        <v>672</v>
      </c>
      <c r="E180" t="s">
        <v>19</v>
      </c>
      <c r="F180">
        <v>99</v>
      </c>
      <c r="G180">
        <v>895.87</v>
      </c>
      <c r="H180" t="s">
        <v>666</v>
      </c>
      <c r="I180" t="s">
        <v>681</v>
      </c>
      <c r="J180" t="s">
        <v>657</v>
      </c>
    </row>
    <row r="181" spans="1:10" hidden="1" x14ac:dyDescent="0.45">
      <c r="A181" t="s">
        <v>848</v>
      </c>
      <c r="B181" s="1">
        <v>45071</v>
      </c>
      <c r="C181" t="s">
        <v>671</v>
      </c>
      <c r="D181" t="s">
        <v>672</v>
      </c>
      <c r="E181" t="s">
        <v>24</v>
      </c>
      <c r="F181">
        <v>39</v>
      </c>
      <c r="G181">
        <v>552.12</v>
      </c>
      <c r="H181" t="s">
        <v>655</v>
      </c>
      <c r="I181" t="s">
        <v>681</v>
      </c>
      <c r="J181" t="s">
        <v>657</v>
      </c>
    </row>
    <row r="182" spans="1:10" hidden="1" x14ac:dyDescent="0.45">
      <c r="A182" t="s">
        <v>849</v>
      </c>
      <c r="B182" s="1">
        <v>44831</v>
      </c>
      <c r="C182" t="s">
        <v>671</v>
      </c>
      <c r="D182" t="s">
        <v>672</v>
      </c>
      <c r="E182" t="s">
        <v>24</v>
      </c>
      <c r="F182">
        <v>46</v>
      </c>
      <c r="G182">
        <v>819.12</v>
      </c>
      <c r="H182" t="s">
        <v>655</v>
      </c>
      <c r="I182" t="s">
        <v>681</v>
      </c>
      <c r="J182" t="s">
        <v>669</v>
      </c>
    </row>
    <row r="183" spans="1:10" x14ac:dyDescent="0.45">
      <c r="A183" t="s">
        <v>850</v>
      </c>
      <c r="B183" s="1">
        <v>44915</v>
      </c>
      <c r="C183" t="s">
        <v>662</v>
      </c>
      <c r="D183" t="s">
        <v>654</v>
      </c>
      <c r="E183" t="s">
        <v>30</v>
      </c>
      <c r="F183">
        <v>29</v>
      </c>
      <c r="G183">
        <v>457.8</v>
      </c>
      <c r="H183" t="s">
        <v>666</v>
      </c>
      <c r="I183" t="s">
        <v>667</v>
      </c>
      <c r="J183" t="s">
        <v>660</v>
      </c>
    </row>
    <row r="184" spans="1:10" hidden="1" x14ac:dyDescent="0.45">
      <c r="A184" t="s">
        <v>851</v>
      </c>
      <c r="B184" s="1">
        <v>45124</v>
      </c>
      <c r="C184" t="s">
        <v>662</v>
      </c>
      <c r="D184" t="s">
        <v>672</v>
      </c>
      <c r="E184" t="s">
        <v>24</v>
      </c>
      <c r="F184">
        <v>62</v>
      </c>
      <c r="G184">
        <v>647.14</v>
      </c>
      <c r="H184" t="s">
        <v>655</v>
      </c>
      <c r="I184" t="s">
        <v>667</v>
      </c>
      <c r="J184" t="s">
        <v>660</v>
      </c>
    </row>
    <row r="185" spans="1:10" hidden="1" x14ac:dyDescent="0.45">
      <c r="A185" t="s">
        <v>852</v>
      </c>
      <c r="B185" s="1">
        <v>44652</v>
      </c>
      <c r="C185" t="s">
        <v>662</v>
      </c>
      <c r="D185" t="s">
        <v>663</v>
      </c>
      <c r="E185" t="s">
        <v>19</v>
      </c>
      <c r="F185">
        <v>93</v>
      </c>
      <c r="G185">
        <v>531.14</v>
      </c>
      <c r="H185" t="s">
        <v>655</v>
      </c>
      <c r="I185" t="s">
        <v>659</v>
      </c>
      <c r="J185" t="s">
        <v>674</v>
      </c>
    </row>
    <row r="186" spans="1:10" x14ac:dyDescent="0.45">
      <c r="A186" t="s">
        <v>853</v>
      </c>
      <c r="B186" s="1">
        <v>45168</v>
      </c>
      <c r="C186" t="s">
        <v>653</v>
      </c>
      <c r="D186" t="s">
        <v>663</v>
      </c>
      <c r="E186" t="s">
        <v>35</v>
      </c>
      <c r="F186">
        <v>62</v>
      </c>
      <c r="G186">
        <v>734.27</v>
      </c>
      <c r="H186" t="s">
        <v>666</v>
      </c>
      <c r="I186" t="s">
        <v>656</v>
      </c>
      <c r="J186" t="s">
        <v>657</v>
      </c>
    </row>
    <row r="187" spans="1:10" hidden="1" x14ac:dyDescent="0.45">
      <c r="A187" t="s">
        <v>854</v>
      </c>
      <c r="B187" s="1">
        <v>44932</v>
      </c>
      <c r="C187" t="s">
        <v>653</v>
      </c>
      <c r="D187" t="s">
        <v>654</v>
      </c>
      <c r="E187" t="s">
        <v>35</v>
      </c>
      <c r="F187">
        <v>57</v>
      </c>
      <c r="G187">
        <v>90.81</v>
      </c>
      <c r="H187" t="s">
        <v>655</v>
      </c>
      <c r="I187" t="s">
        <v>659</v>
      </c>
      <c r="J187" t="s">
        <v>657</v>
      </c>
    </row>
    <row r="188" spans="1:10" hidden="1" x14ac:dyDescent="0.45">
      <c r="A188" t="s">
        <v>855</v>
      </c>
      <c r="B188" s="1">
        <v>44927</v>
      </c>
      <c r="C188" t="s">
        <v>653</v>
      </c>
      <c r="D188" t="s">
        <v>665</v>
      </c>
      <c r="E188" t="s">
        <v>24</v>
      </c>
      <c r="F188">
        <v>16</v>
      </c>
      <c r="G188">
        <v>69.75</v>
      </c>
      <c r="H188" t="s">
        <v>655</v>
      </c>
      <c r="I188" t="s">
        <v>667</v>
      </c>
      <c r="J188" t="s">
        <v>669</v>
      </c>
    </row>
    <row r="189" spans="1:10" x14ac:dyDescent="0.45">
      <c r="A189" t="s">
        <v>856</v>
      </c>
      <c r="B189" s="1">
        <v>44576</v>
      </c>
      <c r="C189" t="s">
        <v>671</v>
      </c>
      <c r="D189" t="s">
        <v>672</v>
      </c>
      <c r="E189" t="s">
        <v>24</v>
      </c>
      <c r="F189">
        <v>56</v>
      </c>
      <c r="G189">
        <v>254.63</v>
      </c>
      <c r="H189" t="s">
        <v>666</v>
      </c>
      <c r="I189" t="s">
        <v>656</v>
      </c>
      <c r="J189" t="s">
        <v>657</v>
      </c>
    </row>
    <row r="190" spans="1:10" hidden="1" x14ac:dyDescent="0.45">
      <c r="A190" t="s">
        <v>857</v>
      </c>
      <c r="B190" s="1">
        <v>45107</v>
      </c>
      <c r="C190" t="s">
        <v>671</v>
      </c>
      <c r="D190" t="s">
        <v>665</v>
      </c>
      <c r="E190" t="s">
        <v>19</v>
      </c>
      <c r="F190">
        <v>10</v>
      </c>
      <c r="G190">
        <v>167.95</v>
      </c>
      <c r="H190" t="s">
        <v>655</v>
      </c>
      <c r="I190" t="s">
        <v>681</v>
      </c>
      <c r="J190" t="s">
        <v>674</v>
      </c>
    </row>
    <row r="191" spans="1:10" hidden="1" x14ac:dyDescent="0.45">
      <c r="A191" t="s">
        <v>858</v>
      </c>
      <c r="B191" s="1">
        <v>44637</v>
      </c>
      <c r="C191" t="s">
        <v>671</v>
      </c>
      <c r="D191" t="s">
        <v>672</v>
      </c>
      <c r="E191" t="s">
        <v>35</v>
      </c>
      <c r="F191">
        <v>30</v>
      </c>
      <c r="G191">
        <v>873.07</v>
      </c>
      <c r="H191" t="s">
        <v>655</v>
      </c>
      <c r="I191" t="s">
        <v>656</v>
      </c>
      <c r="J191" t="s">
        <v>669</v>
      </c>
    </row>
    <row r="192" spans="1:10" x14ac:dyDescent="0.45">
      <c r="A192" t="s">
        <v>859</v>
      </c>
      <c r="B192" s="1">
        <v>45003</v>
      </c>
      <c r="C192" t="s">
        <v>662</v>
      </c>
      <c r="D192" t="s">
        <v>665</v>
      </c>
      <c r="E192" t="s">
        <v>19</v>
      </c>
      <c r="F192">
        <v>25</v>
      </c>
      <c r="G192">
        <v>227.02</v>
      </c>
      <c r="H192" t="s">
        <v>666</v>
      </c>
      <c r="I192" t="s">
        <v>656</v>
      </c>
      <c r="J192" t="s">
        <v>669</v>
      </c>
    </row>
    <row r="193" spans="1:10" hidden="1" x14ac:dyDescent="0.45">
      <c r="A193" t="s">
        <v>860</v>
      </c>
      <c r="B193" s="1">
        <v>44700</v>
      </c>
      <c r="C193" t="s">
        <v>653</v>
      </c>
      <c r="D193" t="s">
        <v>654</v>
      </c>
      <c r="E193" t="s">
        <v>35</v>
      </c>
      <c r="F193">
        <v>84</v>
      </c>
      <c r="G193">
        <v>976.11</v>
      </c>
      <c r="H193" t="s">
        <v>655</v>
      </c>
      <c r="I193" t="s">
        <v>656</v>
      </c>
      <c r="J193" t="s">
        <v>657</v>
      </c>
    </row>
    <row r="194" spans="1:10" x14ac:dyDescent="0.45">
      <c r="A194" t="s">
        <v>861</v>
      </c>
      <c r="B194" s="1">
        <v>44936</v>
      </c>
      <c r="C194" t="s">
        <v>671</v>
      </c>
      <c r="D194" t="s">
        <v>654</v>
      </c>
      <c r="E194" t="s">
        <v>24</v>
      </c>
      <c r="F194">
        <v>5</v>
      </c>
      <c r="G194">
        <v>343.53</v>
      </c>
      <c r="H194" t="s">
        <v>666</v>
      </c>
      <c r="I194" t="s">
        <v>659</v>
      </c>
      <c r="J194" t="s">
        <v>657</v>
      </c>
    </row>
    <row r="195" spans="1:10" hidden="1" x14ac:dyDescent="0.45">
      <c r="A195" t="s">
        <v>862</v>
      </c>
      <c r="B195" s="1">
        <v>44936</v>
      </c>
      <c r="C195" t="s">
        <v>653</v>
      </c>
      <c r="D195" t="s">
        <v>665</v>
      </c>
      <c r="E195" t="s">
        <v>30</v>
      </c>
      <c r="F195">
        <v>65</v>
      </c>
      <c r="G195">
        <v>190.3</v>
      </c>
      <c r="H195" t="s">
        <v>655</v>
      </c>
      <c r="I195" t="s">
        <v>659</v>
      </c>
      <c r="J195" t="s">
        <v>660</v>
      </c>
    </row>
    <row r="196" spans="1:10" x14ac:dyDescent="0.45">
      <c r="A196" t="s">
        <v>863</v>
      </c>
      <c r="B196" s="1">
        <v>45220</v>
      </c>
      <c r="C196" t="s">
        <v>653</v>
      </c>
      <c r="D196" t="s">
        <v>665</v>
      </c>
      <c r="E196" t="s">
        <v>35</v>
      </c>
      <c r="F196">
        <v>94</v>
      </c>
      <c r="G196">
        <v>791.8</v>
      </c>
      <c r="H196" t="s">
        <v>666</v>
      </c>
      <c r="I196" t="s">
        <v>656</v>
      </c>
      <c r="J196" t="s">
        <v>669</v>
      </c>
    </row>
    <row r="197" spans="1:10" hidden="1" x14ac:dyDescent="0.45">
      <c r="A197" t="s">
        <v>864</v>
      </c>
      <c r="B197" s="1">
        <v>45213</v>
      </c>
      <c r="C197" t="s">
        <v>662</v>
      </c>
      <c r="D197" t="s">
        <v>665</v>
      </c>
      <c r="E197" t="s">
        <v>30</v>
      </c>
      <c r="F197">
        <v>49</v>
      </c>
      <c r="G197">
        <v>662.12</v>
      </c>
      <c r="H197" t="s">
        <v>655</v>
      </c>
      <c r="I197" t="s">
        <v>659</v>
      </c>
      <c r="J197" t="s">
        <v>660</v>
      </c>
    </row>
    <row r="198" spans="1:10" x14ac:dyDescent="0.45">
      <c r="A198" t="s">
        <v>865</v>
      </c>
      <c r="B198" s="1">
        <v>45122</v>
      </c>
      <c r="C198" t="s">
        <v>653</v>
      </c>
      <c r="D198" t="s">
        <v>663</v>
      </c>
      <c r="E198" t="s">
        <v>35</v>
      </c>
      <c r="F198">
        <v>3</v>
      </c>
      <c r="G198">
        <v>503.21</v>
      </c>
      <c r="H198" t="s">
        <v>666</v>
      </c>
      <c r="I198" t="s">
        <v>656</v>
      </c>
      <c r="J198" t="s">
        <v>669</v>
      </c>
    </row>
    <row r="199" spans="1:10" hidden="1" x14ac:dyDescent="0.45">
      <c r="A199" t="s">
        <v>866</v>
      </c>
      <c r="B199" s="1">
        <v>44918</v>
      </c>
      <c r="C199" t="s">
        <v>653</v>
      </c>
      <c r="D199" t="s">
        <v>654</v>
      </c>
      <c r="E199" t="s">
        <v>19</v>
      </c>
      <c r="F199">
        <v>45</v>
      </c>
      <c r="G199">
        <v>559.80999999999995</v>
      </c>
      <c r="H199" t="s">
        <v>655</v>
      </c>
      <c r="I199" t="s">
        <v>667</v>
      </c>
      <c r="J199" t="s">
        <v>660</v>
      </c>
    </row>
    <row r="200" spans="1:10" hidden="1" x14ac:dyDescent="0.45">
      <c r="A200" t="s">
        <v>867</v>
      </c>
      <c r="B200" s="1">
        <v>45030</v>
      </c>
      <c r="C200" t="s">
        <v>662</v>
      </c>
      <c r="D200" t="s">
        <v>654</v>
      </c>
      <c r="E200" t="s">
        <v>24</v>
      </c>
      <c r="F200">
        <v>14</v>
      </c>
      <c r="G200">
        <v>722.01</v>
      </c>
      <c r="H200" t="s">
        <v>655</v>
      </c>
      <c r="I200" t="s">
        <v>659</v>
      </c>
      <c r="J200" t="s">
        <v>657</v>
      </c>
    </row>
    <row r="201" spans="1:10" x14ac:dyDescent="0.45">
      <c r="A201" t="s">
        <v>868</v>
      </c>
      <c r="B201" s="1">
        <v>45074</v>
      </c>
      <c r="C201" t="s">
        <v>662</v>
      </c>
      <c r="D201" t="s">
        <v>665</v>
      </c>
      <c r="E201" t="s">
        <v>30</v>
      </c>
      <c r="F201">
        <v>30</v>
      </c>
      <c r="G201">
        <v>236.17</v>
      </c>
      <c r="H201" t="s">
        <v>666</v>
      </c>
      <c r="I201" t="s">
        <v>656</v>
      </c>
      <c r="J201" t="s">
        <v>674</v>
      </c>
    </row>
    <row r="202" spans="1:10" x14ac:dyDescent="0.45">
      <c r="A202" t="s">
        <v>869</v>
      </c>
      <c r="B202" s="1">
        <v>45171</v>
      </c>
      <c r="C202" t="s">
        <v>662</v>
      </c>
      <c r="D202" t="s">
        <v>663</v>
      </c>
      <c r="E202" t="s">
        <v>19</v>
      </c>
      <c r="F202">
        <v>68</v>
      </c>
      <c r="G202">
        <v>996.37</v>
      </c>
      <c r="H202" t="s">
        <v>666</v>
      </c>
      <c r="I202" t="s">
        <v>656</v>
      </c>
      <c r="J202" t="s">
        <v>657</v>
      </c>
    </row>
    <row r="203" spans="1:10" x14ac:dyDescent="0.45">
      <c r="A203" t="s">
        <v>870</v>
      </c>
      <c r="B203" s="1">
        <v>44905</v>
      </c>
      <c r="C203" t="s">
        <v>662</v>
      </c>
      <c r="D203" t="s">
        <v>672</v>
      </c>
      <c r="E203" t="s">
        <v>24</v>
      </c>
      <c r="F203">
        <v>18</v>
      </c>
      <c r="G203">
        <v>975.05</v>
      </c>
      <c r="H203" t="s">
        <v>666</v>
      </c>
      <c r="I203" t="s">
        <v>656</v>
      </c>
      <c r="J203" t="s">
        <v>657</v>
      </c>
    </row>
    <row r="204" spans="1:10" x14ac:dyDescent="0.45">
      <c r="A204" t="s">
        <v>871</v>
      </c>
      <c r="B204" s="1">
        <v>44859</v>
      </c>
      <c r="C204" t="s">
        <v>671</v>
      </c>
      <c r="D204" t="s">
        <v>663</v>
      </c>
      <c r="E204" t="s">
        <v>30</v>
      </c>
      <c r="F204">
        <v>62</v>
      </c>
      <c r="G204">
        <v>653.82000000000005</v>
      </c>
      <c r="H204" t="s">
        <v>666</v>
      </c>
      <c r="I204" t="s">
        <v>659</v>
      </c>
      <c r="J204" t="s">
        <v>660</v>
      </c>
    </row>
    <row r="205" spans="1:10" hidden="1" x14ac:dyDescent="0.45">
      <c r="A205" t="s">
        <v>872</v>
      </c>
      <c r="B205" s="1">
        <v>44913</v>
      </c>
      <c r="C205" t="s">
        <v>662</v>
      </c>
      <c r="D205" t="s">
        <v>663</v>
      </c>
      <c r="E205" t="s">
        <v>30</v>
      </c>
      <c r="F205">
        <v>37</v>
      </c>
      <c r="G205">
        <v>207.55</v>
      </c>
      <c r="H205" t="s">
        <v>655</v>
      </c>
      <c r="I205" t="s">
        <v>656</v>
      </c>
      <c r="J205" t="s">
        <v>660</v>
      </c>
    </row>
    <row r="206" spans="1:10" hidden="1" x14ac:dyDescent="0.45">
      <c r="A206" t="s">
        <v>873</v>
      </c>
      <c r="B206" s="1">
        <v>45158</v>
      </c>
      <c r="C206" t="s">
        <v>662</v>
      </c>
      <c r="D206" t="s">
        <v>665</v>
      </c>
      <c r="E206" t="s">
        <v>19</v>
      </c>
      <c r="F206">
        <v>25</v>
      </c>
      <c r="G206">
        <v>683.43</v>
      </c>
      <c r="H206" t="s">
        <v>655</v>
      </c>
      <c r="I206" t="s">
        <v>659</v>
      </c>
      <c r="J206" t="s">
        <v>657</v>
      </c>
    </row>
    <row r="207" spans="1:10" x14ac:dyDescent="0.45">
      <c r="A207" t="s">
        <v>874</v>
      </c>
      <c r="B207" s="1">
        <v>45023</v>
      </c>
      <c r="C207" t="s">
        <v>671</v>
      </c>
      <c r="D207" t="s">
        <v>654</v>
      </c>
      <c r="E207" t="s">
        <v>19</v>
      </c>
      <c r="F207">
        <v>48</v>
      </c>
      <c r="G207">
        <v>81.48</v>
      </c>
      <c r="H207" t="s">
        <v>666</v>
      </c>
      <c r="I207" t="s">
        <v>656</v>
      </c>
      <c r="J207" t="s">
        <v>660</v>
      </c>
    </row>
    <row r="208" spans="1:10" hidden="1" x14ac:dyDescent="0.45">
      <c r="A208" t="s">
        <v>875</v>
      </c>
      <c r="B208" s="1">
        <v>44729</v>
      </c>
      <c r="C208" t="s">
        <v>662</v>
      </c>
      <c r="D208" t="s">
        <v>665</v>
      </c>
      <c r="E208" t="s">
        <v>30</v>
      </c>
      <c r="F208">
        <v>65</v>
      </c>
      <c r="G208">
        <v>40.35</v>
      </c>
      <c r="H208" t="s">
        <v>655</v>
      </c>
      <c r="I208" t="s">
        <v>681</v>
      </c>
      <c r="J208" t="s">
        <v>657</v>
      </c>
    </row>
    <row r="209" spans="1:10" hidden="1" x14ac:dyDescent="0.45">
      <c r="A209" t="s">
        <v>876</v>
      </c>
      <c r="B209" s="1">
        <v>44918</v>
      </c>
      <c r="C209" t="s">
        <v>671</v>
      </c>
      <c r="D209" t="s">
        <v>654</v>
      </c>
      <c r="E209" t="s">
        <v>30</v>
      </c>
      <c r="F209">
        <v>53</v>
      </c>
      <c r="G209">
        <v>265.11</v>
      </c>
      <c r="H209" t="s">
        <v>655</v>
      </c>
      <c r="I209" t="s">
        <v>681</v>
      </c>
      <c r="J209" t="s">
        <v>660</v>
      </c>
    </row>
    <row r="210" spans="1:10" x14ac:dyDescent="0.45">
      <c r="A210" t="s">
        <v>877</v>
      </c>
      <c r="B210" s="1">
        <v>44795</v>
      </c>
      <c r="C210" t="s">
        <v>671</v>
      </c>
      <c r="D210" t="s">
        <v>663</v>
      </c>
      <c r="E210" t="s">
        <v>30</v>
      </c>
      <c r="F210">
        <v>79</v>
      </c>
      <c r="G210">
        <v>468</v>
      </c>
      <c r="H210" t="s">
        <v>666</v>
      </c>
      <c r="I210" t="s">
        <v>656</v>
      </c>
      <c r="J210" t="s">
        <v>669</v>
      </c>
    </row>
    <row r="211" spans="1:10" x14ac:dyDescent="0.45">
      <c r="A211" t="s">
        <v>878</v>
      </c>
      <c r="B211" s="1">
        <v>45101</v>
      </c>
      <c r="C211" t="s">
        <v>653</v>
      </c>
      <c r="D211" t="s">
        <v>654</v>
      </c>
      <c r="E211" t="s">
        <v>35</v>
      </c>
      <c r="F211">
        <v>73</v>
      </c>
      <c r="G211">
        <v>869.59</v>
      </c>
      <c r="H211" t="s">
        <v>666</v>
      </c>
      <c r="I211" t="s">
        <v>659</v>
      </c>
      <c r="J211" t="s">
        <v>674</v>
      </c>
    </row>
    <row r="212" spans="1:10" x14ac:dyDescent="0.45">
      <c r="A212" t="s">
        <v>879</v>
      </c>
      <c r="B212" s="1">
        <v>44941</v>
      </c>
      <c r="C212" t="s">
        <v>662</v>
      </c>
      <c r="D212" t="s">
        <v>654</v>
      </c>
      <c r="E212" t="s">
        <v>24</v>
      </c>
      <c r="F212">
        <v>15</v>
      </c>
      <c r="G212">
        <v>729.9</v>
      </c>
      <c r="H212" t="s">
        <v>666</v>
      </c>
      <c r="I212" t="s">
        <v>667</v>
      </c>
      <c r="J212" t="s">
        <v>657</v>
      </c>
    </row>
    <row r="213" spans="1:10" hidden="1" x14ac:dyDescent="0.45">
      <c r="A213" t="s">
        <v>880</v>
      </c>
      <c r="B213" s="1">
        <v>45208</v>
      </c>
      <c r="C213" t="s">
        <v>671</v>
      </c>
      <c r="D213" t="s">
        <v>665</v>
      </c>
      <c r="E213" t="s">
        <v>30</v>
      </c>
      <c r="F213">
        <v>49</v>
      </c>
      <c r="G213">
        <v>745.28</v>
      </c>
      <c r="H213" t="s">
        <v>655</v>
      </c>
      <c r="I213" t="s">
        <v>656</v>
      </c>
      <c r="J213" t="s">
        <v>657</v>
      </c>
    </row>
    <row r="214" spans="1:10" x14ac:dyDescent="0.45">
      <c r="A214" t="s">
        <v>881</v>
      </c>
      <c r="B214" s="1">
        <v>45054</v>
      </c>
      <c r="C214" t="s">
        <v>653</v>
      </c>
      <c r="D214" t="s">
        <v>672</v>
      </c>
      <c r="E214" t="s">
        <v>19</v>
      </c>
      <c r="F214">
        <v>88</v>
      </c>
      <c r="G214">
        <v>431.24</v>
      </c>
      <c r="H214" t="s">
        <v>666</v>
      </c>
      <c r="I214" t="s">
        <v>659</v>
      </c>
      <c r="J214" t="s">
        <v>674</v>
      </c>
    </row>
    <row r="215" spans="1:10" hidden="1" x14ac:dyDescent="0.45">
      <c r="A215" t="s">
        <v>882</v>
      </c>
      <c r="B215" s="1">
        <v>44666</v>
      </c>
      <c r="C215" t="s">
        <v>653</v>
      </c>
      <c r="D215" t="s">
        <v>663</v>
      </c>
      <c r="E215" t="s">
        <v>19</v>
      </c>
      <c r="F215">
        <v>68</v>
      </c>
      <c r="G215">
        <v>352.48</v>
      </c>
      <c r="H215" t="s">
        <v>655</v>
      </c>
      <c r="I215" t="s">
        <v>656</v>
      </c>
      <c r="J215" t="s">
        <v>669</v>
      </c>
    </row>
    <row r="216" spans="1:10" x14ac:dyDescent="0.45">
      <c r="A216" t="s">
        <v>883</v>
      </c>
      <c r="B216" s="1">
        <v>45220</v>
      </c>
      <c r="C216" t="s">
        <v>671</v>
      </c>
      <c r="D216" t="s">
        <v>663</v>
      </c>
      <c r="E216" t="s">
        <v>24</v>
      </c>
      <c r="F216">
        <v>12</v>
      </c>
      <c r="G216">
        <v>377.33</v>
      </c>
      <c r="H216" t="s">
        <v>666</v>
      </c>
      <c r="I216" t="s">
        <v>656</v>
      </c>
      <c r="J216" t="s">
        <v>674</v>
      </c>
    </row>
    <row r="217" spans="1:10" x14ac:dyDescent="0.45">
      <c r="A217" t="s">
        <v>884</v>
      </c>
      <c r="B217" s="1">
        <v>44590</v>
      </c>
      <c r="C217" t="s">
        <v>662</v>
      </c>
      <c r="D217" t="s">
        <v>663</v>
      </c>
      <c r="E217" t="s">
        <v>30</v>
      </c>
      <c r="F217">
        <v>59</v>
      </c>
      <c r="G217">
        <v>987.77</v>
      </c>
      <c r="H217" t="s">
        <v>666</v>
      </c>
      <c r="I217" t="s">
        <v>681</v>
      </c>
      <c r="J217" t="s">
        <v>674</v>
      </c>
    </row>
    <row r="218" spans="1:10" x14ac:dyDescent="0.45">
      <c r="A218" t="s">
        <v>885</v>
      </c>
      <c r="B218" s="1">
        <v>45286</v>
      </c>
      <c r="C218" t="s">
        <v>653</v>
      </c>
      <c r="D218" t="s">
        <v>672</v>
      </c>
      <c r="E218" t="s">
        <v>19</v>
      </c>
      <c r="F218">
        <v>37</v>
      </c>
      <c r="G218">
        <v>49.71</v>
      </c>
      <c r="H218" t="s">
        <v>666</v>
      </c>
      <c r="I218" t="s">
        <v>659</v>
      </c>
      <c r="J218" t="s">
        <v>660</v>
      </c>
    </row>
    <row r="219" spans="1:10" x14ac:dyDescent="0.45">
      <c r="A219" t="s">
        <v>886</v>
      </c>
      <c r="B219" s="1">
        <v>45101</v>
      </c>
      <c r="C219" t="s">
        <v>653</v>
      </c>
      <c r="D219" t="s">
        <v>654</v>
      </c>
      <c r="E219" t="s">
        <v>35</v>
      </c>
      <c r="F219">
        <v>61</v>
      </c>
      <c r="G219">
        <v>868.36</v>
      </c>
      <c r="H219" t="s">
        <v>666</v>
      </c>
      <c r="I219" t="s">
        <v>667</v>
      </c>
      <c r="J219" t="s">
        <v>674</v>
      </c>
    </row>
    <row r="220" spans="1:10" hidden="1" x14ac:dyDescent="0.45">
      <c r="A220" t="s">
        <v>887</v>
      </c>
      <c r="B220" s="1">
        <v>44610</v>
      </c>
      <c r="C220" t="s">
        <v>653</v>
      </c>
      <c r="D220" t="s">
        <v>654</v>
      </c>
      <c r="E220" t="s">
        <v>35</v>
      </c>
      <c r="F220">
        <v>43</v>
      </c>
      <c r="G220">
        <v>582.89</v>
      </c>
      <c r="H220" t="s">
        <v>655</v>
      </c>
      <c r="I220" t="s">
        <v>667</v>
      </c>
      <c r="J220" t="s">
        <v>657</v>
      </c>
    </row>
    <row r="221" spans="1:10" hidden="1" x14ac:dyDescent="0.45">
      <c r="A221" t="s">
        <v>888</v>
      </c>
      <c r="B221" s="1">
        <v>45008</v>
      </c>
      <c r="C221" t="s">
        <v>653</v>
      </c>
      <c r="D221" t="s">
        <v>654</v>
      </c>
      <c r="E221" t="s">
        <v>35</v>
      </c>
      <c r="F221">
        <v>70</v>
      </c>
      <c r="G221">
        <v>444.23</v>
      </c>
      <c r="H221" t="s">
        <v>655</v>
      </c>
      <c r="I221" t="s">
        <v>656</v>
      </c>
      <c r="J221" t="s">
        <v>669</v>
      </c>
    </row>
    <row r="222" spans="1:10" hidden="1" x14ac:dyDescent="0.45">
      <c r="A222" t="s">
        <v>889</v>
      </c>
      <c r="B222" s="1">
        <v>45112</v>
      </c>
      <c r="C222" t="s">
        <v>653</v>
      </c>
      <c r="D222" t="s">
        <v>665</v>
      </c>
      <c r="E222" t="s">
        <v>19</v>
      </c>
      <c r="F222">
        <v>39</v>
      </c>
      <c r="G222">
        <v>728.01</v>
      </c>
      <c r="H222" t="s">
        <v>655</v>
      </c>
      <c r="I222" t="s">
        <v>681</v>
      </c>
      <c r="J222" t="s">
        <v>674</v>
      </c>
    </row>
    <row r="223" spans="1:10" hidden="1" x14ac:dyDescent="0.45">
      <c r="A223" t="s">
        <v>890</v>
      </c>
      <c r="B223" s="1">
        <v>44939</v>
      </c>
      <c r="C223" t="s">
        <v>653</v>
      </c>
      <c r="D223" t="s">
        <v>672</v>
      </c>
      <c r="E223" t="s">
        <v>35</v>
      </c>
      <c r="F223">
        <v>56</v>
      </c>
      <c r="G223">
        <v>491.8</v>
      </c>
      <c r="H223" t="s">
        <v>655</v>
      </c>
      <c r="I223" t="s">
        <v>656</v>
      </c>
      <c r="J223" t="s">
        <v>669</v>
      </c>
    </row>
    <row r="224" spans="1:10" hidden="1" x14ac:dyDescent="0.45">
      <c r="A224" t="s">
        <v>891</v>
      </c>
      <c r="B224" s="1">
        <v>44755</v>
      </c>
      <c r="C224" t="s">
        <v>671</v>
      </c>
      <c r="D224" t="s">
        <v>654</v>
      </c>
      <c r="E224" t="s">
        <v>35</v>
      </c>
      <c r="F224">
        <v>63</v>
      </c>
      <c r="G224">
        <v>874.69</v>
      </c>
      <c r="H224" t="s">
        <v>655</v>
      </c>
      <c r="I224" t="s">
        <v>681</v>
      </c>
      <c r="J224" t="s">
        <v>674</v>
      </c>
    </row>
    <row r="225" spans="1:10" hidden="1" x14ac:dyDescent="0.45">
      <c r="A225" t="s">
        <v>892</v>
      </c>
      <c r="B225" s="1">
        <v>44928</v>
      </c>
      <c r="C225" t="s">
        <v>662</v>
      </c>
      <c r="D225" t="s">
        <v>654</v>
      </c>
      <c r="E225" t="s">
        <v>19</v>
      </c>
      <c r="F225">
        <v>46</v>
      </c>
      <c r="G225">
        <v>901.69</v>
      </c>
      <c r="H225" t="s">
        <v>655</v>
      </c>
      <c r="I225" t="s">
        <v>659</v>
      </c>
      <c r="J225" t="s">
        <v>660</v>
      </c>
    </row>
    <row r="226" spans="1:10" hidden="1" x14ac:dyDescent="0.45">
      <c r="A226" t="s">
        <v>893</v>
      </c>
      <c r="B226" s="1">
        <v>44703</v>
      </c>
      <c r="C226" t="s">
        <v>671</v>
      </c>
      <c r="D226" t="s">
        <v>663</v>
      </c>
      <c r="E226" t="s">
        <v>19</v>
      </c>
      <c r="F226">
        <v>88</v>
      </c>
      <c r="G226">
        <v>427.5</v>
      </c>
      <c r="H226" t="s">
        <v>655</v>
      </c>
      <c r="I226" t="s">
        <v>667</v>
      </c>
      <c r="J226" t="s">
        <v>674</v>
      </c>
    </row>
    <row r="227" spans="1:10" x14ac:dyDescent="0.45">
      <c r="A227" t="s">
        <v>894</v>
      </c>
      <c r="B227" s="1">
        <v>44892</v>
      </c>
      <c r="C227" t="s">
        <v>653</v>
      </c>
      <c r="D227" t="s">
        <v>672</v>
      </c>
      <c r="E227" t="s">
        <v>24</v>
      </c>
      <c r="F227">
        <v>11</v>
      </c>
      <c r="G227">
        <v>284.06</v>
      </c>
      <c r="H227" t="s">
        <v>666</v>
      </c>
      <c r="I227" t="s">
        <v>681</v>
      </c>
      <c r="J227" t="s">
        <v>674</v>
      </c>
    </row>
    <row r="228" spans="1:10" x14ac:dyDescent="0.45">
      <c r="A228" t="s">
        <v>895</v>
      </c>
      <c r="B228" s="1">
        <v>45196</v>
      </c>
      <c r="C228" t="s">
        <v>653</v>
      </c>
      <c r="D228" t="s">
        <v>665</v>
      </c>
      <c r="E228" t="s">
        <v>35</v>
      </c>
      <c r="F228">
        <v>62</v>
      </c>
      <c r="G228">
        <v>596.42999999999995</v>
      </c>
      <c r="H228" t="s">
        <v>666</v>
      </c>
      <c r="I228" t="s">
        <v>659</v>
      </c>
      <c r="J228" t="s">
        <v>660</v>
      </c>
    </row>
    <row r="229" spans="1:10" x14ac:dyDescent="0.45">
      <c r="A229" t="s">
        <v>896</v>
      </c>
      <c r="B229" s="1">
        <v>44854</v>
      </c>
      <c r="C229" t="s">
        <v>671</v>
      </c>
      <c r="D229" t="s">
        <v>672</v>
      </c>
      <c r="E229" t="s">
        <v>24</v>
      </c>
      <c r="F229">
        <v>77</v>
      </c>
      <c r="G229">
        <v>913.24</v>
      </c>
      <c r="H229" t="s">
        <v>666</v>
      </c>
      <c r="I229" t="s">
        <v>656</v>
      </c>
      <c r="J229" t="s">
        <v>660</v>
      </c>
    </row>
    <row r="230" spans="1:10" hidden="1" x14ac:dyDescent="0.45">
      <c r="A230" t="s">
        <v>897</v>
      </c>
      <c r="B230" s="1">
        <v>45021</v>
      </c>
      <c r="C230" t="s">
        <v>671</v>
      </c>
      <c r="D230" t="s">
        <v>672</v>
      </c>
      <c r="E230" t="s">
        <v>35</v>
      </c>
      <c r="F230">
        <v>98</v>
      </c>
      <c r="G230">
        <v>218.56</v>
      </c>
      <c r="H230" t="s">
        <v>655</v>
      </c>
      <c r="I230" t="s">
        <v>659</v>
      </c>
      <c r="J230" t="s">
        <v>674</v>
      </c>
    </row>
    <row r="231" spans="1:10" hidden="1" x14ac:dyDescent="0.45">
      <c r="A231" t="s">
        <v>898</v>
      </c>
      <c r="B231" s="1">
        <v>45050</v>
      </c>
      <c r="C231" t="s">
        <v>653</v>
      </c>
      <c r="D231" t="s">
        <v>665</v>
      </c>
      <c r="E231" t="s">
        <v>24</v>
      </c>
      <c r="F231">
        <v>25</v>
      </c>
      <c r="G231">
        <v>626.74</v>
      </c>
      <c r="H231" t="s">
        <v>655</v>
      </c>
      <c r="I231" t="s">
        <v>659</v>
      </c>
      <c r="J231" t="s">
        <v>660</v>
      </c>
    </row>
    <row r="232" spans="1:10" hidden="1" x14ac:dyDescent="0.45">
      <c r="A232" t="s">
        <v>899</v>
      </c>
      <c r="B232" s="1">
        <v>44701</v>
      </c>
      <c r="C232" t="s">
        <v>653</v>
      </c>
      <c r="D232" t="s">
        <v>663</v>
      </c>
      <c r="E232" t="s">
        <v>24</v>
      </c>
      <c r="F232">
        <v>71</v>
      </c>
      <c r="G232">
        <v>635.24</v>
      </c>
      <c r="H232" t="s">
        <v>655</v>
      </c>
      <c r="I232" t="s">
        <v>681</v>
      </c>
      <c r="J232" t="s">
        <v>674</v>
      </c>
    </row>
    <row r="233" spans="1:10" x14ac:dyDescent="0.45">
      <c r="A233" t="s">
        <v>900</v>
      </c>
      <c r="B233" s="1">
        <v>44986</v>
      </c>
      <c r="C233" t="s">
        <v>671</v>
      </c>
      <c r="D233" t="s">
        <v>654</v>
      </c>
      <c r="E233" t="s">
        <v>30</v>
      </c>
      <c r="F233">
        <v>52</v>
      </c>
      <c r="G233">
        <v>735.78</v>
      </c>
      <c r="H233" t="s">
        <v>666</v>
      </c>
      <c r="I233" t="s">
        <v>656</v>
      </c>
      <c r="J233" t="s">
        <v>660</v>
      </c>
    </row>
    <row r="234" spans="1:10" hidden="1" x14ac:dyDescent="0.45">
      <c r="A234" t="s">
        <v>901</v>
      </c>
      <c r="B234" s="1">
        <v>44864</v>
      </c>
      <c r="C234" t="s">
        <v>653</v>
      </c>
      <c r="D234" t="s">
        <v>665</v>
      </c>
      <c r="E234" t="s">
        <v>30</v>
      </c>
      <c r="F234">
        <v>4</v>
      </c>
      <c r="G234">
        <v>140.25</v>
      </c>
      <c r="H234" t="s">
        <v>655</v>
      </c>
      <c r="I234" t="s">
        <v>659</v>
      </c>
      <c r="J234" t="s">
        <v>660</v>
      </c>
    </row>
    <row r="235" spans="1:10" x14ac:dyDescent="0.45">
      <c r="A235" t="s">
        <v>902</v>
      </c>
      <c r="B235" s="1">
        <v>45220</v>
      </c>
      <c r="C235" t="s">
        <v>662</v>
      </c>
      <c r="D235" t="s">
        <v>654</v>
      </c>
      <c r="E235" t="s">
        <v>35</v>
      </c>
      <c r="F235">
        <v>59</v>
      </c>
      <c r="G235">
        <v>718.67</v>
      </c>
      <c r="H235" t="s">
        <v>666</v>
      </c>
      <c r="I235" t="s">
        <v>667</v>
      </c>
      <c r="J235" t="s">
        <v>657</v>
      </c>
    </row>
    <row r="236" spans="1:10" hidden="1" x14ac:dyDescent="0.45">
      <c r="A236" t="s">
        <v>903</v>
      </c>
      <c r="B236" s="1">
        <v>44809</v>
      </c>
      <c r="C236" t="s">
        <v>662</v>
      </c>
      <c r="D236" t="s">
        <v>672</v>
      </c>
      <c r="E236" t="s">
        <v>24</v>
      </c>
      <c r="F236">
        <v>72</v>
      </c>
      <c r="G236">
        <v>909.94</v>
      </c>
      <c r="H236" t="s">
        <v>655</v>
      </c>
      <c r="I236" t="s">
        <v>667</v>
      </c>
      <c r="J236" t="s">
        <v>674</v>
      </c>
    </row>
    <row r="237" spans="1:10" hidden="1" x14ac:dyDescent="0.45">
      <c r="A237" t="s">
        <v>904</v>
      </c>
      <c r="B237" s="1">
        <v>44573</v>
      </c>
      <c r="C237" t="s">
        <v>662</v>
      </c>
      <c r="D237" t="s">
        <v>665</v>
      </c>
      <c r="E237" t="s">
        <v>35</v>
      </c>
      <c r="F237">
        <v>20</v>
      </c>
      <c r="G237">
        <v>187.89</v>
      </c>
      <c r="H237" t="s">
        <v>655</v>
      </c>
      <c r="I237" t="s">
        <v>659</v>
      </c>
      <c r="J237" t="s">
        <v>674</v>
      </c>
    </row>
    <row r="238" spans="1:10" hidden="1" x14ac:dyDescent="0.45">
      <c r="A238" t="s">
        <v>905</v>
      </c>
      <c r="B238" s="1">
        <v>44934</v>
      </c>
      <c r="C238" t="s">
        <v>671</v>
      </c>
      <c r="D238" t="s">
        <v>654</v>
      </c>
      <c r="E238" t="s">
        <v>35</v>
      </c>
      <c r="F238">
        <v>93</v>
      </c>
      <c r="G238">
        <v>245.17</v>
      </c>
      <c r="H238" t="s">
        <v>655</v>
      </c>
      <c r="I238" t="s">
        <v>667</v>
      </c>
      <c r="J238" t="s">
        <v>674</v>
      </c>
    </row>
    <row r="239" spans="1:10" hidden="1" x14ac:dyDescent="0.45">
      <c r="A239" t="s">
        <v>906</v>
      </c>
      <c r="B239" s="1">
        <v>44838</v>
      </c>
      <c r="C239" t="s">
        <v>662</v>
      </c>
      <c r="D239" t="s">
        <v>663</v>
      </c>
      <c r="E239" t="s">
        <v>19</v>
      </c>
      <c r="F239">
        <v>63</v>
      </c>
      <c r="G239">
        <v>971.68</v>
      </c>
      <c r="H239" t="s">
        <v>655</v>
      </c>
      <c r="I239" t="s">
        <v>667</v>
      </c>
      <c r="J239" t="s">
        <v>660</v>
      </c>
    </row>
    <row r="240" spans="1:10" x14ac:dyDescent="0.45">
      <c r="A240" t="s">
        <v>907</v>
      </c>
      <c r="B240" s="1">
        <v>45196</v>
      </c>
      <c r="C240" t="s">
        <v>662</v>
      </c>
      <c r="D240" t="s">
        <v>663</v>
      </c>
      <c r="E240" t="s">
        <v>24</v>
      </c>
      <c r="F240">
        <v>54</v>
      </c>
      <c r="G240">
        <v>189.17</v>
      </c>
      <c r="H240" t="s">
        <v>666</v>
      </c>
      <c r="I240" t="s">
        <v>656</v>
      </c>
      <c r="J240" t="s">
        <v>657</v>
      </c>
    </row>
    <row r="241" spans="1:10" hidden="1" x14ac:dyDescent="0.45">
      <c r="A241" t="s">
        <v>908</v>
      </c>
      <c r="B241" s="1">
        <v>45132</v>
      </c>
      <c r="C241" t="s">
        <v>671</v>
      </c>
      <c r="D241" t="s">
        <v>663</v>
      </c>
      <c r="E241" t="s">
        <v>35</v>
      </c>
      <c r="F241">
        <v>74</v>
      </c>
      <c r="G241">
        <v>855.84</v>
      </c>
      <c r="H241" t="s">
        <v>655</v>
      </c>
      <c r="I241" t="s">
        <v>659</v>
      </c>
      <c r="J241" t="s">
        <v>674</v>
      </c>
    </row>
    <row r="242" spans="1:10" hidden="1" x14ac:dyDescent="0.45">
      <c r="A242" t="s">
        <v>909</v>
      </c>
      <c r="B242" s="1">
        <v>45255</v>
      </c>
      <c r="C242" t="s">
        <v>653</v>
      </c>
      <c r="D242" t="s">
        <v>663</v>
      </c>
      <c r="E242" t="s">
        <v>24</v>
      </c>
      <c r="F242">
        <v>98</v>
      </c>
      <c r="G242">
        <v>497.36</v>
      </c>
      <c r="H242" t="s">
        <v>655</v>
      </c>
      <c r="I242" t="s">
        <v>667</v>
      </c>
      <c r="J242" t="s">
        <v>660</v>
      </c>
    </row>
    <row r="243" spans="1:10" hidden="1" x14ac:dyDescent="0.45">
      <c r="A243" t="s">
        <v>910</v>
      </c>
      <c r="B243" s="1">
        <v>45266</v>
      </c>
      <c r="C243" t="s">
        <v>671</v>
      </c>
      <c r="D243" t="s">
        <v>665</v>
      </c>
      <c r="E243" t="s">
        <v>24</v>
      </c>
      <c r="F243">
        <v>57</v>
      </c>
      <c r="G243">
        <v>254.76</v>
      </c>
      <c r="H243" t="s">
        <v>655</v>
      </c>
      <c r="I243" t="s">
        <v>659</v>
      </c>
      <c r="J243" t="s">
        <v>660</v>
      </c>
    </row>
    <row r="244" spans="1:10" x14ac:dyDescent="0.45">
      <c r="A244" t="s">
        <v>911</v>
      </c>
      <c r="B244" s="1">
        <v>45138</v>
      </c>
      <c r="C244" t="s">
        <v>653</v>
      </c>
      <c r="D244" t="s">
        <v>672</v>
      </c>
      <c r="E244" t="s">
        <v>19</v>
      </c>
      <c r="F244">
        <v>90</v>
      </c>
      <c r="G244">
        <v>872.04</v>
      </c>
      <c r="H244" t="s">
        <v>666</v>
      </c>
      <c r="I244" t="s">
        <v>659</v>
      </c>
      <c r="J244" t="s">
        <v>657</v>
      </c>
    </row>
    <row r="245" spans="1:10" x14ac:dyDescent="0.45">
      <c r="A245" t="s">
        <v>912</v>
      </c>
      <c r="B245" s="1">
        <v>44643</v>
      </c>
      <c r="C245" t="s">
        <v>653</v>
      </c>
      <c r="D245" t="s">
        <v>672</v>
      </c>
      <c r="E245" t="s">
        <v>19</v>
      </c>
      <c r="F245">
        <v>41</v>
      </c>
      <c r="G245">
        <v>450.85</v>
      </c>
      <c r="H245" t="s">
        <v>666</v>
      </c>
      <c r="I245" t="s">
        <v>656</v>
      </c>
      <c r="J245" t="s">
        <v>660</v>
      </c>
    </row>
    <row r="246" spans="1:10" hidden="1" x14ac:dyDescent="0.45">
      <c r="A246" t="s">
        <v>913</v>
      </c>
      <c r="B246" s="1">
        <v>44815</v>
      </c>
      <c r="C246" t="s">
        <v>662</v>
      </c>
      <c r="D246" t="s">
        <v>663</v>
      </c>
      <c r="E246" t="s">
        <v>19</v>
      </c>
      <c r="F246">
        <v>3</v>
      </c>
      <c r="G246">
        <v>519.66999999999996</v>
      </c>
      <c r="H246" t="s">
        <v>655</v>
      </c>
      <c r="I246" t="s">
        <v>659</v>
      </c>
      <c r="J246" t="s">
        <v>669</v>
      </c>
    </row>
    <row r="247" spans="1:10" x14ac:dyDescent="0.45">
      <c r="A247" t="s">
        <v>914</v>
      </c>
      <c r="B247" s="1">
        <v>44795</v>
      </c>
      <c r="C247" t="s">
        <v>671</v>
      </c>
      <c r="D247" t="s">
        <v>663</v>
      </c>
      <c r="E247" t="s">
        <v>19</v>
      </c>
      <c r="F247">
        <v>6</v>
      </c>
      <c r="G247">
        <v>365.64</v>
      </c>
      <c r="H247" t="s">
        <v>666</v>
      </c>
      <c r="I247" t="s">
        <v>681</v>
      </c>
      <c r="J247" t="s">
        <v>669</v>
      </c>
    </row>
    <row r="248" spans="1:10" hidden="1" x14ac:dyDescent="0.45">
      <c r="A248" t="s">
        <v>915</v>
      </c>
      <c r="B248" s="1">
        <v>45261</v>
      </c>
      <c r="C248" t="s">
        <v>671</v>
      </c>
      <c r="D248" t="s">
        <v>665</v>
      </c>
      <c r="E248" t="s">
        <v>30</v>
      </c>
      <c r="F248">
        <v>5</v>
      </c>
      <c r="G248">
        <v>597.02</v>
      </c>
      <c r="H248" t="s">
        <v>655</v>
      </c>
      <c r="I248" t="s">
        <v>681</v>
      </c>
      <c r="J248" t="s">
        <v>657</v>
      </c>
    </row>
    <row r="249" spans="1:10" x14ac:dyDescent="0.45">
      <c r="A249" t="s">
        <v>916</v>
      </c>
      <c r="B249" s="1">
        <v>44904</v>
      </c>
      <c r="C249" t="s">
        <v>671</v>
      </c>
      <c r="D249" t="s">
        <v>663</v>
      </c>
      <c r="E249" t="s">
        <v>19</v>
      </c>
      <c r="F249">
        <v>5</v>
      </c>
      <c r="G249">
        <v>171.89</v>
      </c>
      <c r="H249" t="s">
        <v>666</v>
      </c>
      <c r="I249" t="s">
        <v>656</v>
      </c>
      <c r="J249" t="s">
        <v>660</v>
      </c>
    </row>
    <row r="250" spans="1:10" hidden="1" x14ac:dyDescent="0.45">
      <c r="A250" t="s">
        <v>917</v>
      </c>
      <c r="B250" s="1">
        <v>44762</v>
      </c>
      <c r="C250" t="s">
        <v>653</v>
      </c>
      <c r="D250" t="s">
        <v>654</v>
      </c>
      <c r="E250" t="s">
        <v>35</v>
      </c>
      <c r="F250">
        <v>54</v>
      </c>
      <c r="G250">
        <v>397.17</v>
      </c>
      <c r="H250" t="s">
        <v>655</v>
      </c>
      <c r="I250" t="s">
        <v>681</v>
      </c>
      <c r="J250" t="s">
        <v>669</v>
      </c>
    </row>
    <row r="251" spans="1:10" hidden="1" x14ac:dyDescent="0.45">
      <c r="A251" t="s">
        <v>918</v>
      </c>
      <c r="B251" s="1">
        <v>45045</v>
      </c>
      <c r="C251" t="s">
        <v>662</v>
      </c>
      <c r="D251" t="s">
        <v>665</v>
      </c>
      <c r="E251" t="s">
        <v>19</v>
      </c>
      <c r="F251">
        <v>47</v>
      </c>
      <c r="G251">
        <v>969.72</v>
      </c>
      <c r="H251" t="s">
        <v>655</v>
      </c>
      <c r="I251" t="s">
        <v>659</v>
      </c>
      <c r="J251" t="s">
        <v>657</v>
      </c>
    </row>
    <row r="252" spans="1:10" hidden="1" x14ac:dyDescent="0.45">
      <c r="A252" t="s">
        <v>919</v>
      </c>
      <c r="B252" s="1">
        <v>45224</v>
      </c>
      <c r="C252" t="s">
        <v>653</v>
      </c>
      <c r="D252" t="s">
        <v>654</v>
      </c>
      <c r="E252" t="s">
        <v>19</v>
      </c>
      <c r="F252">
        <v>87</v>
      </c>
      <c r="G252">
        <v>265.55</v>
      </c>
      <c r="H252" t="s">
        <v>655</v>
      </c>
      <c r="I252" t="s">
        <v>656</v>
      </c>
      <c r="J252" t="s">
        <v>660</v>
      </c>
    </row>
    <row r="253" spans="1:10" hidden="1" x14ac:dyDescent="0.45">
      <c r="A253" t="s">
        <v>920</v>
      </c>
      <c r="B253" s="1">
        <v>44839</v>
      </c>
      <c r="C253" t="s">
        <v>653</v>
      </c>
      <c r="D253" t="s">
        <v>665</v>
      </c>
      <c r="E253" t="s">
        <v>35</v>
      </c>
      <c r="F253">
        <v>49</v>
      </c>
      <c r="G253">
        <v>660.17</v>
      </c>
      <c r="H253" t="s">
        <v>655</v>
      </c>
      <c r="I253" t="s">
        <v>681</v>
      </c>
      <c r="J253" t="s">
        <v>657</v>
      </c>
    </row>
    <row r="254" spans="1:10" x14ac:dyDescent="0.45">
      <c r="A254" t="s">
        <v>921</v>
      </c>
      <c r="B254" s="1">
        <v>45060</v>
      </c>
      <c r="C254" t="s">
        <v>662</v>
      </c>
      <c r="D254" t="s">
        <v>672</v>
      </c>
      <c r="E254" t="s">
        <v>19</v>
      </c>
      <c r="F254">
        <v>9</v>
      </c>
      <c r="G254">
        <v>331.94</v>
      </c>
      <c r="H254" t="s">
        <v>666</v>
      </c>
      <c r="I254" t="s">
        <v>667</v>
      </c>
      <c r="J254" t="s">
        <v>669</v>
      </c>
    </row>
    <row r="255" spans="1:10" hidden="1" x14ac:dyDescent="0.45">
      <c r="A255" t="s">
        <v>922</v>
      </c>
      <c r="B255" s="1">
        <v>44789</v>
      </c>
      <c r="C255" t="s">
        <v>653</v>
      </c>
      <c r="D255" t="s">
        <v>665</v>
      </c>
      <c r="E255" t="s">
        <v>24</v>
      </c>
      <c r="F255">
        <v>99</v>
      </c>
      <c r="G255">
        <v>775.74</v>
      </c>
      <c r="H255" t="s">
        <v>655</v>
      </c>
      <c r="I255" t="s">
        <v>667</v>
      </c>
      <c r="J255" t="s">
        <v>657</v>
      </c>
    </row>
    <row r="256" spans="1:10" hidden="1" x14ac:dyDescent="0.45">
      <c r="A256" t="s">
        <v>923</v>
      </c>
      <c r="B256" s="1">
        <v>44936</v>
      </c>
      <c r="C256" t="s">
        <v>671</v>
      </c>
      <c r="D256" t="s">
        <v>665</v>
      </c>
      <c r="E256" t="s">
        <v>30</v>
      </c>
      <c r="F256">
        <v>20</v>
      </c>
      <c r="G256">
        <v>139.56</v>
      </c>
      <c r="H256" t="s">
        <v>655</v>
      </c>
      <c r="I256" t="s">
        <v>659</v>
      </c>
      <c r="J256" t="s">
        <v>674</v>
      </c>
    </row>
    <row r="257" spans="1:10" hidden="1" x14ac:dyDescent="0.45">
      <c r="A257" t="s">
        <v>924</v>
      </c>
      <c r="B257" s="1">
        <v>44833</v>
      </c>
      <c r="C257" t="s">
        <v>671</v>
      </c>
      <c r="D257" t="s">
        <v>663</v>
      </c>
      <c r="E257" t="s">
        <v>30</v>
      </c>
      <c r="F257">
        <v>61</v>
      </c>
      <c r="G257">
        <v>970.12</v>
      </c>
      <c r="H257" t="s">
        <v>655</v>
      </c>
      <c r="I257" t="s">
        <v>659</v>
      </c>
      <c r="J257" t="s">
        <v>674</v>
      </c>
    </row>
    <row r="258" spans="1:10" hidden="1" x14ac:dyDescent="0.45">
      <c r="A258" t="s">
        <v>925</v>
      </c>
      <c r="B258" s="1">
        <v>45242</v>
      </c>
      <c r="C258" t="s">
        <v>653</v>
      </c>
      <c r="D258" t="s">
        <v>663</v>
      </c>
      <c r="E258" t="s">
        <v>30</v>
      </c>
      <c r="F258">
        <v>35</v>
      </c>
      <c r="G258">
        <v>459.25</v>
      </c>
      <c r="H258" t="s">
        <v>655</v>
      </c>
      <c r="I258" t="s">
        <v>681</v>
      </c>
      <c r="J258" t="s">
        <v>660</v>
      </c>
    </row>
    <row r="259" spans="1:10" hidden="1" x14ac:dyDescent="0.45">
      <c r="A259" t="s">
        <v>926</v>
      </c>
      <c r="B259" s="1">
        <v>45109</v>
      </c>
      <c r="C259" t="s">
        <v>653</v>
      </c>
      <c r="D259" t="s">
        <v>663</v>
      </c>
      <c r="E259" t="s">
        <v>24</v>
      </c>
      <c r="F259">
        <v>50</v>
      </c>
      <c r="G259">
        <v>243.69</v>
      </c>
      <c r="H259" t="s">
        <v>655</v>
      </c>
      <c r="I259" t="s">
        <v>667</v>
      </c>
      <c r="J259" t="s">
        <v>657</v>
      </c>
    </row>
    <row r="260" spans="1:10" hidden="1" x14ac:dyDescent="0.45">
      <c r="A260" t="s">
        <v>927</v>
      </c>
      <c r="B260" s="1">
        <v>44579</v>
      </c>
      <c r="C260" t="s">
        <v>653</v>
      </c>
      <c r="D260" t="s">
        <v>665</v>
      </c>
      <c r="E260" t="s">
        <v>35</v>
      </c>
      <c r="F260">
        <v>82</v>
      </c>
      <c r="G260">
        <v>82.76</v>
      </c>
      <c r="H260" t="s">
        <v>655</v>
      </c>
      <c r="I260" t="s">
        <v>659</v>
      </c>
      <c r="J260" t="s">
        <v>657</v>
      </c>
    </row>
    <row r="261" spans="1:10" hidden="1" x14ac:dyDescent="0.45">
      <c r="A261" t="s">
        <v>928</v>
      </c>
      <c r="B261" s="1">
        <v>44564</v>
      </c>
      <c r="C261" t="s">
        <v>671</v>
      </c>
      <c r="D261" t="s">
        <v>672</v>
      </c>
      <c r="E261" t="s">
        <v>19</v>
      </c>
      <c r="F261">
        <v>62</v>
      </c>
      <c r="G261">
        <v>178.06</v>
      </c>
      <c r="H261" t="s">
        <v>655</v>
      </c>
      <c r="I261" t="s">
        <v>681</v>
      </c>
      <c r="J261" t="s">
        <v>657</v>
      </c>
    </row>
    <row r="262" spans="1:10" hidden="1" x14ac:dyDescent="0.45">
      <c r="A262" t="s">
        <v>929</v>
      </c>
      <c r="B262" s="1">
        <v>44778</v>
      </c>
      <c r="C262" t="s">
        <v>671</v>
      </c>
      <c r="D262" t="s">
        <v>672</v>
      </c>
      <c r="E262" t="s">
        <v>30</v>
      </c>
      <c r="F262">
        <v>17</v>
      </c>
      <c r="G262">
        <v>524.58000000000004</v>
      </c>
      <c r="H262" t="s">
        <v>655</v>
      </c>
      <c r="I262" t="s">
        <v>659</v>
      </c>
      <c r="J262" t="s">
        <v>657</v>
      </c>
    </row>
    <row r="263" spans="1:10" hidden="1" x14ac:dyDescent="0.45">
      <c r="A263" t="s">
        <v>930</v>
      </c>
      <c r="B263" s="1">
        <v>45289</v>
      </c>
      <c r="C263" t="s">
        <v>653</v>
      </c>
      <c r="D263" t="s">
        <v>663</v>
      </c>
      <c r="E263" t="s">
        <v>35</v>
      </c>
      <c r="F263">
        <v>88</v>
      </c>
      <c r="G263">
        <v>343.63</v>
      </c>
      <c r="H263" t="s">
        <v>655</v>
      </c>
      <c r="I263" t="s">
        <v>667</v>
      </c>
      <c r="J263" t="s">
        <v>660</v>
      </c>
    </row>
    <row r="264" spans="1:10" hidden="1" x14ac:dyDescent="0.45">
      <c r="A264" t="s">
        <v>931</v>
      </c>
      <c r="B264" s="1">
        <v>45273</v>
      </c>
      <c r="C264" t="s">
        <v>662</v>
      </c>
      <c r="D264" t="s">
        <v>654</v>
      </c>
      <c r="E264" t="s">
        <v>35</v>
      </c>
      <c r="F264">
        <v>3</v>
      </c>
      <c r="G264">
        <v>830.59</v>
      </c>
      <c r="H264" t="s">
        <v>655</v>
      </c>
      <c r="I264" t="s">
        <v>659</v>
      </c>
      <c r="J264" t="s">
        <v>657</v>
      </c>
    </row>
    <row r="265" spans="1:10" x14ac:dyDescent="0.45">
      <c r="A265" t="s">
        <v>932</v>
      </c>
      <c r="B265" s="1">
        <v>44993</v>
      </c>
      <c r="C265" t="s">
        <v>671</v>
      </c>
      <c r="D265" t="s">
        <v>654</v>
      </c>
      <c r="E265" t="s">
        <v>30</v>
      </c>
      <c r="F265">
        <v>32</v>
      </c>
      <c r="G265">
        <v>436.58</v>
      </c>
      <c r="H265" t="s">
        <v>666</v>
      </c>
      <c r="I265" t="s">
        <v>659</v>
      </c>
      <c r="J265" t="s">
        <v>669</v>
      </c>
    </row>
    <row r="266" spans="1:10" hidden="1" x14ac:dyDescent="0.45">
      <c r="A266" t="s">
        <v>933</v>
      </c>
      <c r="B266" s="1">
        <v>44793</v>
      </c>
      <c r="C266" t="s">
        <v>671</v>
      </c>
      <c r="D266" t="s">
        <v>654</v>
      </c>
      <c r="E266" t="s">
        <v>24</v>
      </c>
      <c r="F266">
        <v>99</v>
      </c>
      <c r="G266">
        <v>256.23</v>
      </c>
      <c r="H266" t="s">
        <v>655</v>
      </c>
      <c r="I266" t="s">
        <v>656</v>
      </c>
      <c r="J266" t="s">
        <v>660</v>
      </c>
    </row>
    <row r="267" spans="1:10" x14ac:dyDescent="0.45">
      <c r="A267" t="s">
        <v>934</v>
      </c>
      <c r="B267" s="1">
        <v>44742</v>
      </c>
      <c r="C267" t="s">
        <v>662</v>
      </c>
      <c r="D267" t="s">
        <v>663</v>
      </c>
      <c r="E267" t="s">
        <v>19</v>
      </c>
      <c r="F267">
        <v>13</v>
      </c>
      <c r="G267">
        <v>620.97</v>
      </c>
      <c r="H267" t="s">
        <v>666</v>
      </c>
      <c r="I267" t="s">
        <v>667</v>
      </c>
      <c r="J267" t="s">
        <v>674</v>
      </c>
    </row>
    <row r="268" spans="1:10" hidden="1" x14ac:dyDescent="0.45">
      <c r="A268" t="s">
        <v>935</v>
      </c>
      <c r="B268" s="1">
        <v>44744</v>
      </c>
      <c r="C268" t="s">
        <v>653</v>
      </c>
      <c r="D268" t="s">
        <v>665</v>
      </c>
      <c r="E268" t="s">
        <v>30</v>
      </c>
      <c r="F268">
        <v>89</v>
      </c>
      <c r="G268">
        <v>709.71</v>
      </c>
      <c r="H268" t="s">
        <v>655</v>
      </c>
      <c r="I268" t="s">
        <v>667</v>
      </c>
      <c r="J268" t="s">
        <v>660</v>
      </c>
    </row>
    <row r="269" spans="1:10" hidden="1" x14ac:dyDescent="0.45">
      <c r="A269" t="s">
        <v>936</v>
      </c>
      <c r="B269" s="1">
        <v>45214</v>
      </c>
      <c r="C269" t="s">
        <v>671</v>
      </c>
      <c r="D269" t="s">
        <v>654</v>
      </c>
      <c r="E269" t="s">
        <v>24</v>
      </c>
      <c r="F269">
        <v>73</v>
      </c>
      <c r="G269">
        <v>175.37</v>
      </c>
      <c r="H269" t="s">
        <v>655</v>
      </c>
      <c r="I269" t="s">
        <v>659</v>
      </c>
      <c r="J269" t="s">
        <v>674</v>
      </c>
    </row>
    <row r="270" spans="1:10" hidden="1" x14ac:dyDescent="0.45">
      <c r="A270" t="s">
        <v>937</v>
      </c>
      <c r="B270" s="1">
        <v>44600</v>
      </c>
      <c r="C270" t="s">
        <v>671</v>
      </c>
      <c r="D270" t="s">
        <v>663</v>
      </c>
      <c r="E270" t="s">
        <v>30</v>
      </c>
      <c r="F270">
        <v>68</v>
      </c>
      <c r="G270">
        <v>175.94</v>
      </c>
      <c r="H270" t="s">
        <v>655</v>
      </c>
      <c r="I270" t="s">
        <v>681</v>
      </c>
      <c r="J270" t="s">
        <v>669</v>
      </c>
    </row>
    <row r="271" spans="1:10" x14ac:dyDescent="0.45">
      <c r="A271" t="s">
        <v>938</v>
      </c>
      <c r="B271" s="1">
        <v>44798</v>
      </c>
      <c r="C271" t="s">
        <v>671</v>
      </c>
      <c r="D271" t="s">
        <v>665</v>
      </c>
      <c r="E271" t="s">
        <v>19</v>
      </c>
      <c r="F271">
        <v>14</v>
      </c>
      <c r="G271">
        <v>46.3</v>
      </c>
      <c r="H271" t="s">
        <v>666</v>
      </c>
      <c r="I271" t="s">
        <v>681</v>
      </c>
      <c r="J271" t="s">
        <v>660</v>
      </c>
    </row>
    <row r="272" spans="1:10" hidden="1" x14ac:dyDescent="0.45">
      <c r="A272" t="s">
        <v>939</v>
      </c>
      <c r="B272" s="1">
        <v>45022</v>
      </c>
      <c r="C272" t="s">
        <v>653</v>
      </c>
      <c r="D272" t="s">
        <v>665</v>
      </c>
      <c r="E272" t="s">
        <v>24</v>
      </c>
      <c r="F272">
        <v>98</v>
      </c>
      <c r="G272">
        <v>739.04</v>
      </c>
      <c r="H272" t="s">
        <v>655</v>
      </c>
      <c r="I272" t="s">
        <v>659</v>
      </c>
      <c r="J272" t="s">
        <v>657</v>
      </c>
    </row>
    <row r="273" spans="1:10" hidden="1" x14ac:dyDescent="0.45">
      <c r="A273" t="s">
        <v>940</v>
      </c>
      <c r="B273" s="1">
        <v>44688</v>
      </c>
      <c r="C273" t="s">
        <v>653</v>
      </c>
      <c r="D273" t="s">
        <v>665</v>
      </c>
      <c r="E273" t="s">
        <v>30</v>
      </c>
      <c r="F273">
        <v>11</v>
      </c>
      <c r="G273">
        <v>667.17</v>
      </c>
      <c r="H273" t="s">
        <v>655</v>
      </c>
      <c r="I273" t="s">
        <v>667</v>
      </c>
      <c r="J273" t="s">
        <v>674</v>
      </c>
    </row>
    <row r="274" spans="1:10" x14ac:dyDescent="0.45">
      <c r="A274" t="s">
        <v>941</v>
      </c>
      <c r="B274" s="1">
        <v>44683</v>
      </c>
      <c r="C274" t="s">
        <v>653</v>
      </c>
      <c r="D274" t="s">
        <v>654</v>
      </c>
      <c r="E274" t="s">
        <v>24</v>
      </c>
      <c r="F274">
        <v>56</v>
      </c>
      <c r="G274">
        <v>479.88</v>
      </c>
      <c r="H274" t="s">
        <v>666</v>
      </c>
      <c r="I274" t="s">
        <v>667</v>
      </c>
      <c r="J274" t="s">
        <v>660</v>
      </c>
    </row>
    <row r="275" spans="1:10" hidden="1" x14ac:dyDescent="0.45">
      <c r="A275" t="s">
        <v>942</v>
      </c>
      <c r="B275" s="1">
        <v>45062</v>
      </c>
      <c r="C275" t="s">
        <v>653</v>
      </c>
      <c r="D275" t="s">
        <v>654</v>
      </c>
      <c r="E275" t="s">
        <v>35</v>
      </c>
      <c r="F275">
        <v>67</v>
      </c>
      <c r="G275">
        <v>845.73</v>
      </c>
      <c r="H275" t="s">
        <v>655</v>
      </c>
      <c r="I275" t="s">
        <v>656</v>
      </c>
      <c r="J275" t="s">
        <v>669</v>
      </c>
    </row>
    <row r="276" spans="1:10" x14ac:dyDescent="0.45">
      <c r="A276" t="s">
        <v>943</v>
      </c>
      <c r="B276" s="1">
        <v>44951</v>
      </c>
      <c r="C276" t="s">
        <v>653</v>
      </c>
      <c r="D276" t="s">
        <v>663</v>
      </c>
      <c r="E276" t="s">
        <v>35</v>
      </c>
      <c r="F276">
        <v>92</v>
      </c>
      <c r="G276">
        <v>807.61</v>
      </c>
      <c r="H276" t="s">
        <v>666</v>
      </c>
      <c r="I276" t="s">
        <v>681</v>
      </c>
      <c r="J276" t="s">
        <v>660</v>
      </c>
    </row>
    <row r="277" spans="1:10" hidden="1" x14ac:dyDescent="0.45">
      <c r="A277" t="s">
        <v>944</v>
      </c>
      <c r="B277" s="1">
        <v>44693</v>
      </c>
      <c r="C277" t="s">
        <v>671</v>
      </c>
      <c r="D277" t="s">
        <v>663</v>
      </c>
      <c r="E277" t="s">
        <v>30</v>
      </c>
      <c r="F277">
        <v>29</v>
      </c>
      <c r="G277">
        <v>589.5</v>
      </c>
      <c r="H277" t="s">
        <v>655</v>
      </c>
      <c r="I277" t="s">
        <v>681</v>
      </c>
      <c r="J277" t="s">
        <v>669</v>
      </c>
    </row>
    <row r="278" spans="1:10" hidden="1" x14ac:dyDescent="0.45">
      <c r="A278" t="s">
        <v>945</v>
      </c>
      <c r="B278" s="1">
        <v>44985</v>
      </c>
      <c r="C278" t="s">
        <v>653</v>
      </c>
      <c r="D278" t="s">
        <v>672</v>
      </c>
      <c r="E278" t="s">
        <v>35</v>
      </c>
      <c r="F278">
        <v>9</v>
      </c>
      <c r="G278">
        <v>869.59</v>
      </c>
      <c r="H278" t="s">
        <v>655</v>
      </c>
      <c r="I278" t="s">
        <v>656</v>
      </c>
      <c r="J278" t="s">
        <v>657</v>
      </c>
    </row>
    <row r="279" spans="1:10" hidden="1" x14ac:dyDescent="0.45">
      <c r="A279" t="s">
        <v>946</v>
      </c>
      <c r="B279" s="1">
        <v>45135</v>
      </c>
      <c r="C279" t="s">
        <v>662</v>
      </c>
      <c r="D279" t="s">
        <v>654</v>
      </c>
      <c r="E279" t="s">
        <v>19</v>
      </c>
      <c r="F279">
        <v>67</v>
      </c>
      <c r="G279">
        <v>213.78</v>
      </c>
      <c r="H279" t="s">
        <v>655</v>
      </c>
      <c r="I279" t="s">
        <v>667</v>
      </c>
      <c r="J279" t="s">
        <v>660</v>
      </c>
    </row>
    <row r="280" spans="1:10" x14ac:dyDescent="0.45">
      <c r="A280" t="s">
        <v>947</v>
      </c>
      <c r="B280" s="1">
        <v>44590</v>
      </c>
      <c r="C280" t="s">
        <v>653</v>
      </c>
      <c r="D280" t="s">
        <v>663</v>
      </c>
      <c r="E280" t="s">
        <v>35</v>
      </c>
      <c r="F280">
        <v>25</v>
      </c>
      <c r="G280">
        <v>120.8</v>
      </c>
      <c r="H280" t="s">
        <v>666</v>
      </c>
      <c r="I280" t="s">
        <v>656</v>
      </c>
      <c r="J280" t="s">
        <v>669</v>
      </c>
    </row>
    <row r="281" spans="1:10" hidden="1" x14ac:dyDescent="0.45">
      <c r="A281" t="s">
        <v>948</v>
      </c>
      <c r="B281" s="1">
        <v>44807</v>
      </c>
      <c r="C281" t="s">
        <v>662</v>
      </c>
      <c r="D281" t="s">
        <v>654</v>
      </c>
      <c r="E281" t="s">
        <v>19</v>
      </c>
      <c r="F281">
        <v>98</v>
      </c>
      <c r="G281">
        <v>277.05</v>
      </c>
      <c r="H281" t="s">
        <v>655</v>
      </c>
      <c r="I281" t="s">
        <v>667</v>
      </c>
      <c r="J281" t="s">
        <v>657</v>
      </c>
    </row>
    <row r="282" spans="1:10" x14ac:dyDescent="0.45">
      <c r="A282" t="s">
        <v>949</v>
      </c>
      <c r="B282" s="1">
        <v>44754</v>
      </c>
      <c r="C282" t="s">
        <v>662</v>
      </c>
      <c r="D282" t="s">
        <v>654</v>
      </c>
      <c r="E282" t="s">
        <v>19</v>
      </c>
      <c r="F282">
        <v>76</v>
      </c>
      <c r="G282">
        <v>66.52</v>
      </c>
      <c r="H282" t="s">
        <v>666</v>
      </c>
      <c r="I282" t="s">
        <v>681</v>
      </c>
      <c r="J282" t="s">
        <v>674</v>
      </c>
    </row>
    <row r="283" spans="1:10" hidden="1" x14ac:dyDescent="0.45">
      <c r="A283" t="s">
        <v>950</v>
      </c>
      <c r="B283" s="1">
        <v>44646</v>
      </c>
      <c r="C283" t="s">
        <v>653</v>
      </c>
      <c r="D283" t="s">
        <v>663</v>
      </c>
      <c r="E283" t="s">
        <v>19</v>
      </c>
      <c r="F283">
        <v>42</v>
      </c>
      <c r="G283">
        <v>535.86</v>
      </c>
      <c r="H283" t="s">
        <v>655</v>
      </c>
      <c r="I283" t="s">
        <v>667</v>
      </c>
      <c r="J283" t="s">
        <v>669</v>
      </c>
    </row>
    <row r="284" spans="1:10" hidden="1" x14ac:dyDescent="0.45">
      <c r="A284" t="s">
        <v>951</v>
      </c>
      <c r="B284" s="1">
        <v>44647</v>
      </c>
      <c r="C284" t="s">
        <v>653</v>
      </c>
      <c r="D284" t="s">
        <v>672</v>
      </c>
      <c r="E284" t="s">
        <v>19</v>
      </c>
      <c r="F284">
        <v>9</v>
      </c>
      <c r="G284">
        <v>937.24</v>
      </c>
      <c r="H284" t="s">
        <v>655</v>
      </c>
      <c r="I284" t="s">
        <v>667</v>
      </c>
      <c r="J284" t="s">
        <v>657</v>
      </c>
    </row>
    <row r="285" spans="1:10" x14ac:dyDescent="0.45">
      <c r="A285" t="s">
        <v>952</v>
      </c>
      <c r="B285" s="1">
        <v>45076</v>
      </c>
      <c r="C285" t="s">
        <v>671</v>
      </c>
      <c r="D285" t="s">
        <v>663</v>
      </c>
      <c r="E285" t="s">
        <v>35</v>
      </c>
      <c r="F285">
        <v>79</v>
      </c>
      <c r="G285">
        <v>48.95</v>
      </c>
      <c r="H285" t="s">
        <v>666</v>
      </c>
      <c r="I285" t="s">
        <v>681</v>
      </c>
      <c r="J285" t="s">
        <v>657</v>
      </c>
    </row>
    <row r="286" spans="1:10" x14ac:dyDescent="0.45">
      <c r="A286" t="s">
        <v>953</v>
      </c>
      <c r="B286" s="1">
        <v>44968</v>
      </c>
      <c r="C286" t="s">
        <v>671</v>
      </c>
      <c r="D286" t="s">
        <v>672</v>
      </c>
      <c r="E286" t="s">
        <v>24</v>
      </c>
      <c r="F286">
        <v>40</v>
      </c>
      <c r="G286">
        <v>130.88999999999999</v>
      </c>
      <c r="H286" t="s">
        <v>666</v>
      </c>
      <c r="I286" t="s">
        <v>667</v>
      </c>
      <c r="J286" t="s">
        <v>657</v>
      </c>
    </row>
    <row r="287" spans="1:10" x14ac:dyDescent="0.45">
      <c r="A287" t="s">
        <v>954</v>
      </c>
      <c r="B287" s="1">
        <v>45196</v>
      </c>
      <c r="C287" t="s">
        <v>671</v>
      </c>
      <c r="D287" t="s">
        <v>665</v>
      </c>
      <c r="E287" t="s">
        <v>19</v>
      </c>
      <c r="F287">
        <v>25</v>
      </c>
      <c r="G287">
        <v>457.68</v>
      </c>
      <c r="H287" t="s">
        <v>666</v>
      </c>
      <c r="I287" t="s">
        <v>681</v>
      </c>
      <c r="J287" t="s">
        <v>657</v>
      </c>
    </row>
    <row r="288" spans="1:10" x14ac:dyDescent="0.45">
      <c r="A288" t="s">
        <v>955</v>
      </c>
      <c r="B288" s="1">
        <v>45104</v>
      </c>
      <c r="C288" t="s">
        <v>662</v>
      </c>
      <c r="D288" t="s">
        <v>654</v>
      </c>
      <c r="E288" t="s">
        <v>35</v>
      </c>
      <c r="F288">
        <v>5</v>
      </c>
      <c r="G288">
        <v>934.54</v>
      </c>
      <c r="H288" t="s">
        <v>666</v>
      </c>
      <c r="I288" t="s">
        <v>656</v>
      </c>
      <c r="J288" t="s">
        <v>674</v>
      </c>
    </row>
    <row r="289" spans="1:10" hidden="1" x14ac:dyDescent="0.45">
      <c r="A289" t="s">
        <v>956</v>
      </c>
      <c r="B289" s="1">
        <v>45125</v>
      </c>
      <c r="C289" t="s">
        <v>671</v>
      </c>
      <c r="D289" t="s">
        <v>654</v>
      </c>
      <c r="E289" t="s">
        <v>35</v>
      </c>
      <c r="F289">
        <v>11</v>
      </c>
      <c r="G289">
        <v>322.99</v>
      </c>
      <c r="H289" t="s">
        <v>655</v>
      </c>
      <c r="I289" t="s">
        <v>681</v>
      </c>
      <c r="J289" t="s">
        <v>657</v>
      </c>
    </row>
    <row r="290" spans="1:10" hidden="1" x14ac:dyDescent="0.45">
      <c r="A290" t="s">
        <v>957</v>
      </c>
      <c r="B290" s="1">
        <v>44813</v>
      </c>
      <c r="C290" t="s">
        <v>662</v>
      </c>
      <c r="D290" t="s">
        <v>665</v>
      </c>
      <c r="E290" t="s">
        <v>19</v>
      </c>
      <c r="F290">
        <v>59</v>
      </c>
      <c r="G290">
        <v>512.16</v>
      </c>
      <c r="H290" t="s">
        <v>655</v>
      </c>
      <c r="I290" t="s">
        <v>656</v>
      </c>
      <c r="J290" t="s">
        <v>660</v>
      </c>
    </row>
    <row r="291" spans="1:10" hidden="1" x14ac:dyDescent="0.45">
      <c r="A291" t="s">
        <v>958</v>
      </c>
      <c r="B291" s="1">
        <v>44938</v>
      </c>
      <c r="C291" t="s">
        <v>671</v>
      </c>
      <c r="D291" t="s">
        <v>663</v>
      </c>
      <c r="E291" t="s">
        <v>19</v>
      </c>
      <c r="F291">
        <v>98</v>
      </c>
      <c r="G291">
        <v>51.16</v>
      </c>
      <c r="H291" t="s">
        <v>655</v>
      </c>
      <c r="I291" t="s">
        <v>667</v>
      </c>
      <c r="J291" t="s">
        <v>674</v>
      </c>
    </row>
    <row r="292" spans="1:10" hidden="1" x14ac:dyDescent="0.45">
      <c r="A292" t="s">
        <v>959</v>
      </c>
      <c r="B292" s="1">
        <v>45016</v>
      </c>
      <c r="C292" t="s">
        <v>671</v>
      </c>
      <c r="D292" t="s">
        <v>663</v>
      </c>
      <c r="E292" t="s">
        <v>19</v>
      </c>
      <c r="F292">
        <v>88</v>
      </c>
      <c r="G292">
        <v>156.86000000000001</v>
      </c>
      <c r="H292" t="s">
        <v>655</v>
      </c>
      <c r="I292" t="s">
        <v>667</v>
      </c>
      <c r="J292" t="s">
        <v>674</v>
      </c>
    </row>
    <row r="293" spans="1:10" x14ac:dyDescent="0.45">
      <c r="A293" t="s">
        <v>960</v>
      </c>
      <c r="B293" s="1">
        <v>44695</v>
      </c>
      <c r="C293" t="s">
        <v>671</v>
      </c>
      <c r="D293" t="s">
        <v>654</v>
      </c>
      <c r="E293" t="s">
        <v>19</v>
      </c>
      <c r="F293">
        <v>79</v>
      </c>
      <c r="G293">
        <v>986.76</v>
      </c>
      <c r="H293" t="s">
        <v>666</v>
      </c>
      <c r="I293" t="s">
        <v>659</v>
      </c>
      <c r="J293" t="s">
        <v>674</v>
      </c>
    </row>
    <row r="294" spans="1:10" hidden="1" x14ac:dyDescent="0.45">
      <c r="A294" t="s">
        <v>961</v>
      </c>
      <c r="B294" s="1">
        <v>44967</v>
      </c>
      <c r="C294" t="s">
        <v>653</v>
      </c>
      <c r="D294" t="s">
        <v>654</v>
      </c>
      <c r="E294" t="s">
        <v>24</v>
      </c>
      <c r="F294">
        <v>38</v>
      </c>
      <c r="G294">
        <v>965.47</v>
      </c>
      <c r="H294" t="s">
        <v>655</v>
      </c>
      <c r="I294" t="s">
        <v>681</v>
      </c>
      <c r="J294" t="s">
        <v>669</v>
      </c>
    </row>
    <row r="295" spans="1:10" hidden="1" x14ac:dyDescent="0.45">
      <c r="A295" t="s">
        <v>962</v>
      </c>
      <c r="B295" s="1">
        <v>44962</v>
      </c>
      <c r="C295" t="s">
        <v>671</v>
      </c>
      <c r="D295" t="s">
        <v>665</v>
      </c>
      <c r="E295" t="s">
        <v>35</v>
      </c>
      <c r="F295">
        <v>72</v>
      </c>
      <c r="G295">
        <v>14.89</v>
      </c>
      <c r="H295" t="s">
        <v>655</v>
      </c>
      <c r="I295" t="s">
        <v>667</v>
      </c>
      <c r="J295" t="s">
        <v>657</v>
      </c>
    </row>
    <row r="296" spans="1:10" hidden="1" x14ac:dyDescent="0.45">
      <c r="A296" t="s">
        <v>963</v>
      </c>
      <c r="B296" s="1">
        <v>44702</v>
      </c>
      <c r="C296" t="s">
        <v>662</v>
      </c>
      <c r="D296" t="s">
        <v>672</v>
      </c>
      <c r="E296" t="s">
        <v>24</v>
      </c>
      <c r="F296">
        <v>5</v>
      </c>
      <c r="G296">
        <v>952.29</v>
      </c>
      <c r="H296" t="s">
        <v>655</v>
      </c>
      <c r="I296" t="s">
        <v>656</v>
      </c>
      <c r="J296" t="s">
        <v>657</v>
      </c>
    </row>
    <row r="297" spans="1:10" x14ac:dyDescent="0.45">
      <c r="A297" t="s">
        <v>964</v>
      </c>
      <c r="B297" s="1">
        <v>45250</v>
      </c>
      <c r="C297" t="s">
        <v>671</v>
      </c>
      <c r="D297" t="s">
        <v>672</v>
      </c>
      <c r="E297" t="s">
        <v>24</v>
      </c>
      <c r="F297">
        <v>48</v>
      </c>
      <c r="G297">
        <v>642.73</v>
      </c>
      <c r="H297" t="s">
        <v>666</v>
      </c>
      <c r="I297" t="s">
        <v>667</v>
      </c>
      <c r="J297" t="s">
        <v>657</v>
      </c>
    </row>
    <row r="298" spans="1:10" hidden="1" x14ac:dyDescent="0.45">
      <c r="A298" t="s">
        <v>965</v>
      </c>
      <c r="B298" s="1">
        <v>44613</v>
      </c>
      <c r="C298" t="s">
        <v>653</v>
      </c>
      <c r="D298" t="s">
        <v>665</v>
      </c>
      <c r="E298" t="s">
        <v>19</v>
      </c>
      <c r="F298">
        <v>90</v>
      </c>
      <c r="G298">
        <v>869.24</v>
      </c>
      <c r="H298" t="s">
        <v>655</v>
      </c>
      <c r="I298" t="s">
        <v>656</v>
      </c>
      <c r="J298" t="s">
        <v>660</v>
      </c>
    </row>
    <row r="299" spans="1:10" hidden="1" x14ac:dyDescent="0.45">
      <c r="A299" t="s">
        <v>966</v>
      </c>
      <c r="B299" s="1">
        <v>45019</v>
      </c>
      <c r="C299" t="s">
        <v>671</v>
      </c>
      <c r="D299" t="s">
        <v>654</v>
      </c>
      <c r="E299" t="s">
        <v>35</v>
      </c>
      <c r="F299">
        <v>18</v>
      </c>
      <c r="G299">
        <v>460.19</v>
      </c>
      <c r="H299" t="s">
        <v>655</v>
      </c>
      <c r="I299" t="s">
        <v>659</v>
      </c>
      <c r="J299" t="s">
        <v>674</v>
      </c>
    </row>
    <row r="300" spans="1:10" x14ac:dyDescent="0.45">
      <c r="A300" t="s">
        <v>967</v>
      </c>
      <c r="B300" s="1">
        <v>45163</v>
      </c>
      <c r="C300" t="s">
        <v>671</v>
      </c>
      <c r="D300" t="s">
        <v>672</v>
      </c>
      <c r="E300" t="s">
        <v>19</v>
      </c>
      <c r="F300">
        <v>70</v>
      </c>
      <c r="G300">
        <v>520.44000000000005</v>
      </c>
      <c r="H300" t="s">
        <v>666</v>
      </c>
      <c r="I300" t="s">
        <v>681</v>
      </c>
      <c r="J300" t="s">
        <v>669</v>
      </c>
    </row>
    <row r="301" spans="1:10" x14ac:dyDescent="0.45">
      <c r="A301" t="s">
        <v>968</v>
      </c>
      <c r="B301" s="1">
        <v>44933</v>
      </c>
      <c r="C301" t="s">
        <v>671</v>
      </c>
      <c r="D301" t="s">
        <v>665</v>
      </c>
      <c r="E301" t="s">
        <v>19</v>
      </c>
      <c r="F301">
        <v>37</v>
      </c>
      <c r="G301">
        <v>493.96</v>
      </c>
      <c r="H301" t="s">
        <v>666</v>
      </c>
      <c r="I301" t="s">
        <v>656</v>
      </c>
      <c r="J301" t="s">
        <v>674</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F818D-03A7-4FE1-AF2A-F787A44540C0}">
  <dimension ref="B4:N76"/>
  <sheetViews>
    <sheetView tabSelected="1" topLeftCell="A51" zoomScale="88" workbookViewId="0">
      <selection activeCell="K72" sqref="K72"/>
    </sheetView>
  </sheetViews>
  <sheetFormatPr defaultRowHeight="14.25" x14ac:dyDescent="0.45"/>
  <cols>
    <col min="1" max="1" width="10.19921875" customWidth="1"/>
    <col min="2" max="2" width="9.1328125" customWidth="1"/>
    <col min="3" max="3" width="12.46484375" bestFit="1" customWidth="1"/>
    <col min="4" max="5" width="17.59765625" bestFit="1" customWidth="1"/>
  </cols>
  <sheetData>
    <row r="4" spans="2:14" x14ac:dyDescent="0.45">
      <c r="B4" t="s">
        <v>2</v>
      </c>
      <c r="C4" t="s">
        <v>969</v>
      </c>
      <c r="M4" t="s">
        <v>0</v>
      </c>
      <c r="N4" t="s">
        <v>1</v>
      </c>
    </row>
    <row r="5" spans="2:14" x14ac:dyDescent="0.45">
      <c r="N5" t="s">
        <v>969</v>
      </c>
    </row>
    <row r="6" spans="2:14" x14ac:dyDescent="0.45">
      <c r="C6" s="5" t="s">
        <v>1007</v>
      </c>
      <c r="D6" t="s">
        <v>1009</v>
      </c>
    </row>
    <row r="7" spans="2:14" x14ac:dyDescent="0.45">
      <c r="C7" s="6" t="s">
        <v>671</v>
      </c>
      <c r="D7" s="8">
        <v>48496.32</v>
      </c>
    </row>
    <row r="8" spans="2:14" x14ac:dyDescent="0.45">
      <c r="C8" s="7" t="s">
        <v>665</v>
      </c>
      <c r="D8" s="8">
        <v>7629.77</v>
      </c>
      <c r="M8" t="s">
        <v>631</v>
      </c>
      <c r="N8" t="s">
        <v>972</v>
      </c>
    </row>
    <row r="9" spans="2:14" x14ac:dyDescent="0.45">
      <c r="C9" s="7" t="s">
        <v>654</v>
      </c>
      <c r="D9" s="8">
        <v>11024.4</v>
      </c>
      <c r="M9" t="s">
        <v>633</v>
      </c>
      <c r="N9" t="s">
        <v>973</v>
      </c>
    </row>
    <row r="10" spans="2:14" x14ac:dyDescent="0.45">
      <c r="C10" s="7" t="s">
        <v>672</v>
      </c>
      <c r="D10" s="8">
        <v>13833.679999999998</v>
      </c>
      <c r="M10" t="s">
        <v>635</v>
      </c>
      <c r="N10" t="s">
        <v>974</v>
      </c>
    </row>
    <row r="11" spans="2:14" x14ac:dyDescent="0.45">
      <c r="C11" s="7" t="s">
        <v>663</v>
      </c>
      <c r="D11" s="8">
        <v>16008.47</v>
      </c>
      <c r="M11" t="s">
        <v>637</v>
      </c>
      <c r="N11" t="s">
        <v>975</v>
      </c>
    </row>
    <row r="12" spans="2:14" x14ac:dyDescent="0.45">
      <c r="C12" s="6" t="s">
        <v>653</v>
      </c>
      <c r="D12" s="8">
        <v>59766.080000000002</v>
      </c>
      <c r="M12" t="s">
        <v>639</v>
      </c>
      <c r="N12" t="s">
        <v>976</v>
      </c>
    </row>
    <row r="13" spans="2:14" x14ac:dyDescent="0.45">
      <c r="C13" s="7" t="s">
        <v>665</v>
      </c>
      <c r="D13" s="8">
        <v>15212.39</v>
      </c>
      <c r="M13" t="s">
        <v>641</v>
      </c>
      <c r="N13" t="s">
        <v>977</v>
      </c>
    </row>
    <row r="14" spans="2:14" x14ac:dyDescent="0.45">
      <c r="C14" s="7" t="s">
        <v>654</v>
      </c>
      <c r="D14" s="8">
        <v>18804.370000000003</v>
      </c>
      <c r="M14" t="s">
        <v>643</v>
      </c>
      <c r="N14" t="s">
        <v>978</v>
      </c>
    </row>
    <row r="15" spans="2:14" x14ac:dyDescent="0.45">
      <c r="C15" s="7" t="s">
        <v>672</v>
      </c>
      <c r="D15" s="8">
        <v>10729.650000000001</v>
      </c>
    </row>
    <row r="16" spans="2:14" x14ac:dyDescent="0.45">
      <c r="C16" s="7" t="s">
        <v>663</v>
      </c>
      <c r="D16" s="8">
        <v>15019.67</v>
      </c>
    </row>
    <row r="17" spans="2:4" x14ac:dyDescent="0.45">
      <c r="C17" s="6" t="s">
        <v>662</v>
      </c>
      <c r="D17" s="8">
        <v>45398.840000000004</v>
      </c>
    </row>
    <row r="18" spans="2:4" x14ac:dyDescent="0.45">
      <c r="C18" s="7" t="s">
        <v>665</v>
      </c>
      <c r="D18" s="8">
        <v>11441.28</v>
      </c>
    </row>
    <row r="19" spans="2:4" x14ac:dyDescent="0.45">
      <c r="C19" s="7" t="s">
        <v>654</v>
      </c>
      <c r="D19" s="8">
        <v>13978.8</v>
      </c>
    </row>
    <row r="20" spans="2:4" x14ac:dyDescent="0.45">
      <c r="C20" s="7" t="s">
        <v>672</v>
      </c>
      <c r="D20" s="8">
        <v>10156.650000000001</v>
      </c>
    </row>
    <row r="21" spans="2:4" x14ac:dyDescent="0.45">
      <c r="C21" s="7" t="s">
        <v>663</v>
      </c>
      <c r="D21" s="8">
        <v>9822.11</v>
      </c>
    </row>
    <row r="22" spans="2:4" x14ac:dyDescent="0.45">
      <c r="C22" s="6" t="s">
        <v>1008</v>
      </c>
      <c r="D22" s="8">
        <v>153661.24</v>
      </c>
    </row>
    <row r="25" spans="2:4" x14ac:dyDescent="0.45">
      <c r="B25" t="s">
        <v>4</v>
      </c>
      <c r="C25" t="s">
        <v>970</v>
      </c>
    </row>
    <row r="27" spans="2:4" x14ac:dyDescent="0.45">
      <c r="C27" s="5" t="s">
        <v>1007</v>
      </c>
      <c r="D27" t="s">
        <v>1010</v>
      </c>
    </row>
    <row r="28" spans="2:4" x14ac:dyDescent="0.45">
      <c r="C28" s="6" t="s">
        <v>30</v>
      </c>
      <c r="D28" s="8">
        <v>3733</v>
      </c>
    </row>
    <row r="29" spans="2:4" x14ac:dyDescent="0.45">
      <c r="C29" s="6" t="s">
        <v>19</v>
      </c>
      <c r="D29" s="8">
        <v>4180</v>
      </c>
    </row>
    <row r="30" spans="2:4" x14ac:dyDescent="0.45">
      <c r="C30" s="6" t="s">
        <v>24</v>
      </c>
      <c r="D30" s="8">
        <v>3202</v>
      </c>
    </row>
    <row r="31" spans="2:4" x14ac:dyDescent="0.45">
      <c r="C31" s="6" t="s">
        <v>35</v>
      </c>
      <c r="D31" s="8">
        <v>3883</v>
      </c>
    </row>
    <row r="32" spans="2:4" x14ac:dyDescent="0.45">
      <c r="C32" s="6" t="s">
        <v>1008</v>
      </c>
      <c r="D32" s="8">
        <v>14998</v>
      </c>
    </row>
    <row r="35" spans="2:3" x14ac:dyDescent="0.45">
      <c r="B35" t="s">
        <v>629</v>
      </c>
      <c r="C35" t="s">
        <v>971</v>
      </c>
    </row>
    <row r="37" spans="2:3" x14ac:dyDescent="0.45">
      <c r="C37" t="s">
        <v>1011</v>
      </c>
    </row>
    <row r="40" spans="2:3" x14ac:dyDescent="0.45">
      <c r="B40">
        <v>4</v>
      </c>
      <c r="C40" t="s">
        <v>972</v>
      </c>
    </row>
    <row r="52" spans="2:4" x14ac:dyDescent="0.45">
      <c r="B52" t="s">
        <v>633</v>
      </c>
      <c r="C52" t="s">
        <v>973</v>
      </c>
    </row>
    <row r="54" spans="2:4" x14ac:dyDescent="0.45">
      <c r="C54" s="5" t="s">
        <v>1007</v>
      </c>
      <c r="D54" t="s">
        <v>1009</v>
      </c>
    </row>
    <row r="55" spans="2:4" x14ac:dyDescent="0.45">
      <c r="C55" s="6" t="s">
        <v>1012</v>
      </c>
      <c r="D55" s="8">
        <v>11154.209999999997</v>
      </c>
    </row>
    <row r="56" spans="2:4" x14ac:dyDescent="0.45">
      <c r="C56" s="6" t="s">
        <v>1013</v>
      </c>
      <c r="D56" s="8">
        <v>11360.179999999998</v>
      </c>
    </row>
    <row r="57" spans="2:4" x14ac:dyDescent="0.45">
      <c r="C57" s="6" t="s">
        <v>1014</v>
      </c>
      <c r="D57" s="8">
        <v>12095.040000000003</v>
      </c>
    </row>
    <row r="58" spans="2:4" x14ac:dyDescent="0.45">
      <c r="C58" s="6" t="s">
        <v>1015</v>
      </c>
      <c r="D58" s="8">
        <v>13315.329999999996</v>
      </c>
    </row>
    <row r="59" spans="2:4" x14ac:dyDescent="0.45">
      <c r="C59" s="6" t="s">
        <v>1016</v>
      </c>
      <c r="D59" s="8">
        <v>19117.469999999998</v>
      </c>
    </row>
    <row r="60" spans="2:4" x14ac:dyDescent="0.45">
      <c r="C60" s="6" t="s">
        <v>1017</v>
      </c>
      <c r="D60" s="8">
        <v>10499.75</v>
      </c>
    </row>
    <row r="61" spans="2:4" x14ac:dyDescent="0.45">
      <c r="C61" s="6" t="s">
        <v>1018</v>
      </c>
      <c r="D61" s="8">
        <v>13079.240000000002</v>
      </c>
    </row>
    <row r="62" spans="2:4" x14ac:dyDescent="0.45">
      <c r="C62" s="6" t="s">
        <v>1019</v>
      </c>
      <c r="D62" s="8">
        <v>10369.469999999999</v>
      </c>
    </row>
    <row r="63" spans="2:4" x14ac:dyDescent="0.45">
      <c r="C63" s="6" t="s">
        <v>1020</v>
      </c>
      <c r="D63" s="8">
        <v>8502.48</v>
      </c>
    </row>
    <row r="64" spans="2:4" x14ac:dyDescent="0.45">
      <c r="C64" s="6" t="s">
        <v>1021</v>
      </c>
      <c r="D64" s="8">
        <v>18162.03</v>
      </c>
    </row>
    <row r="65" spans="2:4" x14ac:dyDescent="0.45">
      <c r="C65" s="6" t="s">
        <v>1022</v>
      </c>
      <c r="D65" s="8">
        <v>12138.099999999997</v>
      </c>
    </row>
    <row r="66" spans="2:4" x14ac:dyDescent="0.45">
      <c r="C66" s="6" t="s">
        <v>1023</v>
      </c>
      <c r="D66" s="8">
        <v>13867.939999999997</v>
      </c>
    </row>
    <row r="67" spans="2:4" x14ac:dyDescent="0.45">
      <c r="C67" s="6" t="s">
        <v>1008</v>
      </c>
      <c r="D67" s="8">
        <v>153661.24</v>
      </c>
    </row>
    <row r="69" spans="2:4" x14ac:dyDescent="0.45">
      <c r="B69" t="s">
        <v>635</v>
      </c>
      <c r="C69" t="s">
        <v>974</v>
      </c>
    </row>
    <row r="71" spans="2:4" x14ac:dyDescent="0.45">
      <c r="C71" s="5" t="s">
        <v>1007</v>
      </c>
      <c r="D71" t="s">
        <v>1009</v>
      </c>
    </row>
    <row r="72" spans="2:4" x14ac:dyDescent="0.45">
      <c r="C72" s="6" t="s">
        <v>665</v>
      </c>
      <c r="D72" s="8">
        <v>34283.439999999988</v>
      </c>
    </row>
    <row r="73" spans="2:4" x14ac:dyDescent="0.45">
      <c r="C73" s="6" t="s">
        <v>654</v>
      </c>
      <c r="D73" s="8">
        <v>43807.570000000014</v>
      </c>
    </row>
    <row r="74" spans="2:4" x14ac:dyDescent="0.45">
      <c r="C74" s="6" t="s">
        <v>672</v>
      </c>
      <c r="D74" s="8">
        <v>34719.980000000003</v>
      </c>
    </row>
    <row r="75" spans="2:4" x14ac:dyDescent="0.45">
      <c r="C75" s="6" t="s">
        <v>663</v>
      </c>
      <c r="D75" s="8">
        <v>40850.25</v>
      </c>
    </row>
    <row r="76" spans="2:4" x14ac:dyDescent="0.45">
      <c r="C76" s="6" t="s">
        <v>1008</v>
      </c>
      <c r="D76" s="8">
        <v>153661.24000000002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workbookViewId="0">
      <selection sqref="A1:H12"/>
    </sheetView>
  </sheetViews>
  <sheetFormatPr defaultRowHeight="14.25" x14ac:dyDescent="0.45"/>
  <sheetData>
    <row r="1" spans="1:2" x14ac:dyDescent="0.45">
      <c r="A1" t="s">
        <v>0</v>
      </c>
      <c r="B1" t="s">
        <v>1</v>
      </c>
    </row>
    <row r="2" spans="1:2" x14ac:dyDescent="0.45">
      <c r="A2" t="s">
        <v>2</v>
      </c>
      <c r="B2" t="s">
        <v>969</v>
      </c>
    </row>
    <row r="3" spans="1:2" x14ac:dyDescent="0.45">
      <c r="A3" t="s">
        <v>4</v>
      </c>
      <c r="B3" t="s">
        <v>970</v>
      </c>
    </row>
    <row r="4" spans="1:2" x14ac:dyDescent="0.45">
      <c r="A4" t="s">
        <v>629</v>
      </c>
      <c r="B4" t="s">
        <v>971</v>
      </c>
    </row>
    <row r="5" spans="1:2" x14ac:dyDescent="0.45">
      <c r="A5" t="s">
        <v>631</v>
      </c>
      <c r="B5" t="s">
        <v>972</v>
      </c>
    </row>
    <row r="6" spans="1:2" x14ac:dyDescent="0.45">
      <c r="A6" t="s">
        <v>633</v>
      </c>
      <c r="B6" t="s">
        <v>973</v>
      </c>
    </row>
    <row r="7" spans="1:2" x14ac:dyDescent="0.45">
      <c r="A7" t="s">
        <v>635</v>
      </c>
      <c r="B7" t="s">
        <v>974</v>
      </c>
    </row>
    <row r="8" spans="1:2" x14ac:dyDescent="0.45">
      <c r="A8" t="s">
        <v>637</v>
      </c>
      <c r="B8" t="s">
        <v>975</v>
      </c>
    </row>
    <row r="9" spans="1:2" x14ac:dyDescent="0.45">
      <c r="A9" t="s">
        <v>639</v>
      </c>
      <c r="B9" t="s">
        <v>976</v>
      </c>
    </row>
    <row r="10" spans="1:2" x14ac:dyDescent="0.45">
      <c r="A10" t="s">
        <v>641</v>
      </c>
      <c r="B10" t="s">
        <v>977</v>
      </c>
    </row>
    <row r="11" spans="1:2" x14ac:dyDescent="0.45">
      <c r="A11" t="s">
        <v>643</v>
      </c>
      <c r="B11" t="s">
        <v>978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Conceptual Questions</vt:lpstr>
      <vt:lpstr>Practical Q1 -Dataset</vt:lpstr>
      <vt:lpstr>Practical Q1 - Formulas</vt:lpstr>
      <vt:lpstr>Practical Q2 - Dataset</vt:lpstr>
      <vt:lpstr>Sheet1</vt:lpstr>
      <vt:lpstr>Practical Q2 - 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Venkatesh Venky</cp:lastModifiedBy>
  <dcterms:created xsi:type="dcterms:W3CDTF">2025-05-31T06:44:31Z</dcterms:created>
  <dcterms:modified xsi:type="dcterms:W3CDTF">2026-02-12T17:35:38Z</dcterms:modified>
</cp:coreProperties>
</file>