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Excel\Practice_DataSets\"/>
    </mc:Choice>
  </mc:AlternateContent>
  <xr:revisionPtr revIDLastSave="0" documentId="13_ncr:1_{0DE4DF16-297A-4E34-A66A-6A9B33F17DEE}" xr6:coauthVersionLast="47" xr6:coauthVersionMax="47" xr10:uidLastSave="{00000000-0000-0000-0000-000000000000}"/>
  <bookViews>
    <workbookView xWindow="-98" yWindow="-98" windowWidth="21795" windowHeight="13695" firstSheet="2" activeTab="4" xr2:uid="{00000000-000D-0000-FFFF-FFFF00000000}"/>
  </bookViews>
  <sheets>
    <sheet name="Conceptual Questions" sheetId="1" r:id="rId1"/>
    <sheet name="Practical Q1 - Dataset" sheetId="2" r:id="rId2"/>
    <sheet name="Practical Q1 - Formulas" sheetId="3" r:id="rId3"/>
    <sheet name="Practical Q2 - Dataset" sheetId="4" r:id="rId4"/>
    <sheet name="Sheet1" sheetId="6" r:id="rId5"/>
    <sheet name="Practical Q2 - EDA" sheetId="5" r:id="rId6"/>
  </sheets>
  <definedNames>
    <definedName name="Slicer_Region">#N/A</definedName>
  </definedNames>
  <calcPr calcId="191029"/>
  <pivotCaches>
    <pivotCache cacheId="13"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35" i="6" l="1"/>
  <c r="O30" i="2"/>
  <c r="O28" i="2"/>
  <c r="O25" i="2"/>
  <c r="O23"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O21" i="2"/>
  <c r="O19" i="2"/>
  <c r="S13" i="2" a="1"/>
  <c r="S13" i="2" s="1"/>
  <c r="O13" i="2" s="1"/>
  <c r="S7" i="2" a="1"/>
  <c r="S7" i="2" s="1"/>
  <c r="O7" i="2" s="1"/>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O15" i="2" l="1"/>
  <c r="O14" i="2"/>
  <c r="O17" i="2"/>
  <c r="O16" i="2"/>
  <c r="O11" i="2"/>
  <c r="O10" i="2"/>
  <c r="O9" i="2"/>
  <c r="O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<sst xmlns="http://schemas.openxmlformats.org/spreadsheetml/2006/main" count="3486" uniqueCount="1615">
  <si>
    <t>Question</t>
  </si>
  <si>
    <t>Your Answer</t>
  </si>
  <si>
    <t>1. What are the key advantages of using Pivot Tables in Excel, especially for data summarization?</t>
  </si>
  <si>
    <t>2. Explain the difference between relative, absolute, and mixed cell references in Excel with examples.</t>
  </si>
  <si>
    <t>Employee ID</t>
  </si>
  <si>
    <t>Name</t>
  </si>
  <si>
    <t>Department</t>
  </si>
  <si>
    <t>Location</t>
  </si>
  <si>
    <t>Joining Date</t>
  </si>
  <si>
    <t>Salary</t>
  </si>
  <si>
    <t>Bonus %</t>
  </si>
  <si>
    <t>Project Code</t>
  </si>
  <si>
    <t>Leaves Taken</t>
  </si>
  <si>
    <t>E1000</t>
  </si>
  <si>
    <t>Jesus Allen</t>
  </si>
  <si>
    <t>Marketing</t>
  </si>
  <si>
    <t>Chennai</t>
  </si>
  <si>
    <t>A</t>
  </si>
  <si>
    <t>P102</t>
  </si>
  <si>
    <t>E1001</t>
  </si>
  <si>
    <t>Tyler Whitaker</t>
  </si>
  <si>
    <t>Mumbai</t>
  </si>
  <si>
    <t>P104</t>
  </si>
  <si>
    <t>E1002</t>
  </si>
  <si>
    <t>Evan Hernandez</t>
  </si>
  <si>
    <t>IT</t>
  </si>
  <si>
    <t>Delhi</t>
  </si>
  <si>
    <t>P101</t>
  </si>
  <si>
    <t>E1003</t>
  </si>
  <si>
    <t>Emily Green</t>
  </si>
  <si>
    <t>B</t>
  </si>
  <si>
    <t>P103</t>
  </si>
  <si>
    <t>E1004</t>
  </si>
  <si>
    <t>Heather Charles</t>
  </si>
  <si>
    <t>HR</t>
  </si>
  <si>
    <t>C</t>
  </si>
  <si>
    <t>E1005</t>
  </si>
  <si>
    <t>Jason Rodgers</t>
  </si>
  <si>
    <t>Bangalore</t>
  </si>
  <si>
    <t>E1006</t>
  </si>
  <si>
    <t>Ashley Barr</t>
  </si>
  <si>
    <t>E1007</t>
  </si>
  <si>
    <t>Sarah Kim</t>
  </si>
  <si>
    <t>E1008</t>
  </si>
  <si>
    <t>Thomas Sampson</t>
  </si>
  <si>
    <t>Hyderabad</t>
  </si>
  <si>
    <t>E1009</t>
  </si>
  <si>
    <t>Sydney Bailey</t>
  </si>
  <si>
    <t>E1010</t>
  </si>
  <si>
    <t>Jonathan Peterson</t>
  </si>
  <si>
    <t>E1011</t>
  </si>
  <si>
    <t>Michelle Morales</t>
  </si>
  <si>
    <t>Sales</t>
  </si>
  <si>
    <t>E1012</t>
  </si>
  <si>
    <t>Patricia Johnson</t>
  </si>
  <si>
    <t>E1013</t>
  </si>
  <si>
    <t>Jamie Parsons</t>
  </si>
  <si>
    <t>E1014</t>
  </si>
  <si>
    <t>Brenda Ferguson</t>
  </si>
  <si>
    <t>Finance</t>
  </si>
  <si>
    <t>E1015</t>
  </si>
  <si>
    <t>Victor Butler</t>
  </si>
  <si>
    <t>E1016</t>
  </si>
  <si>
    <t>Jim Garza</t>
  </si>
  <si>
    <t>E1017</t>
  </si>
  <si>
    <t>Richard Combs</t>
  </si>
  <si>
    <t>E1018</t>
  </si>
  <si>
    <t>Susan Coffey</t>
  </si>
  <si>
    <t>E1019</t>
  </si>
  <si>
    <t>Kelli Jacobs</t>
  </si>
  <si>
    <t>E1020</t>
  </si>
  <si>
    <t>Chelsea Powell</t>
  </si>
  <si>
    <t>E1021</t>
  </si>
  <si>
    <t>Matthew Koch</t>
  </si>
  <si>
    <t>E1022</t>
  </si>
  <si>
    <t>Nicholas Smith</t>
  </si>
  <si>
    <t>E1023</t>
  </si>
  <si>
    <t>Tiffany Perez</t>
  </si>
  <si>
    <t>E1024</t>
  </si>
  <si>
    <t>Samuel Williams</t>
  </si>
  <si>
    <t>E1025</t>
  </si>
  <si>
    <t>Megan Mcbride</t>
  </si>
  <si>
    <t>E1026</t>
  </si>
  <si>
    <t>Jeffrey Moore</t>
  </si>
  <si>
    <t>E1027</t>
  </si>
  <si>
    <t>Jennifer Young</t>
  </si>
  <si>
    <t>E1028</t>
  </si>
  <si>
    <t>Bonnie Gregory</t>
  </si>
  <si>
    <t>E1029</t>
  </si>
  <si>
    <t>Sean Rice</t>
  </si>
  <si>
    <t>E1030</t>
  </si>
  <si>
    <t>Glenn Chang III</t>
  </si>
  <si>
    <t>E1031</t>
  </si>
  <si>
    <t>Holly Black</t>
  </si>
  <si>
    <t>E1032</t>
  </si>
  <si>
    <t>Joel Thomas</t>
  </si>
  <si>
    <t>E1033</t>
  </si>
  <si>
    <t>Helen Sanchez</t>
  </si>
  <si>
    <t>E1034</t>
  </si>
  <si>
    <t>Kathryn Thomas</t>
  </si>
  <si>
    <t>E1035</t>
  </si>
  <si>
    <t>Mr. Sean Harris DDS</t>
  </si>
  <si>
    <t>E1036</t>
  </si>
  <si>
    <t>Jerry Rivera</t>
  </si>
  <si>
    <t>E1037</t>
  </si>
  <si>
    <t>Christine Morrison</t>
  </si>
  <si>
    <t>E1038</t>
  </si>
  <si>
    <t>Fred Allen</t>
  </si>
  <si>
    <t>E1039</t>
  </si>
  <si>
    <t>Caleb Smith</t>
  </si>
  <si>
    <t>E1040</t>
  </si>
  <si>
    <t>Jessica Kelley</t>
  </si>
  <si>
    <t>E1041</t>
  </si>
  <si>
    <t>Deborah Reynolds</t>
  </si>
  <si>
    <t>E1042</t>
  </si>
  <si>
    <t>Steven Bridges</t>
  </si>
  <si>
    <t>E1043</t>
  </si>
  <si>
    <t>Kelsey Brown</t>
  </si>
  <si>
    <t>E1044</t>
  </si>
  <si>
    <t>Jason Mccarthy</t>
  </si>
  <si>
    <t>E1045</t>
  </si>
  <si>
    <t>Elaine Hanson</t>
  </si>
  <si>
    <t>E1046</t>
  </si>
  <si>
    <t>Krista Carter</t>
  </si>
  <si>
    <t>E1047</t>
  </si>
  <si>
    <t>Melvin Williams</t>
  </si>
  <si>
    <t>E1048</t>
  </si>
  <si>
    <t>Jason Gomez</t>
  </si>
  <si>
    <t>E1049</t>
  </si>
  <si>
    <t>Matthew Rice</t>
  </si>
  <si>
    <t>E1050</t>
  </si>
  <si>
    <t>Mark Phillips</t>
  </si>
  <si>
    <t>E1051</t>
  </si>
  <si>
    <t>Lisa Hernandez</t>
  </si>
  <si>
    <t>E1052</t>
  </si>
  <si>
    <t>Laura James</t>
  </si>
  <si>
    <t>E1053</t>
  </si>
  <si>
    <t>Melody Johnson</t>
  </si>
  <si>
    <t>E1054</t>
  </si>
  <si>
    <t>Alexandria Frey DDS</t>
  </si>
  <si>
    <t>E1055</t>
  </si>
  <si>
    <t>Michael White</t>
  </si>
  <si>
    <t>E1056</t>
  </si>
  <si>
    <t>Paula Ramirez</t>
  </si>
  <si>
    <t>E1057</t>
  </si>
  <si>
    <t>Christopher Hines</t>
  </si>
  <si>
    <t>E1058</t>
  </si>
  <si>
    <t>David Bonilla</t>
  </si>
  <si>
    <t>E1059</t>
  </si>
  <si>
    <t>William Figueroa</t>
  </si>
  <si>
    <t>E1060</t>
  </si>
  <si>
    <t>Emily Cervantes</t>
  </si>
  <si>
    <t>E1061</t>
  </si>
  <si>
    <t>Nathan Wright Jr.</t>
  </si>
  <si>
    <t>E1062</t>
  </si>
  <si>
    <t>Andre Brooks</t>
  </si>
  <si>
    <t>E1063</t>
  </si>
  <si>
    <t>Keith Davidson</t>
  </si>
  <si>
    <t>E1064</t>
  </si>
  <si>
    <t>Stephen Riley</t>
  </si>
  <si>
    <t>E1065</t>
  </si>
  <si>
    <t>Katie Sanchez</t>
  </si>
  <si>
    <t>E1066</t>
  </si>
  <si>
    <t>Joshua Smith</t>
  </si>
  <si>
    <t>E1067</t>
  </si>
  <si>
    <t>Robert Miller</t>
  </si>
  <si>
    <t>E1068</t>
  </si>
  <si>
    <t>Maureen Smith</t>
  </si>
  <si>
    <t>E1069</t>
  </si>
  <si>
    <t>Grant Stevenson</t>
  </si>
  <si>
    <t>E1070</t>
  </si>
  <si>
    <t>Eric Williams</t>
  </si>
  <si>
    <t>E1071</t>
  </si>
  <si>
    <t>Linda Hall</t>
  </si>
  <si>
    <t>E1072</t>
  </si>
  <si>
    <t>Sara Dawson</t>
  </si>
  <si>
    <t>E1073</t>
  </si>
  <si>
    <t>Tracy Morris</t>
  </si>
  <si>
    <t>E1074</t>
  </si>
  <si>
    <t>Kelly Russell</t>
  </si>
  <si>
    <t>E1075</t>
  </si>
  <si>
    <t>Jennifer Green</t>
  </si>
  <si>
    <t>E1076</t>
  </si>
  <si>
    <t>James Berry</t>
  </si>
  <si>
    <t>E1077</t>
  </si>
  <si>
    <t>Austin Hernandez PhD</t>
  </si>
  <si>
    <t>E1078</t>
  </si>
  <si>
    <t>Lori Martin</t>
  </si>
  <si>
    <t>E1079</t>
  </si>
  <si>
    <t>Kevin Costa</t>
  </si>
  <si>
    <t>E1080</t>
  </si>
  <si>
    <t>Samuel Matthews</t>
  </si>
  <si>
    <t>E1081</t>
  </si>
  <si>
    <t>Nathaniel Mccullough</t>
  </si>
  <si>
    <t>E1082</t>
  </si>
  <si>
    <t>Richard Day</t>
  </si>
  <si>
    <t>E1083</t>
  </si>
  <si>
    <t>Jackson Owens</t>
  </si>
  <si>
    <t>E1084</t>
  </si>
  <si>
    <t>Stephanie Brennan</t>
  </si>
  <si>
    <t>E1085</t>
  </si>
  <si>
    <t>John Garcia</t>
  </si>
  <si>
    <t>E1086</t>
  </si>
  <si>
    <t>Christina Bowman</t>
  </si>
  <si>
    <t>E1087</t>
  </si>
  <si>
    <t>Amanda White</t>
  </si>
  <si>
    <t>E1088</t>
  </si>
  <si>
    <t>Carol Kane</t>
  </si>
  <si>
    <t>E1089</t>
  </si>
  <si>
    <t>Samantha Koch</t>
  </si>
  <si>
    <t>E1090</t>
  </si>
  <si>
    <t>Natalie Miller</t>
  </si>
  <si>
    <t>E1091</t>
  </si>
  <si>
    <t>Ryan Ray</t>
  </si>
  <si>
    <t>E1092</t>
  </si>
  <si>
    <t>David Martin</t>
  </si>
  <si>
    <t>E1093</t>
  </si>
  <si>
    <t>Joseph Greene</t>
  </si>
  <si>
    <t>E1094</t>
  </si>
  <si>
    <t>Michele Bullock</t>
  </si>
  <si>
    <t>E1095</t>
  </si>
  <si>
    <t>Valerie Allen</t>
  </si>
  <si>
    <t>E1096</t>
  </si>
  <si>
    <t>Robert Cook DDS</t>
  </si>
  <si>
    <t>E1097</t>
  </si>
  <si>
    <t>Sherry Cook</t>
  </si>
  <si>
    <t>E1098</t>
  </si>
  <si>
    <t>John Mitchell</t>
  </si>
  <si>
    <t>E1099</t>
  </si>
  <si>
    <t>Daniel Robertson</t>
  </si>
  <si>
    <t>E1100</t>
  </si>
  <si>
    <t>Kelly Ford</t>
  </si>
  <si>
    <t>E1101</t>
  </si>
  <si>
    <t>Mary Poole</t>
  </si>
  <si>
    <t>E1102</t>
  </si>
  <si>
    <t>Justin Warren</t>
  </si>
  <si>
    <t>E1103</t>
  </si>
  <si>
    <t>Dawn Lambert</t>
  </si>
  <si>
    <t>E1104</t>
  </si>
  <si>
    <t>Hannah Lopez</t>
  </si>
  <si>
    <t>E1105</t>
  </si>
  <si>
    <t>Jennifer Jones</t>
  </si>
  <si>
    <t>E1106</t>
  </si>
  <si>
    <t>Peter Maxwell</t>
  </si>
  <si>
    <t>E1107</t>
  </si>
  <si>
    <t>Elizabeth Walton</t>
  </si>
  <si>
    <t>E1108</t>
  </si>
  <si>
    <t>Brian Brock</t>
  </si>
  <si>
    <t>E1109</t>
  </si>
  <si>
    <t>Jay Weaver</t>
  </si>
  <si>
    <t>E1110</t>
  </si>
  <si>
    <t>Mark Holder</t>
  </si>
  <si>
    <t>E1111</t>
  </si>
  <si>
    <t>Alisha Cole</t>
  </si>
  <si>
    <t>E1112</t>
  </si>
  <si>
    <t>Jack Smith</t>
  </si>
  <si>
    <t>E1113</t>
  </si>
  <si>
    <t>Christopher Thomas</t>
  </si>
  <si>
    <t>E1114</t>
  </si>
  <si>
    <t>Janice Johnson</t>
  </si>
  <si>
    <t>E1115</t>
  </si>
  <si>
    <t>Kerry Adams</t>
  </si>
  <si>
    <t>E1116</t>
  </si>
  <si>
    <t>Jamie Foster</t>
  </si>
  <si>
    <t>E1117</t>
  </si>
  <si>
    <t>Andrew Schmidt</t>
  </si>
  <si>
    <t>E1118</t>
  </si>
  <si>
    <t>Ronnie Poole</t>
  </si>
  <si>
    <t>E1119</t>
  </si>
  <si>
    <t>Lawrence Morales</t>
  </si>
  <si>
    <t>E1120</t>
  </si>
  <si>
    <t>Tina Weaver</t>
  </si>
  <si>
    <t>E1121</t>
  </si>
  <si>
    <t>Angela Michael</t>
  </si>
  <si>
    <t>E1122</t>
  </si>
  <si>
    <t>Holly Williams</t>
  </si>
  <si>
    <t>E1123</t>
  </si>
  <si>
    <t>Keith Gay</t>
  </si>
  <si>
    <t>E1124</t>
  </si>
  <si>
    <t>Amanda Shepard</t>
  </si>
  <si>
    <t>E1125</t>
  </si>
  <si>
    <t>Dr. April Guerrero</t>
  </si>
  <si>
    <t>E1126</t>
  </si>
  <si>
    <t>Clinton Gutierrez</t>
  </si>
  <si>
    <t>E1127</t>
  </si>
  <si>
    <t>Michelle Adams</t>
  </si>
  <si>
    <t>E1128</t>
  </si>
  <si>
    <t>Mr. Johnny Romero</t>
  </si>
  <si>
    <t>E1129</t>
  </si>
  <si>
    <t>Gregory Murphy</t>
  </si>
  <si>
    <t>E1130</t>
  </si>
  <si>
    <t>Beth Zimmerman</t>
  </si>
  <si>
    <t>E1131</t>
  </si>
  <si>
    <t>Sandra Ward</t>
  </si>
  <si>
    <t>E1132</t>
  </si>
  <si>
    <t>Dustin Floyd</t>
  </si>
  <si>
    <t>E1133</t>
  </si>
  <si>
    <t>Cheryl Bowers</t>
  </si>
  <si>
    <t>E1134</t>
  </si>
  <si>
    <t>Jennifer Costa</t>
  </si>
  <si>
    <t>E1135</t>
  </si>
  <si>
    <t>Cameron Chapman</t>
  </si>
  <si>
    <t>E1136</t>
  </si>
  <si>
    <t>James Evans</t>
  </si>
  <si>
    <t>E1137</t>
  </si>
  <si>
    <t>Kenneth Logan</t>
  </si>
  <si>
    <t>E1138</t>
  </si>
  <si>
    <t>Cindy Lynn</t>
  </si>
  <si>
    <t>E1139</t>
  </si>
  <si>
    <t>Mr. Thomas Castillo</t>
  </si>
  <si>
    <t>E1140</t>
  </si>
  <si>
    <t>Melanie Stewart</t>
  </si>
  <si>
    <t>E1141</t>
  </si>
  <si>
    <t>Cheryl Cooper</t>
  </si>
  <si>
    <t>E1142</t>
  </si>
  <si>
    <t>Michael Smith</t>
  </si>
  <si>
    <t>E1143</t>
  </si>
  <si>
    <t>Donna Haynes</t>
  </si>
  <si>
    <t>E1144</t>
  </si>
  <si>
    <t>Kyle Smith</t>
  </si>
  <si>
    <t>E1145</t>
  </si>
  <si>
    <t>Robert Turner</t>
  </si>
  <si>
    <t>E1146</t>
  </si>
  <si>
    <t>Jennifer Espinoza</t>
  </si>
  <si>
    <t>E1147</t>
  </si>
  <si>
    <t>Amanda Fuentes</t>
  </si>
  <si>
    <t>E1148</t>
  </si>
  <si>
    <t>Alexander Banks</t>
  </si>
  <si>
    <t>E1149</t>
  </si>
  <si>
    <t>Michael Fisher</t>
  </si>
  <si>
    <t>E1150</t>
  </si>
  <si>
    <t>Wanda Giles</t>
  </si>
  <si>
    <t>E1151</t>
  </si>
  <si>
    <t>Erin Ramos</t>
  </si>
  <si>
    <t>E1152</t>
  </si>
  <si>
    <t>Gabrielle Jones</t>
  </si>
  <si>
    <t>E1153</t>
  </si>
  <si>
    <t>Brittany Figueroa</t>
  </si>
  <si>
    <t>E1154</t>
  </si>
  <si>
    <t>Debra York</t>
  </si>
  <si>
    <t>E1155</t>
  </si>
  <si>
    <t>Cheryl Sweeney</t>
  </si>
  <si>
    <t>E1156</t>
  </si>
  <si>
    <t>Amy Porter</t>
  </si>
  <si>
    <t>E1157</t>
  </si>
  <si>
    <t>Michael Avery</t>
  </si>
  <si>
    <t>E1158</t>
  </si>
  <si>
    <t>Samuel White</t>
  </si>
  <si>
    <t>E1159</t>
  </si>
  <si>
    <t>Michael Scott</t>
  </si>
  <si>
    <t>E1160</t>
  </si>
  <si>
    <t>Robert Bauer</t>
  </si>
  <si>
    <t>E1161</t>
  </si>
  <si>
    <t>Robert Hudson</t>
  </si>
  <si>
    <t>E1162</t>
  </si>
  <si>
    <t>Jeffrey Wright</t>
  </si>
  <si>
    <t>E1163</t>
  </si>
  <si>
    <t>Susan Castro</t>
  </si>
  <si>
    <t>E1164</t>
  </si>
  <si>
    <t>Bryan Salinas</t>
  </si>
  <si>
    <t>E1165</t>
  </si>
  <si>
    <t>Ryan Hansen</t>
  </si>
  <si>
    <t>E1166</t>
  </si>
  <si>
    <t>Victoria Johnson</t>
  </si>
  <si>
    <t>E1167</t>
  </si>
  <si>
    <t>Amanda Wilkins</t>
  </si>
  <si>
    <t>E1168</t>
  </si>
  <si>
    <t>Matthew Perez</t>
  </si>
  <si>
    <t>E1169</t>
  </si>
  <si>
    <t>Debra Cox</t>
  </si>
  <si>
    <t>E1170</t>
  </si>
  <si>
    <t>Rachel Carpenter</t>
  </si>
  <si>
    <t>E1171</t>
  </si>
  <si>
    <t>Suzanne Warner</t>
  </si>
  <si>
    <t>E1172</t>
  </si>
  <si>
    <t>Becky Wright</t>
  </si>
  <si>
    <t>E1173</t>
  </si>
  <si>
    <t>Diane Mccullough</t>
  </si>
  <si>
    <t>E1174</t>
  </si>
  <si>
    <t>Carol Gray</t>
  </si>
  <si>
    <t>E1175</t>
  </si>
  <si>
    <t>Ian Carter</t>
  </si>
  <si>
    <t>E1176</t>
  </si>
  <si>
    <t>David Castillo</t>
  </si>
  <si>
    <t>E1177</t>
  </si>
  <si>
    <t>Leonard Spence</t>
  </si>
  <si>
    <t>E1178</t>
  </si>
  <si>
    <t>Robert Yang</t>
  </si>
  <si>
    <t>E1179</t>
  </si>
  <si>
    <t>Sandra Jackson</t>
  </si>
  <si>
    <t>E1180</t>
  </si>
  <si>
    <t>Zoe Mitchell</t>
  </si>
  <si>
    <t>E1181</t>
  </si>
  <si>
    <t>Laurie Smith</t>
  </si>
  <si>
    <t>E1182</t>
  </si>
  <si>
    <t>Sabrina Welch</t>
  </si>
  <si>
    <t>E1183</t>
  </si>
  <si>
    <t>Megan Pearson</t>
  </si>
  <si>
    <t>E1184</t>
  </si>
  <si>
    <t>Rachel Miller</t>
  </si>
  <si>
    <t>E1185</t>
  </si>
  <si>
    <t>Aaron Sullivan</t>
  </si>
  <si>
    <t>E1186</t>
  </si>
  <si>
    <t>Lindsey Bishop</t>
  </si>
  <si>
    <t>E1187</t>
  </si>
  <si>
    <t>Kevin Davis</t>
  </si>
  <si>
    <t>E1188</t>
  </si>
  <si>
    <t>Wendy Ortiz</t>
  </si>
  <si>
    <t>E1189</t>
  </si>
  <si>
    <t>Carol Dawson</t>
  </si>
  <si>
    <t>E1190</t>
  </si>
  <si>
    <t>Joseph Reid</t>
  </si>
  <si>
    <t>E1191</t>
  </si>
  <si>
    <t>Christopher Green</t>
  </si>
  <si>
    <t>E1192</t>
  </si>
  <si>
    <t>Michael Howe</t>
  </si>
  <si>
    <t>E1193</t>
  </si>
  <si>
    <t>Wesley Hutchinson</t>
  </si>
  <si>
    <t>E1194</t>
  </si>
  <si>
    <t>Barbara Lin</t>
  </si>
  <si>
    <t>E1195</t>
  </si>
  <si>
    <t>James White</t>
  </si>
  <si>
    <t>E1196</t>
  </si>
  <si>
    <t>Kaitlin Miller</t>
  </si>
  <si>
    <t>E1197</t>
  </si>
  <si>
    <t>Alice Jones</t>
  </si>
  <si>
    <t>E1198</t>
  </si>
  <si>
    <t>Steven Parsons</t>
  </si>
  <si>
    <t>E1199</t>
  </si>
  <si>
    <t>William Mack MD</t>
  </si>
  <si>
    <t>E1200</t>
  </si>
  <si>
    <t>Reginald Alvarez</t>
  </si>
  <si>
    <t>E1201</t>
  </si>
  <si>
    <t>Monique Hernandez</t>
  </si>
  <si>
    <t>E1202</t>
  </si>
  <si>
    <t>Sheri Briggs</t>
  </si>
  <si>
    <t>E1203</t>
  </si>
  <si>
    <t>Krystal Johnson</t>
  </si>
  <si>
    <t>E1204</t>
  </si>
  <si>
    <t>Julie Lewis</t>
  </si>
  <si>
    <t>E1205</t>
  </si>
  <si>
    <t>Latoya Sloan</t>
  </si>
  <si>
    <t>E1206</t>
  </si>
  <si>
    <t>Angela Wood</t>
  </si>
  <si>
    <t>E1207</t>
  </si>
  <si>
    <t>Joel Ortiz</t>
  </si>
  <si>
    <t>E1208</t>
  </si>
  <si>
    <t>Shannon Rodgers</t>
  </si>
  <si>
    <t>E1209</t>
  </si>
  <si>
    <t>Randy Lloyd</t>
  </si>
  <si>
    <t>E1210</t>
  </si>
  <si>
    <t>Ashley Barker</t>
  </si>
  <si>
    <t>E1211</t>
  </si>
  <si>
    <t>Sarah Mack</t>
  </si>
  <si>
    <t>E1212</t>
  </si>
  <si>
    <t>Jennifer Lloyd</t>
  </si>
  <si>
    <t>E1213</t>
  </si>
  <si>
    <t>Tammy Barajas</t>
  </si>
  <si>
    <t>E1214</t>
  </si>
  <si>
    <t>Austin Ramirez</t>
  </si>
  <si>
    <t>E1215</t>
  </si>
  <si>
    <t>Wanda Patton</t>
  </si>
  <si>
    <t>E1216</t>
  </si>
  <si>
    <t>Mary Blackburn</t>
  </si>
  <si>
    <t>E1217</t>
  </si>
  <si>
    <t>Jessica Andrews</t>
  </si>
  <si>
    <t>E1218</t>
  </si>
  <si>
    <t>Timothy Oneal</t>
  </si>
  <si>
    <t>E1219</t>
  </si>
  <si>
    <t>Mrs. Christina Rangel</t>
  </si>
  <si>
    <t>E1220</t>
  </si>
  <si>
    <t>Christopher Kent</t>
  </si>
  <si>
    <t>E1221</t>
  </si>
  <si>
    <t>Mark Garcia</t>
  </si>
  <si>
    <t>E1222</t>
  </si>
  <si>
    <t>Angela Vargas</t>
  </si>
  <si>
    <t>E1223</t>
  </si>
  <si>
    <t>Craig Garza</t>
  </si>
  <si>
    <t>E1224</t>
  </si>
  <si>
    <t>Darren Lewis</t>
  </si>
  <si>
    <t>E1225</t>
  </si>
  <si>
    <t>Brian Gillespie</t>
  </si>
  <si>
    <t>E1226</t>
  </si>
  <si>
    <t>Raymond Holmes</t>
  </si>
  <si>
    <t>E1227</t>
  </si>
  <si>
    <t>Trevor Jackson</t>
  </si>
  <si>
    <t>E1228</t>
  </si>
  <si>
    <t>Kenneth Sanders</t>
  </si>
  <si>
    <t>E1229</t>
  </si>
  <si>
    <t>Isabella Gutierrez</t>
  </si>
  <si>
    <t>E1230</t>
  </si>
  <si>
    <t>Lisa Clark</t>
  </si>
  <si>
    <t>E1231</t>
  </si>
  <si>
    <t>Jennifer Hunter</t>
  </si>
  <si>
    <t>E1232</t>
  </si>
  <si>
    <t>Carla Crane</t>
  </si>
  <si>
    <t>E1233</t>
  </si>
  <si>
    <t>Dominique Smith</t>
  </si>
  <si>
    <t>E1234</t>
  </si>
  <si>
    <t>Richard Li</t>
  </si>
  <si>
    <t>E1235</t>
  </si>
  <si>
    <t>Brian Maddox</t>
  </si>
  <si>
    <t>E1236</t>
  </si>
  <si>
    <t>Brent Farmer</t>
  </si>
  <si>
    <t>E1237</t>
  </si>
  <si>
    <t>David Davis</t>
  </si>
  <si>
    <t>E1238</t>
  </si>
  <si>
    <t>William Martinez</t>
  </si>
  <si>
    <t>E1239</t>
  </si>
  <si>
    <t>Rebecca Mcdaniel</t>
  </si>
  <si>
    <t>E1240</t>
  </si>
  <si>
    <t>Cynthia Hampton</t>
  </si>
  <si>
    <t>E1241</t>
  </si>
  <si>
    <t>Michael Arnold</t>
  </si>
  <si>
    <t>E1242</t>
  </si>
  <si>
    <t>Maxwell Ryan</t>
  </si>
  <si>
    <t>E1243</t>
  </si>
  <si>
    <t>Ricky Alexander</t>
  </si>
  <si>
    <t>E1244</t>
  </si>
  <si>
    <t>Diane Acosta</t>
  </si>
  <si>
    <t>E1245</t>
  </si>
  <si>
    <t>Andrew Glenn</t>
  </si>
  <si>
    <t>E1246</t>
  </si>
  <si>
    <t>Amanda Richards</t>
  </si>
  <si>
    <t>E1247</t>
  </si>
  <si>
    <t>Andres Fischer</t>
  </si>
  <si>
    <t>E1248</t>
  </si>
  <si>
    <t>Michael Hammond</t>
  </si>
  <si>
    <t>E1249</t>
  </si>
  <si>
    <t>Shannon Smith</t>
  </si>
  <si>
    <t>E1250</t>
  </si>
  <si>
    <t>Gabrielle Anderson</t>
  </si>
  <si>
    <t>E1251</t>
  </si>
  <si>
    <t>Jasmine Nelson</t>
  </si>
  <si>
    <t>E1252</t>
  </si>
  <si>
    <t>Jason Huff</t>
  </si>
  <si>
    <t>E1253</t>
  </si>
  <si>
    <t>Jesus Carlson</t>
  </si>
  <si>
    <t>E1254</t>
  </si>
  <si>
    <t>Jason Hawkins</t>
  </si>
  <si>
    <t>E1255</t>
  </si>
  <si>
    <t>Joseph Rubio</t>
  </si>
  <si>
    <t>E1256</t>
  </si>
  <si>
    <t>Tommy Villarreal Jr.</t>
  </si>
  <si>
    <t>E1257</t>
  </si>
  <si>
    <t>Tammy Preston</t>
  </si>
  <si>
    <t>E1258</t>
  </si>
  <si>
    <t>Melanie Travis</t>
  </si>
  <si>
    <t>E1259</t>
  </si>
  <si>
    <t>Jessica Byrd</t>
  </si>
  <si>
    <t>E1260</t>
  </si>
  <si>
    <t>Allison Smith</t>
  </si>
  <si>
    <t>E1261</t>
  </si>
  <si>
    <t>Kathleen Hood</t>
  </si>
  <si>
    <t>E1262</t>
  </si>
  <si>
    <t>Ryan Walker</t>
  </si>
  <si>
    <t>E1263</t>
  </si>
  <si>
    <t>Anthony Yang</t>
  </si>
  <si>
    <t>E1264</t>
  </si>
  <si>
    <t>Derek Jenkins</t>
  </si>
  <si>
    <t>E1265</t>
  </si>
  <si>
    <t>Samantha Barber</t>
  </si>
  <si>
    <t>E1266</t>
  </si>
  <si>
    <t>Brandon Beard</t>
  </si>
  <si>
    <t>E1267</t>
  </si>
  <si>
    <t>Jennifer Tapia</t>
  </si>
  <si>
    <t>E1268</t>
  </si>
  <si>
    <t>Tyler Gardner</t>
  </si>
  <si>
    <t>E1269</t>
  </si>
  <si>
    <t>Gina Lewis</t>
  </si>
  <si>
    <t>E1270</t>
  </si>
  <si>
    <t>Laura Oliver</t>
  </si>
  <si>
    <t>E1271</t>
  </si>
  <si>
    <t>Robert Evans</t>
  </si>
  <si>
    <t>E1272</t>
  </si>
  <si>
    <t>Cathy Hall</t>
  </si>
  <si>
    <t>E1273</t>
  </si>
  <si>
    <t>Brent Carrillo</t>
  </si>
  <si>
    <t>E1274</t>
  </si>
  <si>
    <t>Micheal Velez</t>
  </si>
  <si>
    <t>E1275</t>
  </si>
  <si>
    <t>Mr. Michael Sosa</t>
  </si>
  <si>
    <t>E1276</t>
  </si>
  <si>
    <t>Mark Peterson</t>
  </si>
  <si>
    <t>E1277</t>
  </si>
  <si>
    <t>Johnny Henry</t>
  </si>
  <si>
    <t>E1278</t>
  </si>
  <si>
    <t>Joshua Nguyen</t>
  </si>
  <si>
    <t>E1279</t>
  </si>
  <si>
    <t>Zachary Woods</t>
  </si>
  <si>
    <t>E1280</t>
  </si>
  <si>
    <t>Nicholas Gomez</t>
  </si>
  <si>
    <t>E1281</t>
  </si>
  <si>
    <t>David Wolf</t>
  </si>
  <si>
    <t>E1282</t>
  </si>
  <si>
    <t>Christopher Anthony</t>
  </si>
  <si>
    <t>E1283</t>
  </si>
  <si>
    <t>Daniel Sanchez PhD</t>
  </si>
  <si>
    <t>E1284</t>
  </si>
  <si>
    <t>Judith Clark</t>
  </si>
  <si>
    <t>E1285</t>
  </si>
  <si>
    <t>Brenda Smith</t>
  </si>
  <si>
    <t>E1286</t>
  </si>
  <si>
    <t>Angela Nicholson</t>
  </si>
  <si>
    <t>E1287</t>
  </si>
  <si>
    <t>Brent Anderson</t>
  </si>
  <si>
    <t>E1288</t>
  </si>
  <si>
    <t>Daniel Madden</t>
  </si>
  <si>
    <t>E1289</t>
  </si>
  <si>
    <t>Brittney Hughes</t>
  </si>
  <si>
    <t>E1290</t>
  </si>
  <si>
    <t>Allison Pennington</t>
  </si>
  <si>
    <t>E1291</t>
  </si>
  <si>
    <t>Michelle Gonzales</t>
  </si>
  <si>
    <t>E1292</t>
  </si>
  <si>
    <t>Allison Turner</t>
  </si>
  <si>
    <t>E1293</t>
  </si>
  <si>
    <t>Rodney Morgan</t>
  </si>
  <si>
    <t>E1294</t>
  </si>
  <si>
    <t>Danielle Wilkins</t>
  </si>
  <si>
    <t>E1295</t>
  </si>
  <si>
    <t>Mary Johnson</t>
  </si>
  <si>
    <t>E1296</t>
  </si>
  <si>
    <t>Brett West</t>
  </si>
  <si>
    <t>E1297</t>
  </si>
  <si>
    <t>Matthew Gonzalez</t>
  </si>
  <si>
    <t>E1298</t>
  </si>
  <si>
    <t>David Flores</t>
  </si>
  <si>
    <t>E1299</t>
  </si>
  <si>
    <t>Vanessa Ponce</t>
  </si>
  <si>
    <t>Formula Questions</t>
  </si>
  <si>
    <t>1. Calculate the total compensation (Salary + Bonus) for each employee.</t>
  </si>
  <si>
    <t>2. Count how many employees are in each department.</t>
  </si>
  <si>
    <t>3. Find the average salary for employees in each location.</t>
  </si>
  <si>
    <t>4. Use VLOOKUP to fetch Project Code description from another table (assume table given).</t>
  </si>
  <si>
    <t>5. Rank employees by Salary within each Department.</t>
  </si>
  <si>
    <t>6. Count how many employees have taken more than 20 leaves using COUNTIF.</t>
  </si>
  <si>
    <t>7. Use IF to determine if Performance Grade is Pass (A/B) or Fail (C).</t>
  </si>
  <si>
    <t>8. Use SUMIFS to find total salary for IT department in Mumbai.</t>
  </si>
  <si>
    <t>9. Use INDEX-MATCH to return Bonus % for an employee given their name.</t>
  </si>
  <si>
    <t>10. Calculate the number of employees who joined in the last 2 years using TODAY and YEAR functions.</t>
  </si>
  <si>
    <t>Order ID</t>
  </si>
  <si>
    <t>Order Date</t>
  </si>
  <si>
    <t>Customer Name</t>
  </si>
  <si>
    <t>Region</t>
  </si>
  <si>
    <t>Product</t>
  </si>
  <si>
    <t>Units Sold</t>
  </si>
  <si>
    <t>Unit Price</t>
  </si>
  <si>
    <t>Total Sales</t>
  </si>
  <si>
    <t>Discount %</t>
  </si>
  <si>
    <t>Salesperson</t>
  </si>
  <si>
    <t>ORD10000</t>
  </si>
  <si>
    <t>Edward Ponce</t>
  </si>
  <si>
    <t>South</t>
  </si>
  <si>
    <t>Keyboard</t>
  </si>
  <si>
    <t>James King</t>
  </si>
  <si>
    <t>ORD10001</t>
  </si>
  <si>
    <t>Sharon Henry</t>
  </si>
  <si>
    <t>North</t>
  </si>
  <si>
    <t>Laptop</t>
  </si>
  <si>
    <t>Karina Bean</t>
  </si>
  <si>
    <t>ORD10002</t>
  </si>
  <si>
    <t>Antonio Hall</t>
  </si>
  <si>
    <t>Monitor</t>
  </si>
  <si>
    <t>Adam Gray</t>
  </si>
  <si>
    <t>ORD10003</t>
  </si>
  <si>
    <t>Robert Martinez</t>
  </si>
  <si>
    <t>West</t>
  </si>
  <si>
    <t>Mouse</t>
  </si>
  <si>
    <t>Matthew Salas</t>
  </si>
  <si>
    <t>ORD10004</t>
  </si>
  <si>
    <t>Tammy Peterson</t>
  </si>
  <si>
    <t>Ian Guzman</t>
  </si>
  <si>
    <t>ORD10005</t>
  </si>
  <si>
    <t>Nicole Holmes</t>
  </si>
  <si>
    <t>East</t>
  </si>
  <si>
    <t>Brenda Boyd</t>
  </si>
  <si>
    <t>ORD10006</t>
  </si>
  <si>
    <t>Zachary Lane</t>
  </si>
  <si>
    <t>Debra Smith</t>
  </si>
  <si>
    <t>ORD10007</t>
  </si>
  <si>
    <t>Mitchell Price</t>
  </si>
  <si>
    <t>April Carter</t>
  </si>
  <si>
    <t>ORD10008</t>
  </si>
  <si>
    <t>Christopher Webb</t>
  </si>
  <si>
    <t>Morgan Beck</t>
  </si>
  <si>
    <t>ORD10009</t>
  </si>
  <si>
    <t>Shannon Cook</t>
  </si>
  <si>
    <t>Ronald Thomas</t>
  </si>
  <si>
    <t>ORD10010</t>
  </si>
  <si>
    <t>Mark Webster</t>
  </si>
  <si>
    <t>April Chang</t>
  </si>
  <si>
    <t>ORD10011</t>
  </si>
  <si>
    <t>Brooke Ruiz</t>
  </si>
  <si>
    <t>Paul Wells</t>
  </si>
  <si>
    <t>ORD10012</t>
  </si>
  <si>
    <t>Wyatt Cooper</t>
  </si>
  <si>
    <t>Shirley Chen</t>
  </si>
  <si>
    <t>ORD10013</t>
  </si>
  <si>
    <t>Patrick Williams</t>
  </si>
  <si>
    <t>ORD10014</t>
  </si>
  <si>
    <t>Joseph Anderson</t>
  </si>
  <si>
    <t>Printer</t>
  </si>
  <si>
    <t>Dwayne Snyder</t>
  </si>
  <si>
    <t>ORD10015</t>
  </si>
  <si>
    <t>Billy Brady</t>
  </si>
  <si>
    <t>Heather Kline</t>
  </si>
  <si>
    <t>ORD10016</t>
  </si>
  <si>
    <t>Calvin Williams</t>
  </si>
  <si>
    <t>Angel Anderson</t>
  </si>
  <si>
    <t>ORD10017</t>
  </si>
  <si>
    <t>Linda Raymond</t>
  </si>
  <si>
    <t>April Glenn</t>
  </si>
  <si>
    <t>ORD10018</t>
  </si>
  <si>
    <t>Gary Marshall</t>
  </si>
  <si>
    <t>John Brock</t>
  </si>
  <si>
    <t>ORD10019</t>
  </si>
  <si>
    <t>Thomas Ramirez</t>
  </si>
  <si>
    <t>Kelly Fleming</t>
  </si>
  <si>
    <t>ORD10020</t>
  </si>
  <si>
    <t>Stephanie Mitchell</t>
  </si>
  <si>
    <t>Ronald Thompson</t>
  </si>
  <si>
    <t>ORD10021</t>
  </si>
  <si>
    <t>Michael Brandt</t>
  </si>
  <si>
    <t>Nicole Jenkins</t>
  </si>
  <si>
    <t>ORD10022</t>
  </si>
  <si>
    <t>Ashley Glass</t>
  </si>
  <si>
    <t>Mary Hill</t>
  </si>
  <si>
    <t>ORD10023</t>
  </si>
  <si>
    <t>Richard Velasquez</t>
  </si>
  <si>
    <t>Rachel Gonzalez</t>
  </si>
  <si>
    <t>ORD10024</t>
  </si>
  <si>
    <t>Sarah Hinton</t>
  </si>
  <si>
    <t>John Brown</t>
  </si>
  <si>
    <t>ORD10025</t>
  </si>
  <si>
    <t>Jeremy Cabrera</t>
  </si>
  <si>
    <t>Tracy Martin</t>
  </si>
  <si>
    <t>ORD10026</t>
  </si>
  <si>
    <t>Melissa Johnson MD</t>
  </si>
  <si>
    <t>Matthew Walters</t>
  </si>
  <si>
    <t>ORD10027</t>
  </si>
  <si>
    <t>Ernest Hughes</t>
  </si>
  <si>
    <t>Antonio Ross</t>
  </si>
  <si>
    <t>ORD10028</t>
  </si>
  <si>
    <t>Kimberly Johnston</t>
  </si>
  <si>
    <t>Susan Cross</t>
  </si>
  <si>
    <t>ORD10029</t>
  </si>
  <si>
    <t>James Acosta</t>
  </si>
  <si>
    <t>Alyssa Woods</t>
  </si>
  <si>
    <t>ORD10030</t>
  </si>
  <si>
    <t>Suzanne Pace</t>
  </si>
  <si>
    <t>Caitlin Sparks</t>
  </si>
  <si>
    <t>ORD10031</t>
  </si>
  <si>
    <t>Wesley Doyle</t>
  </si>
  <si>
    <t>Michelle Sutton</t>
  </si>
  <si>
    <t>ORD10032</t>
  </si>
  <si>
    <t>Terry Williams</t>
  </si>
  <si>
    <t>Jeffrey Tucker</t>
  </si>
  <si>
    <t>ORD10033</t>
  </si>
  <si>
    <t>Donna Davis</t>
  </si>
  <si>
    <t>Joshua Hunter</t>
  </si>
  <si>
    <t>ORD10034</t>
  </si>
  <si>
    <t>Michelle Krueger</t>
  </si>
  <si>
    <t>Janice Weiss</t>
  </si>
  <si>
    <t>ORD10035</t>
  </si>
  <si>
    <t>Karen Miller</t>
  </si>
  <si>
    <t>Scott Duncan</t>
  </si>
  <si>
    <t>ORD10036</t>
  </si>
  <si>
    <t>Jeff Ortega</t>
  </si>
  <si>
    <t>Christopher Phillips</t>
  </si>
  <si>
    <t>ORD10037</t>
  </si>
  <si>
    <t>Jenna Wilson</t>
  </si>
  <si>
    <t>Amanda Myers</t>
  </si>
  <si>
    <t>ORD10038</t>
  </si>
  <si>
    <t>Angela Smith</t>
  </si>
  <si>
    <t>Kimberly Stewart</t>
  </si>
  <si>
    <t>ORD10039</t>
  </si>
  <si>
    <t>Andrea Mcknight</t>
  </si>
  <si>
    <t>Johnny Harper</t>
  </si>
  <si>
    <t>ORD10040</t>
  </si>
  <si>
    <t>Autumn Elliott</t>
  </si>
  <si>
    <t>Craig Myers</t>
  </si>
  <si>
    <t>ORD10041</t>
  </si>
  <si>
    <t>Lauren Henry</t>
  </si>
  <si>
    <t>Darrell Cox</t>
  </si>
  <si>
    <t>ORD10042</t>
  </si>
  <si>
    <t>Thomas Stein</t>
  </si>
  <si>
    <t>Melissa Flores</t>
  </si>
  <si>
    <t>ORD10043</t>
  </si>
  <si>
    <t>Mrs. Selena Diaz DDS</t>
  </si>
  <si>
    <t>Amy Turner</t>
  </si>
  <si>
    <t>ORD10044</t>
  </si>
  <si>
    <t>Amy Greene</t>
  </si>
  <si>
    <t>Sara Brown</t>
  </si>
  <si>
    <t>ORD10045</t>
  </si>
  <si>
    <t>Karen Hodge</t>
  </si>
  <si>
    <t>Emily Rodriguez</t>
  </si>
  <si>
    <t>ORD10046</t>
  </si>
  <si>
    <t>Scott Lyons</t>
  </si>
  <si>
    <t>Anthony Johnson</t>
  </si>
  <si>
    <t>ORD10047</t>
  </si>
  <si>
    <t>David Newton</t>
  </si>
  <si>
    <t>Michael Ayala</t>
  </si>
  <si>
    <t>ORD10048</t>
  </si>
  <si>
    <t>John Randall</t>
  </si>
  <si>
    <t>Michael Ramirez</t>
  </si>
  <si>
    <t>ORD10049</t>
  </si>
  <si>
    <t>Christopher Myers</t>
  </si>
  <si>
    <t>Crystal Gonzalez</t>
  </si>
  <si>
    <t>ORD10050</t>
  </si>
  <si>
    <t>Jessica Johnson</t>
  </si>
  <si>
    <t>William Cruz</t>
  </si>
  <si>
    <t>ORD10051</t>
  </si>
  <si>
    <t>Derrick Newton</t>
  </si>
  <si>
    <t>Melvin Mason</t>
  </si>
  <si>
    <t>ORD10052</t>
  </si>
  <si>
    <t>Juan Daniel</t>
  </si>
  <si>
    <t>George Cox</t>
  </si>
  <si>
    <t>ORD10053</t>
  </si>
  <si>
    <t>Kyle Pope</t>
  </si>
  <si>
    <t>Mary Nicholson</t>
  </si>
  <si>
    <t>ORD10054</t>
  </si>
  <si>
    <t>Martha Turner</t>
  </si>
  <si>
    <t>Kevin Adams</t>
  </si>
  <si>
    <t>ORD10055</t>
  </si>
  <si>
    <t>Kathy Cox</t>
  </si>
  <si>
    <t>Karen Hicks</t>
  </si>
  <si>
    <t>ORD10056</t>
  </si>
  <si>
    <t>James Nunez</t>
  </si>
  <si>
    <t>Kenneth Ellison</t>
  </si>
  <si>
    <t>ORD10057</t>
  </si>
  <si>
    <t>Nicole Moore</t>
  </si>
  <si>
    <t>Tamara Hinton</t>
  </si>
  <si>
    <t>ORD10058</t>
  </si>
  <si>
    <t>Christina Fox</t>
  </si>
  <si>
    <t>Vanessa Freeman</t>
  </si>
  <si>
    <t>ORD10059</t>
  </si>
  <si>
    <t>Ms. Haley Nelson</t>
  </si>
  <si>
    <t>Susan Jones</t>
  </si>
  <si>
    <t>ORD10060</t>
  </si>
  <si>
    <t>Ronald Newman</t>
  </si>
  <si>
    <t>Jillian Larson</t>
  </si>
  <si>
    <t>ORD10061</t>
  </si>
  <si>
    <t>Michael Hart</t>
  </si>
  <si>
    <t>Charles Perez</t>
  </si>
  <si>
    <t>ORD10062</t>
  </si>
  <si>
    <t>Dr. Jade Wilson</t>
  </si>
  <si>
    <t>Trevor Ferguson</t>
  </si>
  <si>
    <t>ORD10063</t>
  </si>
  <si>
    <t>Maureen Taylor</t>
  </si>
  <si>
    <t>Robert Bentley</t>
  </si>
  <si>
    <t>ORD10064</t>
  </si>
  <si>
    <t>Gregory Gross</t>
  </si>
  <si>
    <t>Michael Hartman</t>
  </si>
  <si>
    <t>ORD10065</t>
  </si>
  <si>
    <t>James Morales</t>
  </si>
  <si>
    <t>James Henderson</t>
  </si>
  <si>
    <t>ORD10066</t>
  </si>
  <si>
    <t>Gina Andrews</t>
  </si>
  <si>
    <t>Lisa Ayala</t>
  </si>
  <si>
    <t>ORD10067</t>
  </si>
  <si>
    <t>Amy Hansen</t>
  </si>
  <si>
    <t>Bethany Monroe</t>
  </si>
  <si>
    <t>ORD10068</t>
  </si>
  <si>
    <t>Mackenzie Santos</t>
  </si>
  <si>
    <t>Dr. Tiffany Mcneil</t>
  </si>
  <si>
    <t>ORD10069</t>
  </si>
  <si>
    <t>Ryan Gentry</t>
  </si>
  <si>
    <t>Jasmine Ellis</t>
  </si>
  <si>
    <t>ORD10070</t>
  </si>
  <si>
    <t>Sandra Reed</t>
  </si>
  <si>
    <t>Holly Jefferson</t>
  </si>
  <si>
    <t>ORD10071</t>
  </si>
  <si>
    <t>Susan Luna</t>
  </si>
  <si>
    <t>Kelli Moore</t>
  </si>
  <si>
    <t>ORD10072</t>
  </si>
  <si>
    <t>Bobby Thomas</t>
  </si>
  <si>
    <t>Sharon Gardner</t>
  </si>
  <si>
    <t>ORD10073</t>
  </si>
  <si>
    <t>Dr. Stephanie Hooper</t>
  </si>
  <si>
    <t>Keith Turner</t>
  </si>
  <si>
    <t>ORD10074</t>
  </si>
  <si>
    <t>Nicole Hester</t>
  </si>
  <si>
    <t>Brandon Carter</t>
  </si>
  <si>
    <t>ORD10075</t>
  </si>
  <si>
    <t>Mario Davidson</t>
  </si>
  <si>
    <t>Christine Garcia</t>
  </si>
  <si>
    <t>ORD10076</t>
  </si>
  <si>
    <t>Fernando Rodriguez</t>
  </si>
  <si>
    <t>Brooke Davis</t>
  </si>
  <si>
    <t>ORD10077</t>
  </si>
  <si>
    <t>Peter White DVM</t>
  </si>
  <si>
    <t>Mr. Joshua Wells</t>
  </si>
  <si>
    <t>ORD10078</t>
  </si>
  <si>
    <t>Hunter Hill</t>
  </si>
  <si>
    <t>Michelle Jones</t>
  </si>
  <si>
    <t>ORD10079</t>
  </si>
  <si>
    <t>Cody Jones</t>
  </si>
  <si>
    <t>Hannah Clark</t>
  </si>
  <si>
    <t>ORD10080</t>
  </si>
  <si>
    <t>David Farmer</t>
  </si>
  <si>
    <t>Cody Chavez</t>
  </si>
  <si>
    <t>ORD10081</t>
  </si>
  <si>
    <t>Debra Porter</t>
  </si>
  <si>
    <t>Fernando Rivera</t>
  </si>
  <si>
    <t>ORD10082</t>
  </si>
  <si>
    <t>Dr. Robert Valenzuela</t>
  </si>
  <si>
    <t>Michael Owens</t>
  </si>
  <si>
    <t>ORD10083</t>
  </si>
  <si>
    <t>Sandra White</t>
  </si>
  <si>
    <t>John Cowan</t>
  </si>
  <si>
    <t>ORD10084</t>
  </si>
  <si>
    <t>Rebecca Mejia</t>
  </si>
  <si>
    <t>Julie Coleman</t>
  </si>
  <si>
    <t>ORD10085</t>
  </si>
  <si>
    <t>Richard Collins</t>
  </si>
  <si>
    <t>Jamie Shaffer</t>
  </si>
  <si>
    <t>ORD10086</t>
  </si>
  <si>
    <t>Cody Myers Jr.</t>
  </si>
  <si>
    <t>Tiffany Johnston</t>
  </si>
  <si>
    <t>ORD10087</t>
  </si>
  <si>
    <t>Joshua Cardenas</t>
  </si>
  <si>
    <t>Darrell Wolfe</t>
  </si>
  <si>
    <t>ORD10088</t>
  </si>
  <si>
    <t>Melissa Cooper</t>
  </si>
  <si>
    <t>Lisa Gonzales</t>
  </si>
  <si>
    <t>ORD10089</t>
  </si>
  <si>
    <t>Peter Powell PhD</t>
  </si>
  <si>
    <t>Andrea Booth</t>
  </si>
  <si>
    <t>ORD10090</t>
  </si>
  <si>
    <t>Jennifer Barnes</t>
  </si>
  <si>
    <t>Samantha Sanford</t>
  </si>
  <si>
    <t>ORD10091</t>
  </si>
  <si>
    <t>Allen Sanders</t>
  </si>
  <si>
    <t>Mary Odonnell</t>
  </si>
  <si>
    <t>ORD10092</t>
  </si>
  <si>
    <t>Krystal Taylor</t>
  </si>
  <si>
    <t>Kristin Garcia</t>
  </si>
  <si>
    <t>ORD10093</t>
  </si>
  <si>
    <t>Maria Hawkins</t>
  </si>
  <si>
    <t>Janet Mullen</t>
  </si>
  <si>
    <t>ORD10094</t>
  </si>
  <si>
    <t>Abigail Melton</t>
  </si>
  <si>
    <t>Matthew Peters</t>
  </si>
  <si>
    <t>ORD10095</t>
  </si>
  <si>
    <t>Eric Smith</t>
  </si>
  <si>
    <t>Jeremy Merritt</t>
  </si>
  <si>
    <t>ORD10096</t>
  </si>
  <si>
    <t>Melissa Harrison</t>
  </si>
  <si>
    <t>Rebecca Byrd</t>
  </si>
  <si>
    <t>ORD10097</t>
  </si>
  <si>
    <t>Ashley Sanchez</t>
  </si>
  <si>
    <t>Whitney Collins</t>
  </si>
  <si>
    <t>ORD10098</t>
  </si>
  <si>
    <t>Michael Cabrera</t>
  </si>
  <si>
    <t>Kristy Morales</t>
  </si>
  <si>
    <t>ORD10099</t>
  </si>
  <si>
    <t>Samuel Smith</t>
  </si>
  <si>
    <t>George Lopez</t>
  </si>
  <si>
    <t>ORD10100</t>
  </si>
  <si>
    <t>Gregory Lewis</t>
  </si>
  <si>
    <t>Randall Romero</t>
  </si>
  <si>
    <t>ORD10101</t>
  </si>
  <si>
    <t>Zachary Phillips</t>
  </si>
  <si>
    <t>Tamara Scott</t>
  </si>
  <si>
    <t>ORD10102</t>
  </si>
  <si>
    <t>Tonya Mclean</t>
  </si>
  <si>
    <t>Andres Barron</t>
  </si>
  <si>
    <t>ORD10103</t>
  </si>
  <si>
    <t>Mary Williams</t>
  </si>
  <si>
    <t>Sandra Davenport</t>
  </si>
  <si>
    <t>ORD10104</t>
  </si>
  <si>
    <t>Juan Robinson</t>
  </si>
  <si>
    <t>Alejandra Williams</t>
  </si>
  <si>
    <t>ORD10105</t>
  </si>
  <si>
    <t>Michelle Ellis</t>
  </si>
  <si>
    <t>Sarah Mcdaniel</t>
  </si>
  <si>
    <t>ORD10106</t>
  </si>
  <si>
    <t>Anna Morris</t>
  </si>
  <si>
    <t>Haley Crawford</t>
  </si>
  <si>
    <t>ORD10107</t>
  </si>
  <si>
    <t>Melissa Hardy</t>
  </si>
  <si>
    <t>Michael Johnston</t>
  </si>
  <si>
    <t>ORD10108</t>
  </si>
  <si>
    <t>Joel Thompson</t>
  </si>
  <si>
    <t>Christine Mclaughlin</t>
  </si>
  <si>
    <t>ORD10109</t>
  </si>
  <si>
    <t>Jodi Phelps</t>
  </si>
  <si>
    <t>Megan Richardson</t>
  </si>
  <si>
    <t>ORD10110</t>
  </si>
  <si>
    <t>Timothy Gordon</t>
  </si>
  <si>
    <t>Bailey Garcia</t>
  </si>
  <si>
    <t>ORD10111</t>
  </si>
  <si>
    <t>James Munoz</t>
  </si>
  <si>
    <t>Thomas Jordan</t>
  </si>
  <si>
    <t>ORD10112</t>
  </si>
  <si>
    <t>Andrew Miller</t>
  </si>
  <si>
    <t>Ryan Wilson</t>
  </si>
  <si>
    <t>ORD10113</t>
  </si>
  <si>
    <t>Emily Mclaughlin</t>
  </si>
  <si>
    <t>Hannah Miller</t>
  </si>
  <si>
    <t>ORD10114</t>
  </si>
  <si>
    <t>Timothy Pierce</t>
  </si>
  <si>
    <t>Rebecca Hill</t>
  </si>
  <si>
    <t>ORD10115</t>
  </si>
  <si>
    <t>Elizabeth Klein</t>
  </si>
  <si>
    <t>Anne Green</t>
  </si>
  <si>
    <t>ORD10116</t>
  </si>
  <si>
    <t>Sharon Armstrong</t>
  </si>
  <si>
    <t>Patrick Lee</t>
  </si>
  <si>
    <t>ORD10117</t>
  </si>
  <si>
    <t>Kevin Gonzales</t>
  </si>
  <si>
    <t>Thomas Parker</t>
  </si>
  <si>
    <t>ORD10118</t>
  </si>
  <si>
    <t>Michael Sanchez</t>
  </si>
  <si>
    <t>Katherine Chavez</t>
  </si>
  <si>
    <t>ORD10119</t>
  </si>
  <si>
    <t>James Roberts</t>
  </si>
  <si>
    <t>Breanna Brown</t>
  </si>
  <si>
    <t>ORD10120</t>
  </si>
  <si>
    <t>Cody Mcclure</t>
  </si>
  <si>
    <t>Luke Morris</t>
  </si>
  <si>
    <t>ORD10121</t>
  </si>
  <si>
    <t>Wayne Hughes</t>
  </si>
  <si>
    <t>Erik Barron</t>
  </si>
  <si>
    <t>ORD10122</t>
  </si>
  <si>
    <t>Patricia Andrews</t>
  </si>
  <si>
    <t>David Mendez</t>
  </si>
  <si>
    <t>ORD10123</t>
  </si>
  <si>
    <t>Nicholas Robertson</t>
  </si>
  <si>
    <t>Sonia Le</t>
  </si>
  <si>
    <t>ORD10124</t>
  </si>
  <si>
    <t>Eileen Zhang MD</t>
  </si>
  <si>
    <t>David Phillips</t>
  </si>
  <si>
    <t>ORD10125</t>
  </si>
  <si>
    <t>Rhonda Lee</t>
  </si>
  <si>
    <t>Amber Tyler</t>
  </si>
  <si>
    <t>ORD10126</t>
  </si>
  <si>
    <t>Johnny Bryant Jr.</t>
  </si>
  <si>
    <t>Stephanie Hill</t>
  </si>
  <si>
    <t>ORD10127</t>
  </si>
  <si>
    <t>Sarah Shelton</t>
  </si>
  <si>
    <t>Christine Hill</t>
  </si>
  <si>
    <t>ORD10128</t>
  </si>
  <si>
    <t>Lauren Lopez</t>
  </si>
  <si>
    <t>Alison Costa</t>
  </si>
  <si>
    <t>ORD10129</t>
  </si>
  <si>
    <t>Michael Woods</t>
  </si>
  <si>
    <t>Crystal Woodward</t>
  </si>
  <si>
    <t>ORD10130</t>
  </si>
  <si>
    <t>Jeffrey Morris</t>
  </si>
  <si>
    <t>Ryan Yang</t>
  </si>
  <si>
    <t>ORD10131</t>
  </si>
  <si>
    <t>Christine Levine</t>
  </si>
  <si>
    <t>Erica Murray</t>
  </si>
  <si>
    <t>ORD10132</t>
  </si>
  <si>
    <t>Ronald Schneider</t>
  </si>
  <si>
    <t>Rebecca Lewis</t>
  </si>
  <si>
    <t>ORD10133</t>
  </si>
  <si>
    <t>Valerie Farley</t>
  </si>
  <si>
    <t>Erica Holt</t>
  </si>
  <si>
    <t>ORD10134</t>
  </si>
  <si>
    <t>Aaron Kim</t>
  </si>
  <si>
    <t>Matthew Bartlett</t>
  </si>
  <si>
    <t>ORD10135</t>
  </si>
  <si>
    <t>Elizabeth Allen</t>
  </si>
  <si>
    <t>Kristi Morales</t>
  </si>
  <si>
    <t>ORD10136</t>
  </si>
  <si>
    <t>Christopher Ramos</t>
  </si>
  <si>
    <t>Sharon Nguyen</t>
  </si>
  <si>
    <t>ORD10137</t>
  </si>
  <si>
    <t>Sherry Peters</t>
  </si>
  <si>
    <t>Ann Moore</t>
  </si>
  <si>
    <t>ORD10138</t>
  </si>
  <si>
    <t>Angela Little</t>
  </si>
  <si>
    <t>ORD10139</t>
  </si>
  <si>
    <t>Ashley Johnson</t>
  </si>
  <si>
    <t>ORD10140</t>
  </si>
  <si>
    <t>Lance Thomas</t>
  </si>
  <si>
    <t>Alicia Jones</t>
  </si>
  <si>
    <t>ORD10141</t>
  </si>
  <si>
    <t>Justin Rivera</t>
  </si>
  <si>
    <t>Melanie Gibson</t>
  </si>
  <si>
    <t>ORD10142</t>
  </si>
  <si>
    <t>Elizabeth Ware</t>
  </si>
  <si>
    <t>Tina Walls</t>
  </si>
  <si>
    <t>ORD10143</t>
  </si>
  <si>
    <t>Michele Kelly</t>
  </si>
  <si>
    <t>Jerry Wilcox</t>
  </si>
  <si>
    <t>ORD10144</t>
  </si>
  <si>
    <t>Elizabeth Martin</t>
  </si>
  <si>
    <t>Morgan Horton</t>
  </si>
  <si>
    <t>ORD10145</t>
  </si>
  <si>
    <t>Andrew Bond</t>
  </si>
  <si>
    <t>Sarah Norman</t>
  </si>
  <si>
    <t>ORD10146</t>
  </si>
  <si>
    <t>Chad Carpenter</t>
  </si>
  <si>
    <t>Kayla Casey</t>
  </si>
  <si>
    <t>ORD10147</t>
  </si>
  <si>
    <t>Christina Foley</t>
  </si>
  <si>
    <t>Nichole Smith</t>
  </si>
  <si>
    <t>ORD10148</t>
  </si>
  <si>
    <t>Michelle Gay</t>
  </si>
  <si>
    <t>Tara Carter</t>
  </si>
  <si>
    <t>ORD10149</t>
  </si>
  <si>
    <t>Kathleen Wright</t>
  </si>
  <si>
    <t>Dawn Cruz</t>
  </si>
  <si>
    <t>ORD10150</t>
  </si>
  <si>
    <t>Michelle Harris</t>
  </si>
  <si>
    <t>Brian Sanders</t>
  </si>
  <si>
    <t>ORD10151</t>
  </si>
  <si>
    <t>Craig Martin</t>
  </si>
  <si>
    <t>Mary Rodriguez</t>
  </si>
  <si>
    <t>ORD10152</t>
  </si>
  <si>
    <t>Justin Wilson</t>
  </si>
  <si>
    <t>Adrian Elliott</t>
  </si>
  <si>
    <t>ORD10153</t>
  </si>
  <si>
    <t>Samantha Kennedy</t>
  </si>
  <si>
    <t>Sandra Singleton</t>
  </si>
  <si>
    <t>ORD10154</t>
  </si>
  <si>
    <t>Jenna Garcia</t>
  </si>
  <si>
    <t>Mary Cantu MD</t>
  </si>
  <si>
    <t>ORD10155</t>
  </si>
  <si>
    <t>Joshua Williams</t>
  </si>
  <si>
    <t>Kendra Flores</t>
  </si>
  <si>
    <t>ORD10156</t>
  </si>
  <si>
    <t>Jack Rodriguez</t>
  </si>
  <si>
    <t>Christopher Preston</t>
  </si>
  <si>
    <t>ORD10157</t>
  </si>
  <si>
    <t>Allison Martin</t>
  </si>
  <si>
    <t>Mark Hernandez</t>
  </si>
  <si>
    <t>ORD10158</t>
  </si>
  <si>
    <t>Vanessa Schultz</t>
  </si>
  <si>
    <t>Levi Lee</t>
  </si>
  <si>
    <t>ORD10159</t>
  </si>
  <si>
    <t>Jeffrey Baker</t>
  </si>
  <si>
    <t>Christopher Smith</t>
  </si>
  <si>
    <t>ORD10160</t>
  </si>
  <si>
    <t>David Torres Jr.</t>
  </si>
  <si>
    <t>Adam Rivera</t>
  </si>
  <si>
    <t>ORD10161</t>
  </si>
  <si>
    <t>Kelly Oneal</t>
  </si>
  <si>
    <t>Shane Velazquez</t>
  </si>
  <si>
    <t>ORD10162</t>
  </si>
  <si>
    <t>Kevin Cunningham</t>
  </si>
  <si>
    <t>Michelle Skinner</t>
  </si>
  <si>
    <t>ORD10163</t>
  </si>
  <si>
    <t>Miss Julia Molina</t>
  </si>
  <si>
    <t>Todd Chavez</t>
  </si>
  <si>
    <t>ORD10164</t>
  </si>
  <si>
    <t>Anthony Smith</t>
  </si>
  <si>
    <t>ORD10165</t>
  </si>
  <si>
    <t>Kevin Mccann</t>
  </si>
  <si>
    <t>Mrs. Cindy Robinson</t>
  </si>
  <si>
    <t>ORD10166</t>
  </si>
  <si>
    <t>Eric Barnes</t>
  </si>
  <si>
    <t>Donald Mccoy</t>
  </si>
  <si>
    <t>ORD10167</t>
  </si>
  <si>
    <t>Sydney Martin</t>
  </si>
  <si>
    <t>Rick Valdez</t>
  </si>
  <si>
    <t>ORD10168</t>
  </si>
  <si>
    <t>Diane Cunningham</t>
  </si>
  <si>
    <t>David Farrell</t>
  </si>
  <si>
    <t>ORD10169</t>
  </si>
  <si>
    <t>Joshua Ramirez</t>
  </si>
  <si>
    <t>Robin George</t>
  </si>
  <si>
    <t>ORD10170</t>
  </si>
  <si>
    <t>Brandon Simon</t>
  </si>
  <si>
    <t>Deanna Sullivan</t>
  </si>
  <si>
    <t>ORD10171</t>
  </si>
  <si>
    <t>Andrew Chan</t>
  </si>
  <si>
    <t>Hayley Doyle</t>
  </si>
  <si>
    <t>ORD10172</t>
  </si>
  <si>
    <t>Brandon Miller</t>
  </si>
  <si>
    <t>Kim Hurst</t>
  </si>
  <si>
    <t>ORD10173</t>
  </si>
  <si>
    <t>Jeffrey Wilson</t>
  </si>
  <si>
    <t>Danielle Paul</t>
  </si>
  <si>
    <t>ORD10174</t>
  </si>
  <si>
    <t>Shirley Watkins</t>
  </si>
  <si>
    <t>Hayley Anderson</t>
  </si>
  <si>
    <t>ORD10175</t>
  </si>
  <si>
    <t>Chad Webster</t>
  </si>
  <si>
    <t>Jennifer Perez</t>
  </si>
  <si>
    <t>ORD10176</t>
  </si>
  <si>
    <t>Caroline Johnson</t>
  </si>
  <si>
    <t>Paul Coleman</t>
  </si>
  <si>
    <t>ORD10177</t>
  </si>
  <si>
    <t>Kayla Butler</t>
  </si>
  <si>
    <t>Mr. Terry Moore</t>
  </si>
  <si>
    <t>ORD10178</t>
  </si>
  <si>
    <t>Courtney Shields</t>
  </si>
  <si>
    <t>Melanie Horton</t>
  </si>
  <si>
    <t>ORD10179</t>
  </si>
  <si>
    <t>Karen Garrett</t>
  </si>
  <si>
    <t>Elizabeth Anderson</t>
  </si>
  <si>
    <t>ORD10180</t>
  </si>
  <si>
    <t>Matthew Sanders</t>
  </si>
  <si>
    <t>Taylor Harris</t>
  </si>
  <si>
    <t>ORD10181</t>
  </si>
  <si>
    <t>Eric Caldwell</t>
  </si>
  <si>
    <t>Diana May</t>
  </si>
  <si>
    <t>ORD10182</t>
  </si>
  <si>
    <t>James Wheeler</t>
  </si>
  <si>
    <t>Jeremy Wood</t>
  </si>
  <si>
    <t>ORD10183</t>
  </si>
  <si>
    <t>Robin Hall</t>
  </si>
  <si>
    <t>Christopher Palmer</t>
  </si>
  <si>
    <t>ORD10184</t>
  </si>
  <si>
    <t>Catherine Bradshaw</t>
  </si>
  <si>
    <t>Jacob Hardin</t>
  </si>
  <si>
    <t>ORD10185</t>
  </si>
  <si>
    <t>John Berry</t>
  </si>
  <si>
    <t>Alicia Williams</t>
  </si>
  <si>
    <t>ORD10186</t>
  </si>
  <si>
    <t>William Rodriguez</t>
  </si>
  <si>
    <t>Natalie Sanchez</t>
  </si>
  <si>
    <t>ORD10187</t>
  </si>
  <si>
    <t>Mark Moon</t>
  </si>
  <si>
    <t>Jeffrey Huffman</t>
  </si>
  <si>
    <t>ORD10188</t>
  </si>
  <si>
    <t>Michael Rios</t>
  </si>
  <si>
    <t>Jean Brown</t>
  </si>
  <si>
    <t>ORD10189</t>
  </si>
  <si>
    <t>Christina Lewis</t>
  </si>
  <si>
    <t>Henry Banks</t>
  </si>
  <si>
    <t>ORD10190</t>
  </si>
  <si>
    <t>David Gutierrez</t>
  </si>
  <si>
    <t>Stephanie Calderon</t>
  </si>
  <si>
    <t>ORD10191</t>
  </si>
  <si>
    <t>Justin Brown</t>
  </si>
  <si>
    <t>Kylie Brown</t>
  </si>
  <si>
    <t>ORD10192</t>
  </si>
  <si>
    <t>Cheryl Elliott</t>
  </si>
  <si>
    <t>Jeffery Roach</t>
  </si>
  <si>
    <t>ORD10193</t>
  </si>
  <si>
    <t>Edward White</t>
  </si>
  <si>
    <t>Bonnie Robinson</t>
  </si>
  <si>
    <t>ORD10194</t>
  </si>
  <si>
    <t>Richard Evans</t>
  </si>
  <si>
    <t>Andrea Romero</t>
  </si>
  <si>
    <t>ORD10195</t>
  </si>
  <si>
    <t>Raymond Robinson</t>
  </si>
  <si>
    <t>Mary Davis</t>
  </si>
  <si>
    <t>ORD10196</t>
  </si>
  <si>
    <t>Nathan Alexander</t>
  </si>
  <si>
    <t>Julia Leach</t>
  </si>
  <si>
    <t>ORD10197</t>
  </si>
  <si>
    <t>Kirk Velazquez</t>
  </si>
  <si>
    <t>Kevin Kline</t>
  </si>
  <si>
    <t>ORD10198</t>
  </si>
  <si>
    <t>Dr. Amanda Richardson</t>
  </si>
  <si>
    <t>Marie Robertson</t>
  </si>
  <si>
    <t>ORD10199</t>
  </si>
  <si>
    <t>Alicia Bridges</t>
  </si>
  <si>
    <t>Lori Salazar</t>
  </si>
  <si>
    <t>ORD10200</t>
  </si>
  <si>
    <t>Travis Estrada</t>
  </si>
  <si>
    <t>Mariah Randall</t>
  </si>
  <si>
    <t>ORD10201</t>
  </si>
  <si>
    <t>Dana Phillips</t>
  </si>
  <si>
    <t>Frederick Green</t>
  </si>
  <si>
    <t>ORD10202</t>
  </si>
  <si>
    <t>James Patterson</t>
  </si>
  <si>
    <t>Charles Lambert</t>
  </si>
  <si>
    <t>ORD10203</t>
  </si>
  <si>
    <t>Jasmine Richards</t>
  </si>
  <si>
    <t>John Smith</t>
  </si>
  <si>
    <t>ORD10204</t>
  </si>
  <si>
    <t>Jessica Flynn</t>
  </si>
  <si>
    <t>Richard Baker</t>
  </si>
  <si>
    <t>ORD10205</t>
  </si>
  <si>
    <t>Colleen Brown</t>
  </si>
  <si>
    <t>Eric Stark</t>
  </si>
  <si>
    <t>ORD10206</t>
  </si>
  <si>
    <t>Spencer Hernandez</t>
  </si>
  <si>
    <t>Barbara Ward DVM</t>
  </si>
  <si>
    <t>ORD10207</t>
  </si>
  <si>
    <t>Julie Terry</t>
  </si>
  <si>
    <t>Danielle Villanueva</t>
  </si>
  <si>
    <t>ORD10208</t>
  </si>
  <si>
    <t>Michael Wilson</t>
  </si>
  <si>
    <t>Ashley Lee</t>
  </si>
  <si>
    <t>ORD10209</t>
  </si>
  <si>
    <t>Lisa Hart</t>
  </si>
  <si>
    <t>ORD10210</t>
  </si>
  <si>
    <t>Stephanie Miller</t>
  </si>
  <si>
    <t>Joseph Caldwell</t>
  </si>
  <si>
    <t>ORD10211</t>
  </si>
  <si>
    <t>Elizabeth Lloyd</t>
  </si>
  <si>
    <t>Tony Foster</t>
  </si>
  <si>
    <t>ORD10212</t>
  </si>
  <si>
    <t>Andrew Salas</t>
  </si>
  <si>
    <t>William Compton</t>
  </si>
  <si>
    <t>ORD10213</t>
  </si>
  <si>
    <t>Joseph Willis</t>
  </si>
  <si>
    <t>Emily Hernandez</t>
  </si>
  <si>
    <t>ORD10214</t>
  </si>
  <si>
    <t>Justin Harris</t>
  </si>
  <si>
    <t>Hannah Moreno DVM</t>
  </si>
  <si>
    <t>ORD10215</t>
  </si>
  <si>
    <t>Todd Contreras DDS</t>
  </si>
  <si>
    <t>Dr. Lori Garcia</t>
  </si>
  <si>
    <t>ORD10216</t>
  </si>
  <si>
    <t>Andrea Odom</t>
  </si>
  <si>
    <t>Joshua Anderson</t>
  </si>
  <si>
    <t>ORD10217</t>
  </si>
  <si>
    <t>Carlos Young</t>
  </si>
  <si>
    <t>Timothy Williams</t>
  </si>
  <si>
    <t>ORD10218</t>
  </si>
  <si>
    <t>Veronica Moore</t>
  </si>
  <si>
    <t>Kristina Miller</t>
  </si>
  <si>
    <t>ORD10219</t>
  </si>
  <si>
    <t>Hannah Jones</t>
  </si>
  <si>
    <t>Benjamin Wells</t>
  </si>
  <si>
    <t>ORD10220</t>
  </si>
  <si>
    <t>Mark Nunez</t>
  </si>
  <si>
    <t>Maria Hubbard</t>
  </si>
  <si>
    <t>ORD10221</t>
  </si>
  <si>
    <t>Richard Joyce</t>
  </si>
  <si>
    <t>Tyler Hopkins</t>
  </si>
  <si>
    <t>ORD10222</t>
  </si>
  <si>
    <t>Robert Deleon</t>
  </si>
  <si>
    <t>Cynthia Russo</t>
  </si>
  <si>
    <t>ORD10223</t>
  </si>
  <si>
    <t>Kevin Brown</t>
  </si>
  <si>
    <t>Leah Hernandez</t>
  </si>
  <si>
    <t>ORD10224</t>
  </si>
  <si>
    <t>Zachary Williamson</t>
  </si>
  <si>
    <t>Alejandro Becker</t>
  </si>
  <si>
    <t>ORD10225</t>
  </si>
  <si>
    <t>Stephen Harris</t>
  </si>
  <si>
    <t>Scott Hicks</t>
  </si>
  <si>
    <t>ORD10226</t>
  </si>
  <si>
    <t>Jorge Boyd</t>
  </si>
  <si>
    <t>Taylor Brown</t>
  </si>
  <si>
    <t>ORD10227</t>
  </si>
  <si>
    <t>Meghan Wilcox</t>
  </si>
  <si>
    <t>Carolyn Ho</t>
  </si>
  <si>
    <t>ORD10228</t>
  </si>
  <si>
    <t>Mrs. Amy Kennedy</t>
  </si>
  <si>
    <t>Heather Lewis</t>
  </si>
  <si>
    <t>ORD10229</t>
  </si>
  <si>
    <t>Stefanie Francis</t>
  </si>
  <si>
    <t>Christine Arellano</t>
  </si>
  <si>
    <t>ORD10230</t>
  </si>
  <si>
    <t>Kenneth Valdez</t>
  </si>
  <si>
    <t>Kyle Watson</t>
  </si>
  <si>
    <t>ORD10231</t>
  </si>
  <si>
    <t>Janet Lindsey</t>
  </si>
  <si>
    <t>Joseph Fisher</t>
  </si>
  <si>
    <t>ORD10232</t>
  </si>
  <si>
    <t>Gabriel Jordan</t>
  </si>
  <si>
    <t>Katie Mack</t>
  </si>
  <si>
    <t>ORD10233</t>
  </si>
  <si>
    <t>Steven Gay</t>
  </si>
  <si>
    <t>Daniel Holmes</t>
  </si>
  <si>
    <t>ORD10234</t>
  </si>
  <si>
    <t>David Ward DDS</t>
  </si>
  <si>
    <t>Laurie Hardy</t>
  </si>
  <si>
    <t>ORD10235</t>
  </si>
  <si>
    <t>Stacey Nelson</t>
  </si>
  <si>
    <t>Carl Brown</t>
  </si>
  <si>
    <t>ORD10236</t>
  </si>
  <si>
    <t>Brandy Thomas</t>
  </si>
  <si>
    <t>Richard Ortiz</t>
  </si>
  <si>
    <t>ORD10237</t>
  </si>
  <si>
    <t>Tammy Branch</t>
  </si>
  <si>
    <t>Mr. Carl Smith</t>
  </si>
  <si>
    <t>ORD10238</t>
  </si>
  <si>
    <t>Robin Thomas</t>
  </si>
  <si>
    <t>Vicki Ramos</t>
  </si>
  <si>
    <t>ORD10239</t>
  </si>
  <si>
    <t>Eric Allen</t>
  </si>
  <si>
    <t>Jessica Morgan</t>
  </si>
  <si>
    <t>ORD10240</t>
  </si>
  <si>
    <t>Helen Wilson</t>
  </si>
  <si>
    <t>Meredith Hoffman</t>
  </si>
  <si>
    <t>ORD10241</t>
  </si>
  <si>
    <t>Rachael Black</t>
  </si>
  <si>
    <t>Alan Nguyen</t>
  </si>
  <si>
    <t>ORD10242</t>
  </si>
  <si>
    <t>Kevin West</t>
  </si>
  <si>
    <t>Nicole Underwood</t>
  </si>
  <si>
    <t>ORD10243</t>
  </si>
  <si>
    <t>Linda Lee</t>
  </si>
  <si>
    <t>ORD10244</t>
  </si>
  <si>
    <t>Anthony Myers</t>
  </si>
  <si>
    <t>ORD10245</t>
  </si>
  <si>
    <t>Fernando Hanson</t>
  </si>
  <si>
    <t>Amber Perez</t>
  </si>
  <si>
    <t>ORD10246</t>
  </si>
  <si>
    <t>Thomas Holmes</t>
  </si>
  <si>
    <t>Juan Sullivan</t>
  </si>
  <si>
    <t>ORD10247</t>
  </si>
  <si>
    <t>Mary Hughes</t>
  </si>
  <si>
    <t>Jessica Foster</t>
  </si>
  <si>
    <t>ORD10248</t>
  </si>
  <si>
    <t>Carla Garcia</t>
  </si>
  <si>
    <t>Karla Williams</t>
  </si>
  <si>
    <t>ORD10249</t>
  </si>
  <si>
    <t>Ms. Courtney Hoffman</t>
  </si>
  <si>
    <t>Jeremy Floyd</t>
  </si>
  <si>
    <t>ORD10250</t>
  </si>
  <si>
    <t>Lisa Reeves</t>
  </si>
  <si>
    <t>Brianna Griffith</t>
  </si>
  <si>
    <t>ORD10251</t>
  </si>
  <si>
    <t>Timothy Clayton</t>
  </si>
  <si>
    <t>Shannon Li</t>
  </si>
  <si>
    <t>ORD10252</t>
  </si>
  <si>
    <t>Emily Bell</t>
  </si>
  <si>
    <t>Meredith Buck</t>
  </si>
  <si>
    <t>ORD10253</t>
  </si>
  <si>
    <t>Sharon Li</t>
  </si>
  <si>
    <t>Megan Holt</t>
  </si>
  <si>
    <t>ORD10254</t>
  </si>
  <si>
    <t>Cindy Rodriguez</t>
  </si>
  <si>
    <t>Christopher Hurley</t>
  </si>
  <si>
    <t>ORD10255</t>
  </si>
  <si>
    <t>Renee Kirby</t>
  </si>
  <si>
    <t>Adrian Cruz</t>
  </si>
  <si>
    <t>ORD10256</t>
  </si>
  <si>
    <t>Katherine Woodward</t>
  </si>
  <si>
    <t>Alexandra Hamilton</t>
  </si>
  <si>
    <t>ORD10257</t>
  </si>
  <si>
    <t>Amanda Nixon</t>
  </si>
  <si>
    <t>Olivia Armstrong</t>
  </si>
  <si>
    <t>ORD10258</t>
  </si>
  <si>
    <t>Nicole Knight</t>
  </si>
  <si>
    <t>Dylan Russell</t>
  </si>
  <si>
    <t>ORD10259</t>
  </si>
  <si>
    <t>Tamara Pierce</t>
  </si>
  <si>
    <t>Miss Shannon Madden</t>
  </si>
  <si>
    <t>ORD10260</t>
  </si>
  <si>
    <t>Shelby Hartman</t>
  </si>
  <si>
    <t>Shawn Benjamin</t>
  </si>
  <si>
    <t>ORD10261</t>
  </si>
  <si>
    <t>Autumn Huerta</t>
  </si>
  <si>
    <t>Holly Grant</t>
  </si>
  <si>
    <t>ORD10262</t>
  </si>
  <si>
    <t>Daniel Dawson</t>
  </si>
  <si>
    <t>Dennis Wright</t>
  </si>
  <si>
    <t>ORD10263</t>
  </si>
  <si>
    <t>Cody Phillips</t>
  </si>
  <si>
    <t>George Horton</t>
  </si>
  <si>
    <t>ORD10264</t>
  </si>
  <si>
    <t>Julia Hall</t>
  </si>
  <si>
    <t>Cameron Herrera</t>
  </si>
  <si>
    <t>ORD10265</t>
  </si>
  <si>
    <t>April Mcbride</t>
  </si>
  <si>
    <t>Bonnie Harvey</t>
  </si>
  <si>
    <t>ORD10266</t>
  </si>
  <si>
    <t>Kayla Lewis</t>
  </si>
  <si>
    <t>Angela Bolton</t>
  </si>
  <si>
    <t>ORD10267</t>
  </si>
  <si>
    <t>Jennifer Lowe</t>
  </si>
  <si>
    <t>Diane Coleman DDS</t>
  </si>
  <si>
    <t>ORD10268</t>
  </si>
  <si>
    <t>Johnny Gonzalez</t>
  </si>
  <si>
    <t>Antonio Parks</t>
  </si>
  <si>
    <t>ORD10269</t>
  </si>
  <si>
    <t>Krista Huber</t>
  </si>
  <si>
    <t>Jacob Smith</t>
  </si>
  <si>
    <t>ORD10270</t>
  </si>
  <si>
    <t>Eric Martinez</t>
  </si>
  <si>
    <t>James Chen</t>
  </si>
  <si>
    <t>ORD10271</t>
  </si>
  <si>
    <t>Christy Johnson</t>
  </si>
  <si>
    <t>David Bell</t>
  </si>
  <si>
    <t>ORD10272</t>
  </si>
  <si>
    <t>Brandy Lyons</t>
  </si>
  <si>
    <t>Sara Cox</t>
  </si>
  <si>
    <t>ORD10273</t>
  </si>
  <si>
    <t>Kenneth Santos</t>
  </si>
  <si>
    <t>ORD10274</t>
  </si>
  <si>
    <t>Mrs. Julie Peters</t>
  </si>
  <si>
    <t>Anthony Harris</t>
  </si>
  <si>
    <t>ORD10275</t>
  </si>
  <si>
    <t>Renee Rose</t>
  </si>
  <si>
    <t>Laura Brown</t>
  </si>
  <si>
    <t>ORD10276</t>
  </si>
  <si>
    <t>Mary Clayton</t>
  </si>
  <si>
    <t>Gail Stephens</t>
  </si>
  <si>
    <t>ORD10277</t>
  </si>
  <si>
    <t>Danielle Peterson</t>
  </si>
  <si>
    <t>Sophia Campbell</t>
  </si>
  <si>
    <t>ORD10278</t>
  </si>
  <si>
    <t>Terry Martinez</t>
  </si>
  <si>
    <t>Annette Davis</t>
  </si>
  <si>
    <t>ORD10279</t>
  </si>
  <si>
    <t>Shawn Randall</t>
  </si>
  <si>
    <t>Joshua Webb</t>
  </si>
  <si>
    <t>ORD10280</t>
  </si>
  <si>
    <t>Charlotte Whitaker</t>
  </si>
  <si>
    <t>Courtney Washington</t>
  </si>
  <si>
    <t>ORD10281</t>
  </si>
  <si>
    <t>Victoria Parker</t>
  </si>
  <si>
    <t>Michael Morgan</t>
  </si>
  <si>
    <t>ORD10282</t>
  </si>
  <si>
    <t>Anthony Baker</t>
  </si>
  <si>
    <t>Anthony Young</t>
  </si>
  <si>
    <t>ORD10283</t>
  </si>
  <si>
    <t>Jonathan Brown</t>
  </si>
  <si>
    <t>Luke Morris Jr.</t>
  </si>
  <si>
    <t>ORD10284</t>
  </si>
  <si>
    <t>Deborah Wallace</t>
  </si>
  <si>
    <t>Bradley Clark</t>
  </si>
  <si>
    <t>ORD10285</t>
  </si>
  <si>
    <t>Jason Woods</t>
  </si>
  <si>
    <t>Kyle Baker</t>
  </si>
  <si>
    <t>ORD10286</t>
  </si>
  <si>
    <t>Tim Frank</t>
  </si>
  <si>
    <t>Jack Williams</t>
  </si>
  <si>
    <t>ORD10287</t>
  </si>
  <si>
    <t>Katherine Sims</t>
  </si>
  <si>
    <t>Kathryn Benson</t>
  </si>
  <si>
    <t>ORD10288</t>
  </si>
  <si>
    <t>Donald Perry</t>
  </si>
  <si>
    <t>Dr. Glenn Wiley</t>
  </si>
  <si>
    <t>ORD10289</t>
  </si>
  <si>
    <t>Douglas Lopez</t>
  </si>
  <si>
    <t>Danielle Romero</t>
  </si>
  <si>
    <t>ORD10290</t>
  </si>
  <si>
    <t>Glenn Olson</t>
  </si>
  <si>
    <t>ORD10291</t>
  </si>
  <si>
    <t>Jason Arellano</t>
  </si>
  <si>
    <t>Kimberly Preston</t>
  </si>
  <si>
    <t>ORD10292</t>
  </si>
  <si>
    <t>Laura Mcbride</t>
  </si>
  <si>
    <t>Steven Johnson PhD</t>
  </si>
  <si>
    <t>ORD10293</t>
  </si>
  <si>
    <t>Stephanie Duffy</t>
  </si>
  <si>
    <t>Sandra Tate</t>
  </si>
  <si>
    <t>ORD10294</t>
  </si>
  <si>
    <t>Franklin Fowler</t>
  </si>
  <si>
    <t>Robert Valdez</t>
  </si>
  <si>
    <t>ORD10295</t>
  </si>
  <si>
    <t>Benjamin Campbell</t>
  </si>
  <si>
    <t>Alicia Carpenter</t>
  </si>
  <si>
    <t>ORD10296</t>
  </si>
  <si>
    <t>Michael Martin</t>
  </si>
  <si>
    <t>Janet English</t>
  </si>
  <si>
    <t>ORD10297</t>
  </si>
  <si>
    <t>Frank Jimenez</t>
  </si>
  <si>
    <t>Kevin Shaffer</t>
  </si>
  <si>
    <t>ORD10298</t>
  </si>
  <si>
    <t>Keith Greene</t>
  </si>
  <si>
    <t>ORD10299</t>
  </si>
  <si>
    <t>Andrew Jones</t>
  </si>
  <si>
    <t>Caroline Patton</t>
  </si>
  <si>
    <t>EDA Questions</t>
  </si>
  <si>
    <t>1. Create a pivot table to summarize total sales by Region and Product.</t>
  </si>
  <si>
    <t>2. Plot a bar chart showing total units sold by product category.</t>
  </si>
  <si>
    <t>3. Identify the top 5 customers by total sales.</t>
  </si>
  <si>
    <t>4. Analyze monthly sales trend using a line chart.</t>
  </si>
  <si>
    <t>5. Use slicers in pivot table to filter sales by Region.</t>
  </si>
  <si>
    <t>6. Use conditional formatting to highlight high discount transactions (&gt;10%).</t>
  </si>
  <si>
    <t>7. Group sales data by quarter and summarize revenue.</t>
  </si>
  <si>
    <t>8. Create a pie chart showing sales distribution by region.</t>
  </si>
  <si>
    <t>9. Identify salesperson with highest average sale per order.</t>
  </si>
  <si>
    <t>10. Create a dashboard view summarizing total sales, average discount, and top regions.</t>
  </si>
  <si>
    <t>Compensation</t>
  </si>
  <si>
    <t>[@Salary]+([@Salary]*([@[Bonus %]]/100))</t>
  </si>
  <si>
    <t>Q1</t>
  </si>
  <si>
    <t>Q2</t>
  </si>
  <si>
    <t>COUNTIF(C2:C301,Q7)</t>
  </si>
  <si>
    <t>Q3</t>
  </si>
  <si>
    <t>AVERAGEIF(D2:D301,R13,F2:F301)</t>
  </si>
  <si>
    <t>Q4</t>
  </si>
  <si>
    <t>Project Code Description</t>
  </si>
  <si>
    <t>Excel Practicing Questions</t>
  </si>
  <si>
    <t xml:space="preserve">SQl Retailmart Analytics </t>
  </si>
  <si>
    <t>Power Bi</t>
  </si>
  <si>
    <t>Ans</t>
  </si>
  <si>
    <t>Formula</t>
  </si>
  <si>
    <t>Reference</t>
  </si>
  <si>
    <t>Q.No</t>
  </si>
  <si>
    <t>t</t>
  </si>
  <si>
    <t>VLOOKUP(I2,Table2[#All],2,0)</t>
  </si>
  <si>
    <t>Emp Rank</t>
  </si>
  <si>
    <t>Q6</t>
  </si>
  <si>
    <t>COUNTIF(J2:J301,"&gt;20")</t>
  </si>
  <si>
    <t>Q7</t>
  </si>
  <si>
    <t>Performance_Grade</t>
  </si>
  <si>
    <t>IF(OR(H2="A",H2="B"),"Pass","Fail")</t>
  </si>
  <si>
    <t>Q8</t>
  </si>
  <si>
    <t>SUMIFS(F2:F301,C2:C301,S25,D2:D301,S26)</t>
  </si>
  <si>
    <t>Q9</t>
  </si>
  <si>
    <t>INDEX(G2:G301,MATCH(S28,B2:B301))</t>
  </si>
  <si>
    <t>Q10</t>
  </si>
  <si>
    <t>COUNTIFS(E2:E301, "&gt;=" &amp; DATE(YEAR(TODAY())-5, MONTH(TODAY()), DAY(TODAY())))</t>
  </si>
  <si>
    <t>we have joining dates from 2020 - 2021</t>
  </si>
  <si>
    <r>
      <t>that’s y we haved used</t>
    </r>
    <r>
      <rPr>
        <sz val="11"/>
        <color rgb="FFFF0000"/>
        <rFont val="Calibri"/>
        <family val="2"/>
        <scheme val="minor"/>
      </rPr>
      <t xml:space="preserve"> DATE(YEAR(TODAY())-5 to minus years</t>
    </r>
  </si>
  <si>
    <t>Row Labels</t>
  </si>
  <si>
    <t>Grand Total</t>
  </si>
  <si>
    <t>Sum of Total Sales</t>
  </si>
  <si>
    <t>Sum of Units Sold</t>
  </si>
  <si>
    <t>Qtr1</t>
  </si>
  <si>
    <t>Qtr2</t>
  </si>
  <si>
    <t>Qtr3</t>
  </si>
  <si>
    <t>Qtr4</t>
  </si>
  <si>
    <t>Jan</t>
  </si>
  <si>
    <t>Feb</t>
  </si>
  <si>
    <t>Mar</t>
  </si>
  <si>
    <t>Apr</t>
  </si>
  <si>
    <t>May</t>
  </si>
  <si>
    <t>Jun</t>
  </si>
  <si>
    <t>Jul</t>
  </si>
  <si>
    <t>Aug</t>
  </si>
  <si>
    <t>Sep</t>
  </si>
  <si>
    <t>Oct</t>
  </si>
  <si>
    <t>Nov</t>
  </si>
  <si>
    <t>Dec</t>
  </si>
  <si>
    <t>Answer in Sataset 2</t>
  </si>
  <si>
    <t>Average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</si>
</sst>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yyyy\-mm\-dd"/>
    <numFmt numFmtId="165" formatCode="[$-14009]dd/mm/yyyy;@"/>
    <numFmt numFmtId="171" formatCode="_ * #,##0_ ;_ * \-#,##0_ ;_ * &quot;-&quot;??_ ;_ @_ "/>
  </numFmts>
  <fonts count="6" x14ac:knownFonts="1">
    <font>
      <sz val="11"/>
      <color theme="1"/>
      <name val="Calibri"/>
      <family val="2"/>
      <scheme val="minor"/>
    </font>
    <font>
      <b/>
      <sz val="11"/>
      <name val="Calibri"/>
    </font>
    <font>
      <sz val="11"/>
      <color rgb="FFFF0000"/>
      <name val="Calibri"/>
      <family val="2"/>
      <scheme val="minor"/>
    </font>
    <font>
      <b/>
      <sz val="11"/>
      <color theme="1"/>
      <name val="Calibri"/>
      <family val="2"/>
      <scheme val="minor"/>
    </font>
    <font>
      <b/>
      <sz val="11"/>
      <name val="Calibri"/>
      <family val="2"/>
    </font>
    <font>
      <sz val="11"/>
      <color theme="1"/>
      <name val="Calibri"/>
      <family val="2"/>
      <scheme val="minor"/>
    </font>
  </fonts>
  <fills count="4">
    <fill>
      <patternFill patternType="none"/>
    </fill>
    <fill>
      <patternFill patternType="gray125"/>
    </fill>
    <fill>
      <patternFill patternType="solid">
        <fgColor theme="4" tint="0.59999389629810485"/>
        <bgColor theme="4" tint="0.59999389629810485"/>
      </patternFill>
    </fill>
    <fill>
      <patternFill patternType="solid">
        <fgColor rgb="FFFFFF0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left>
      <right style="medium">
        <color indexed="64"/>
      </right>
      <top style="medium">
        <color indexed="64"/>
      </top>
      <bottom style="medium">
        <color indexed="64"/>
      </bottom>
      <diagonal/>
    </border>
  </borders>
  <cellStyleXfs count="2">
    <xf numFmtId="0" fontId="0" fillId="0" borderId="0"/>
    <xf numFmtId="43" fontId="5" fillId="0" borderId="0" applyFont="0" applyFill="0" applyBorder="0" applyAlignment="0" applyProtection="0"/>
  </cellStyleXfs>
  <cellXfs count="31">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4" fillId="0" borderId="2" xfId="0" applyFont="1" applyBorder="1" applyAlignment="1">
      <alignment horizontal="center" vertical="top"/>
    </xf>
    <xf numFmtId="0" fontId="3" fillId="3" borderId="0" xfId="0" applyFont="1" applyFill="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2" fontId="0" fillId="0" borderId="7" xfId="0" applyNumberFormat="1" applyBorder="1"/>
    <xf numFmtId="2" fontId="0" fillId="0" borderId="0" xfId="0" applyNumberFormat="1"/>
    <xf numFmtId="2" fontId="0" fillId="0" borderId="12" xfId="0" applyNumberFormat="1" applyBorder="1"/>
    <xf numFmtId="0" fontId="3" fillId="0" borderId="3" xfId="0" applyFont="1" applyBorder="1"/>
    <xf numFmtId="2" fontId="0" fillId="0" borderId="4" xfId="0" applyNumberFormat="1" applyBorder="1"/>
    <xf numFmtId="0" fontId="4" fillId="0" borderId="0" xfId="0" applyFont="1" applyAlignment="1">
      <alignment horizontal="center" vertical="top"/>
    </xf>
    <xf numFmtId="165" fontId="0" fillId="0" borderId="0" xfId="0" applyNumberFormat="1"/>
    <xf numFmtId="0" fontId="0" fillId="2" borderId="14" xfId="0" applyFill="1" applyBorder="1"/>
    <xf numFmtId="14" fontId="0" fillId="0" borderId="12" xfId="0" applyNumberFormat="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71" fontId="0" fillId="0" borderId="0" xfId="1" applyNumberFormat="1" applyFont="1"/>
  </cellXfs>
  <cellStyles count="2">
    <cellStyle name="Comma" xfId="1" builtinId="3"/>
    <cellStyle name="Normal" xfId="0" builtinId="0"/>
  </cellStyles>
  <dxfs count="11">
    <dxf>
      <font>
        <color rgb="FF9C0006"/>
      </font>
      <fill>
        <patternFill>
          <bgColor rgb="FFFFC7CE"/>
        </patternFill>
      </fil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[Excel_Mock_practice5.xlsx]Sheet1!PivotTable2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Sheet1!$D$36</c:f>
              <c:strCache>
                <c:ptCount val="1"/>
                <c:pt idx="0">
                  <c:v>Total</c:v>
                </c:pt>
              </c:strCache>
            </c:strRef>
          </c:tx>
          <c:spPr>
            <a:solidFill>
              <a:schemeClr val="accent1"/>
            </a:solidFill>
            <a:ln>
              <a:noFill/>
            </a:ln>
            <a:effectLst/>
          </c:spPr>
          <c:invertIfNegative val="0"/>
          <c:cat>
            <c:strRef>
              <c:f>Sheet1!$C$37:$C$42</c:f>
              <c:strCache>
                <c:ptCount val="5"/>
                <c:pt idx="0">
                  <c:v>Keyboard</c:v>
                </c:pt>
                <c:pt idx="1">
                  <c:v>Laptop</c:v>
                </c:pt>
                <c:pt idx="2">
                  <c:v>Monitor</c:v>
                </c:pt>
                <c:pt idx="3">
                  <c:v>Mouse</c:v>
                </c:pt>
                <c:pt idx="4">
                  <c:v>Printer</c:v>
                </c:pt>
              </c:strCache>
            </c:strRef>
          </c:cat>
          <c:val>
            <c:numRef>
              <c:f>Sheet1!$D$37:$D$42</c:f>
              <c:numCache>
                <c:formatCode>General</c:formatCode>
                <c:ptCount val="5"/>
                <c:pt idx="0">
                  <c:v>3092</c:v>
                </c:pt>
                <c:pt idx="1">
                  <c:v>2730</c:v>
                </c:pt>
                <c:pt idx="2">
                  <c:v>3397</c:v>
                </c:pt>
                <c:pt idx="3">
                  <c:v>2424</c:v>
                </c:pt>
                <c:pt idx="4">
                  <c:v>4158</c:v>
                </c:pt>
              </c:numCache>
            </c:numRef>
          </c:val>
          <c:extLst>
            <c:ext xmlns:c16="http://schemas.microsoft.com/office/drawing/2014/chart" uri="{C3380CC4-5D6E-409C-BE32-E72D297353CC}">
              <c16:uniqueId val="{00000000-AEE6-4C9F-ADA1-D68474328BB5}"/>
            </c:ext>
          </c:extLst>
        </c:ser>
        <c:dLbls>
          <c:showLegendKey val="0"/>
          <c:showVal val="0"/>
          <c:showCatName val="0"/>
          <c:showSerName val="0"/>
          <c:showPercent val="0"/>
          <c:showBubbleSize val="0"/>
        </c:dLbls>
        <c:gapWidth val="219"/>
        <c:axId val="477316511"/>
        <c:axId val="477316991"/>
      </c:barChart>
      <c:catAx>
        <c:axId val="477316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316991"/>
        <c:crosses val="autoZero"/>
        <c:auto val="1"/>
        <c:lblAlgn val="ctr"/>
        <c:lblOffset val="100"/>
        <c:noMultiLvlLbl val="0"/>
      </c:catAx>
      <c:valAx>
        <c:axId val="477316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316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[Excel_Mock_practice5.xlsx]Sheet1!PivotTable5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Sheet1!$D$59</c:f>
              <c:strCache>
                <c:ptCount val="1"/>
                <c:pt idx="0">
                  <c:v>Total</c:v>
                </c:pt>
              </c:strCache>
            </c:strRef>
          </c:tx>
          <c:spPr>
            <a:ln w="28575" cap="rnd">
              <a:solidFill>
                <a:schemeClr val="accent1"/>
              </a:solidFill>
              <a:round/>
            </a:ln>
            <a:effectLst/>
          </c:spPr>
          <c:marker>
            <c:symbol val="none"/>
          </c:marker>
          <c:cat>
            <c:strRef>
              <c:f>Sheet1!$C$60:$C$72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Sheet1!$D$60:$D$72</c:f>
              <c:numCache>
                <c:formatCode>General</c:formatCode>
                <c:ptCount val="12"/>
                <c:pt idx="0">
                  <c:v>36260726</c:v>
                </c:pt>
                <c:pt idx="1">
                  <c:v>23872488</c:v>
                </c:pt>
                <c:pt idx="2">
                  <c:v>54083161</c:v>
                </c:pt>
                <c:pt idx="3">
                  <c:v>39273913</c:v>
                </c:pt>
                <c:pt idx="4">
                  <c:v>29908440</c:v>
                </c:pt>
                <c:pt idx="5">
                  <c:v>31012883</c:v>
                </c:pt>
                <c:pt idx="6">
                  <c:v>23407463</c:v>
                </c:pt>
                <c:pt idx="7">
                  <c:v>24969830</c:v>
                </c:pt>
                <c:pt idx="8">
                  <c:v>43650848</c:v>
                </c:pt>
                <c:pt idx="9">
                  <c:v>41034839</c:v>
                </c:pt>
                <c:pt idx="10">
                  <c:v>32965458</c:v>
                </c:pt>
                <c:pt idx="11">
                  <c:v>41788471</c:v>
                </c:pt>
              </c:numCache>
            </c:numRef>
          </c:val>
          <c:smooth val="0"/>
          <c:extLst>
            <c:ext xmlns:c16="http://schemas.microsoft.com/office/drawing/2014/chart" uri="{C3380CC4-5D6E-409C-BE32-E72D297353CC}">
              <c16:uniqueId val="{00000000-5F1B-4CE3-B60A-6D5EAA763BBB}"/>
            </c:ext>
          </c:extLst>
        </c:ser>
        <c:dLbls>
          <c:showLegendKey val="0"/>
          <c:showVal val="0"/>
          <c:showCatName val="0"/>
          <c:showSerName val="0"/>
          <c:showPercent val="0"/>
          <c:showBubbleSize val="0"/>
        </c:dLbls>
        <c:smooth val="0"/>
        <c:axId val="477325631"/>
        <c:axId val="477326111"/>
      </c:lineChart>
      <c:catAx>
        <c:axId val="47732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326111"/>
        <c:crosses val="autoZero"/>
        <c:auto val="1"/>
        <c:lblAlgn val="ctr"/>
        <c:lblOffset val="100"/>
        <c:noMultiLvlLbl val="0"/>
      </c:catAx>
      <c:valAx>
        <c:axId val="477326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32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[Excel_Mock_practice5.xlsx]Sheet1!PivotTable7</c:name>
    <c:fmtId val="5"/>
  </c:pivotSource>
  <c:chart>
    <c:title>
      <c:layout>
        <c:manualLayout>
          <c:xMode val="edge"/>
          <c:yMode val="edge"/>
          <c:x val="0.44978237779676278"/>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Sheet1!$D$116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Sheet1!$C$117:$C$121</c:f>
              <c:strCache>
                <c:ptCount val="4"/>
                <c:pt idx="0">
                  <c:v>East</c:v>
                </c:pt>
                <c:pt idx="1">
                  <c:v>North</c:v>
                </c:pt>
                <c:pt idx="2">
                  <c:v>South</c:v>
                </c:pt>
                <c:pt idx="3">
                  <c:v>West</c:v>
                </c:pt>
              </c:strCache>
            </c:strRef>
          </c:cat>
          <c:val>
            <c:numRef>
              <c:f>Sheet1!$D$117:$D$121</c:f>
              <c:numCache>
                <c:formatCode>General</c:formatCode>
                <c:ptCount val="4"/>
                <c:pt idx="0">
                  <c:v>113105558</c:v>
                </c:pt>
                <c:pt idx="1">
                  <c:v>88400642</c:v>
                </c:pt>
                <c:pt idx="2">
                  <c:v>129341012</c:v>
                </c:pt>
                <c:pt idx="3">
                  <c:v>91381308</c:v>
                </c:pt>
              </c:numCache>
            </c:numRef>
          </c:val>
          <c:extLst>
            <c:ext xmlns:c16="http://schemas.microsoft.com/office/drawing/2014/chart" uri="{C3380CC4-5D6E-409C-BE32-E72D297353CC}">
              <c16:uniqueId val="{00000000-A02A-4623-9AA1-F1A80F50543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954881</xdr:colOff>
      <xdr:row>33</xdr:row>
      <xdr:rowOff>159543</xdr:rowOff>
    </xdr:from>
    <xdr:to>
      <xdr:col>11</xdr:col>
      <xdr:colOff>0</xdr:colOff>
      <xdr:row>43</xdr:row>
      <xdr:rowOff>95250</xdr:rowOff>
    </xdr:to>
    <xdr:graphicFrame macro="">
      <xdr:nvGraphicFramePr>
        <xdr:cNvPr id="2" name="Chart 1">
          <a:extLst>
            <a:ext uri="{FF2B5EF4-FFF2-40B4-BE49-F238E27FC236}">
              <a16:creationId xmlns:a16="http://schemas.microsoft.com/office/drawing/2014/main" id="{825D1B60-E4F9-A9A7-6D7B-91FC0E4167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988219</xdr:colOff>
      <xdr:row>59</xdr:row>
      <xdr:rowOff>64292</xdr:rowOff>
    </xdr:from>
    <xdr:to>
      <xdr:col>10</xdr:col>
      <xdr:colOff>566738</xdr:colOff>
      <xdr:row>70</xdr:row>
      <xdr:rowOff>152400</xdr:rowOff>
    </xdr:to>
    <xdr:graphicFrame macro="">
      <xdr:nvGraphicFramePr>
        <xdr:cNvPr id="3" name="Chart 2">
          <a:extLst>
            <a:ext uri="{FF2B5EF4-FFF2-40B4-BE49-F238E27FC236}">
              <a16:creationId xmlns:a16="http://schemas.microsoft.com/office/drawing/2014/main" id="{13A61BA2-AAE3-75BA-A254-F6A534266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33337</xdr:colOff>
      <xdr:row>76</xdr:row>
      <xdr:rowOff>176213</xdr:rowOff>
    </xdr:from>
    <xdr:to>
      <xdr:col>3</xdr:col>
      <xdr:colOff>1000124</xdr:colOff>
      <xdr:row>85</xdr:row>
      <xdr:rowOff>23814</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AA22C789-F26C-4EDF-F8B6-36A30E8ED3D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47655" y="13886440"/>
              <a:ext cx="1825481" cy="1471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214314</xdr:colOff>
      <xdr:row>90</xdr:row>
      <xdr:rowOff>76200</xdr:rowOff>
    </xdr:from>
    <xdr:to>
      <xdr:col>3</xdr:col>
      <xdr:colOff>90488</xdr:colOff>
      <xdr:row>98</xdr:row>
      <xdr:rowOff>85725</xdr:rowOff>
    </xdr:to>
    <xdr:pic>
      <xdr:nvPicPr>
        <xdr:cNvPr id="5" name="Picture 4">
          <a:extLst>
            <a:ext uri="{FF2B5EF4-FFF2-40B4-BE49-F238E27FC236}">
              <a16:creationId xmlns:a16="http://schemas.microsoft.com/office/drawing/2014/main" id="{61AA2318-D64D-FF7C-3AE6-9F473530DA7B}"/>
            </a:ext>
          </a:extLst>
        </xdr:cNvPr>
        <xdr:cNvPicPr>
          <a:picLocks noChangeAspect="1"/>
        </xdr:cNvPicPr>
      </xdr:nvPicPr>
      <xdr:blipFill>
        <a:blip xmlns:r="http://schemas.openxmlformats.org/officeDocument/2006/relationships" r:embed="rId3"/>
        <a:stretch>
          <a:fillRect/>
        </a:stretch>
      </xdr:blipFill>
      <xdr:spPr>
        <a:xfrm>
          <a:off x="1633539" y="16363950"/>
          <a:ext cx="738187" cy="1457325"/>
        </a:xfrm>
        <a:prstGeom prst="rect">
          <a:avLst/>
        </a:prstGeom>
      </xdr:spPr>
    </xdr:pic>
    <xdr:clientData/>
  </xdr:twoCellAnchor>
  <xdr:twoCellAnchor>
    <xdr:from>
      <xdr:col>4</xdr:col>
      <xdr:colOff>990600</xdr:colOff>
      <xdr:row>112</xdr:row>
      <xdr:rowOff>64292</xdr:rowOff>
    </xdr:from>
    <xdr:to>
      <xdr:col>8</xdr:col>
      <xdr:colOff>609600</xdr:colOff>
      <xdr:row>123</xdr:row>
      <xdr:rowOff>14288</xdr:rowOff>
    </xdr:to>
    <xdr:graphicFrame macro="">
      <xdr:nvGraphicFramePr>
        <xdr:cNvPr id="6" name="Chart 5">
          <a:extLst>
            <a:ext uri="{FF2B5EF4-FFF2-40B4-BE49-F238E27FC236}">
              <a16:creationId xmlns:a16="http://schemas.microsoft.com/office/drawing/2014/main" id="{B9669E06-8E2C-0237-171A-9F47A37DBF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28576</xdr:colOff>
      <xdr:row>136</xdr:row>
      <xdr:rowOff>128587</xdr:rowOff>
    </xdr:from>
    <xdr:to>
      <xdr:col>3</xdr:col>
      <xdr:colOff>1047749</xdr:colOff>
      <xdr:row>140</xdr:row>
      <xdr:rowOff>14287</xdr:rowOff>
    </xdr:to>
    <xdr:sp macro="" textlink="">
      <xdr:nvSpPr>
        <xdr:cNvPr id="7" name="Rectangle: Rounded Corners 6">
          <a:extLst>
            <a:ext uri="{FF2B5EF4-FFF2-40B4-BE49-F238E27FC236}">
              <a16:creationId xmlns:a16="http://schemas.microsoft.com/office/drawing/2014/main" id="{96032FDF-9F23-068E-E00D-F9C88BB5CDD1}"/>
            </a:ext>
          </a:extLst>
        </xdr:cNvPr>
        <xdr:cNvSpPr/>
      </xdr:nvSpPr>
      <xdr:spPr>
        <a:xfrm>
          <a:off x="1447801" y="24741187"/>
          <a:ext cx="1881186"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a:t>422228520</a:t>
          </a:r>
        </a:p>
      </xdr:txBody>
    </xdr:sp>
    <xdr:clientData/>
  </xdr:twoCellAnchor>
  <xdr:twoCellAnchor>
    <xdr:from>
      <xdr:col>2</xdr:col>
      <xdr:colOff>295274</xdr:colOff>
      <xdr:row>137</xdr:row>
      <xdr:rowOff>38101</xdr:rowOff>
    </xdr:from>
    <xdr:to>
      <xdr:col>3</xdr:col>
      <xdr:colOff>909634</xdr:colOff>
      <xdr:row>138</xdr:row>
      <xdr:rowOff>104775</xdr:rowOff>
    </xdr:to>
    <xdr:sp macro="" textlink="">
      <xdr:nvSpPr>
        <xdr:cNvPr id="9" name="Rectangle: Rounded Corners 8">
          <a:extLst>
            <a:ext uri="{FF2B5EF4-FFF2-40B4-BE49-F238E27FC236}">
              <a16:creationId xmlns:a16="http://schemas.microsoft.com/office/drawing/2014/main" id="{855F2582-778F-41B4-92FD-06453F6550BA}"/>
            </a:ext>
          </a:extLst>
        </xdr:cNvPr>
        <xdr:cNvSpPr/>
      </xdr:nvSpPr>
      <xdr:spPr>
        <a:xfrm>
          <a:off x="1714499" y="24831676"/>
          <a:ext cx="1476373" cy="2476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600"/>
            <a:t>Total</a:t>
          </a:r>
          <a:r>
            <a:rPr lang="en-US" sz="1600" baseline="0"/>
            <a:t> Sales</a:t>
          </a:r>
          <a:endParaRPr lang="en-US" sz="16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esh Venky" refreshedDate="46071.41964039352" createdVersion="8" refreshedVersion="8" minRefreshableVersion="3" recordCount="300" xr:uid="{419FCD13-40DC-4324-B560-AA5088AB0ADA}">
  <cacheSource type="worksheet">
    <worksheetSource name="Table3"/>
  </cacheSource>
  <cacheFields count="13">
    <cacheField name="Order ID" numFmtId="0">
      <sharedItems/>
    </cacheField>
    <cacheField name="Order Date" numFmtId="164">
      <sharedItems containsSemiMixedTypes="0" containsNonDate="0" containsDate="1" containsString="0" minDate="2022-06-21T00:00:00" maxDate="2025-06-10T00:00:00" count="256">
        <d v="2023-04-26T00:00:00"/>
        <d v="2025-04-01T00:00:00"/>
        <d v="2023-11-11T00:00:00"/>
        <d v="2024-11-13T00:00:00"/>
        <d v="2022-12-25T00:00:00"/>
        <d v="2024-03-05T00:00:00"/>
        <d v="2022-09-16T00:00:00"/>
        <d v="2023-08-11T00:00:00"/>
        <d v="2022-11-27T00:00:00"/>
        <d v="2024-12-17T00:00:00"/>
        <d v="2024-10-15T00:00:00"/>
        <d v="2023-08-12T00:00:00"/>
        <d v="2024-12-19T00:00:00"/>
        <d v="2022-09-17T00:00:00"/>
        <d v="2023-05-08T00:00:00"/>
        <d v="2025-02-08T00:00:00"/>
        <d v="2023-04-05T00:00:00"/>
        <d v="2024-10-08T00:00:00"/>
        <d v="2025-05-20T00:00:00"/>
        <d v="2024-05-17T00:00:00"/>
        <d v="2023-11-01T00:00:00"/>
        <d v="2024-06-08T00:00:00"/>
        <d v="2024-12-12T00:00:00"/>
        <d v="2023-11-14T00:00:00"/>
        <d v="2024-11-17T00:00:00"/>
        <d v="2024-03-09T00:00:00"/>
        <d v="2024-07-01T00:00:00"/>
        <d v="2023-02-24T00:00:00"/>
        <d v="2025-05-30T00:00:00"/>
        <d v="2023-07-23T00:00:00"/>
        <d v="2023-01-08T00:00:00"/>
        <d v="2023-03-18T00:00:00"/>
        <d v="2025-05-10T00:00:00"/>
        <d v="2022-12-07T00:00:00"/>
        <d v="2023-09-03T00:00:00"/>
        <d v="2025-03-11T00:00:00"/>
        <d v="2024-10-30T00:00:00"/>
        <d v="2025-01-05T00:00:00"/>
        <d v="2023-10-22T00:00:00"/>
        <d v="2023-12-13T00:00:00"/>
        <d v="2023-08-27T00:00:00"/>
        <d v="2022-09-07T00:00:00"/>
        <d v="2024-06-05T00:00:00"/>
        <d v="2023-10-23T00:00:00"/>
        <d v="2023-01-20T00:00:00"/>
        <d v="2025-02-11T00:00:00"/>
        <d v="2024-02-22T00:00:00"/>
        <d v="2025-05-12T00:00:00"/>
        <d v="2023-07-16T00:00:00"/>
        <d v="2024-01-21T00:00:00"/>
        <d v="2023-06-19T00:00:00"/>
        <d v="2024-11-25T00:00:00"/>
        <d v="2023-10-24T00:00:00"/>
        <d v="2023-04-13T00:00:00"/>
        <d v="2022-08-29T00:00:00"/>
        <d v="2023-06-08T00:00:00"/>
        <d v="2023-05-22T00:00:00"/>
        <d v="2022-08-14T00:00:00"/>
        <d v="2024-03-31T00:00:00"/>
        <d v="2022-11-22T00:00:00"/>
        <d v="2023-07-18T00:00:00"/>
        <d v="2025-03-26T00:00:00"/>
        <d v="2023-06-17T00:00:00"/>
        <d v="2024-01-26T00:00:00"/>
        <d v="2024-04-20T00:00:00"/>
        <d v="2022-09-29T00:00:00"/>
        <d v="2024-11-11T00:00:00"/>
        <d v="2023-02-01T00:00:00"/>
        <d v="2022-09-10T00:00:00"/>
        <d v="2024-11-05T00:00:00"/>
        <d v="2025-06-03T00:00:00"/>
        <d v="2022-08-03T00:00:00"/>
        <d v="2023-12-26T00:00:00"/>
        <d v="2024-06-30T00:00:00"/>
        <d v="2023-07-29T00:00:00"/>
        <d v="2023-11-22T00:00:00"/>
        <d v="2024-09-19T00:00:00"/>
        <d v="2022-11-25T00:00:00"/>
        <d v="2022-12-03T00:00:00"/>
        <d v="2022-10-14T00:00:00"/>
        <d v="2023-04-03T00:00:00"/>
        <d v="2025-01-17T00:00:00"/>
        <d v="2022-09-30T00:00:00"/>
        <d v="2024-09-05T00:00:00"/>
        <d v="2022-10-03T00:00:00"/>
        <d v="2024-03-06T00:00:00"/>
        <d v="2022-11-17T00:00:00"/>
        <d v="2023-09-10T00:00:00"/>
        <d v="2023-05-03T00:00:00"/>
        <d v="2024-06-27T00:00:00"/>
        <d v="2023-06-04T00:00:00"/>
        <d v="2023-12-03T00:00:00"/>
        <d v="2025-06-09T00:00:00"/>
        <d v="2024-09-21T00:00:00"/>
        <d v="2023-11-12T00:00:00"/>
        <d v="2025-02-10T00:00:00"/>
        <d v="2024-04-10T00:00:00"/>
        <d v="2022-11-01T00:00:00"/>
        <d v="2023-02-27T00:00:00"/>
        <d v="2024-10-19T00:00:00"/>
        <d v="2022-06-21T00:00:00"/>
        <d v="2023-08-28T00:00:00"/>
        <d v="2023-03-30T00:00:00"/>
        <d v="2024-06-25T00:00:00"/>
        <d v="2022-11-09T00:00:00"/>
        <d v="2025-03-02T00:00:00"/>
        <d v="2024-03-11T00:00:00"/>
        <d v="2024-10-29T00:00:00"/>
        <d v="2023-09-25T00:00:00"/>
        <d v="2024-07-09T00:00:00"/>
        <d v="2023-09-22T00:00:00"/>
        <d v="2025-03-24T00:00:00"/>
        <d v="2024-07-02T00:00:00"/>
        <d v="2023-11-16T00:00:00"/>
        <d v="2024-12-24T00:00:00"/>
        <d v="2025-01-08T00:00:00"/>
        <d v="2024-03-18T00:00:00"/>
        <d v="2023-02-05T00:00:00"/>
        <d v="2023-08-16T00:00:00"/>
        <d v="2023-01-11T00:00:00"/>
        <d v="2023-12-14T00:00:00"/>
        <d v="2024-06-14T00:00:00"/>
        <d v="2024-03-13T00:00:00"/>
        <d v="2025-04-08T00:00:00"/>
        <d v="2023-03-23T00:00:00"/>
        <d v="2025-01-27T00:00:00"/>
        <d v="2022-09-05T00:00:00"/>
        <d v="2023-08-31T00:00:00"/>
        <d v="2022-09-18T00:00:00"/>
        <d v="2024-09-17T00:00:00"/>
        <d v="2023-07-27T00:00:00"/>
        <d v="2024-06-04T00:00:00"/>
        <d v="2025-01-13T00:00:00"/>
        <d v="2022-07-13T00:00:00"/>
        <d v="2024-05-08T00:00:00"/>
        <d v="2023-01-19T00:00:00"/>
        <d v="2022-10-09T00:00:00"/>
        <d v="2024-12-25T00:00:00"/>
        <d v="2025-03-25T00:00:00"/>
        <d v="2025-04-18T00:00:00"/>
        <d v="2025-03-30T00:00:00"/>
        <d v="2022-10-15T00:00:00"/>
        <d v="2023-07-20T00:00:00"/>
        <d v="2022-08-05T00:00:00"/>
        <d v="2023-12-22T00:00:00"/>
        <d v="2024-05-02T00:00:00"/>
        <d v="2023-07-06T00:00:00"/>
        <d v="2023-04-15T00:00:00"/>
        <d v="2025-04-26T00:00:00"/>
        <d v="2025-04-12T00:00:00"/>
        <d v="2024-04-09T00:00:00"/>
        <d v="2024-01-24T00:00:00"/>
        <d v="2022-12-10T00:00:00"/>
        <d v="2024-01-19T00:00:00"/>
        <d v="2023-03-05T00:00:00"/>
        <d v="2025-04-02T00:00:00"/>
        <d v="2023-04-09T00:00:00"/>
        <d v="2024-11-19T00:00:00"/>
        <d v="2024-03-14T00:00:00"/>
        <d v="2024-04-15T00:00:00"/>
        <d v="2024-07-25T00:00:00"/>
        <d v="2024-03-23T00:00:00"/>
        <d v="2022-06-29T00:00:00"/>
        <d v="2024-12-30T00:00:00"/>
        <d v="2022-09-12T00:00:00"/>
        <d v="2022-11-21T00:00:00"/>
        <d v="2023-03-22T00:00:00"/>
        <d v="2023-12-15T00:00:00"/>
        <d v="2023-10-12T00:00:00"/>
        <d v="2022-10-08T00:00:00"/>
        <d v="2023-07-30T00:00:00"/>
        <d v="2023-06-30T00:00:00"/>
        <d v="2024-03-29T00:00:00"/>
        <d v="2022-12-15T00:00:00"/>
        <d v="2023-10-17T00:00:00"/>
        <d v="2022-12-30T00:00:00"/>
        <d v="2024-01-15T00:00:00"/>
        <d v="2023-04-29T00:00:00"/>
        <d v="2023-12-02T00:00:00"/>
        <d v="2024-07-30T00:00:00"/>
        <d v="2024-05-06T00:00:00"/>
        <d v="2024-03-02T00:00:00"/>
        <d v="2025-02-03T00:00:00"/>
        <d v="2024-10-27T00:00:00"/>
        <d v="2023-09-08T00:00:00"/>
        <d v="2025-02-27T00:00:00"/>
        <d v="2025-04-10T00:00:00"/>
        <d v="2024-12-06T00:00:00"/>
        <d v="2024-05-16T00:00:00"/>
        <d v="2024-09-25T00:00:00"/>
        <d v="2023-02-26T00:00:00"/>
        <d v="2022-08-24T00:00:00"/>
        <d v="2024-01-14T00:00:00"/>
        <d v="2024-12-05T00:00:00"/>
        <d v="2022-11-02T00:00:00"/>
        <d v="2024-03-21T00:00:00"/>
        <d v="2025-04-17T00:00:00"/>
        <d v="2023-12-20T00:00:00"/>
        <d v="2022-10-17T00:00:00"/>
        <d v="2024-07-03T00:00:00"/>
        <d v="2024-03-08T00:00:00"/>
        <d v="2025-06-05T00:00:00"/>
        <d v="2024-05-31T00:00:00"/>
        <d v="2024-08-12T00:00:00"/>
        <d v="2025-03-12T00:00:00"/>
        <d v="2024-05-09T00:00:00"/>
        <d v="2022-10-01T00:00:00"/>
        <d v="2024-08-15T00:00:00"/>
        <d v="2024-02-14T00:00:00"/>
        <d v="2023-08-26T00:00:00"/>
        <d v="2024-08-14T00:00:00"/>
        <d v="2023-06-20T00:00:00"/>
        <d v="2024-02-01T00:00:00"/>
        <d v="2025-02-17T00:00:00"/>
        <d v="2023-02-19T00:00:00"/>
        <d v="2024-10-31T00:00:00"/>
        <d v="2024-03-04T00:00:00"/>
        <d v="2024-11-30T00:00:00"/>
        <d v="2022-12-01T00:00:00"/>
        <d v="2023-04-04T00:00:00"/>
        <d v="2023-06-25T00:00:00"/>
        <d v="2023-12-28T00:00:00"/>
        <d v="2024-10-02T00:00:00"/>
        <d v="2024-05-23T00:00:00"/>
        <d v="2022-12-27T00:00:00"/>
        <d v="2023-01-21T00:00:00"/>
        <d v="2022-07-24T00:00:00"/>
        <d v="2022-10-16T00:00:00"/>
        <d v="2022-08-22T00:00:00"/>
        <d v="2024-03-17T00:00:00"/>
        <d v="2022-12-31T00:00:00"/>
        <d v="2023-01-01T00:00:00"/>
        <d v="2022-10-13T00:00:00"/>
        <d v="2022-11-05T00:00:00"/>
        <d v="2023-09-09T00:00:00"/>
        <d v="2024-05-07T00:00:00"/>
        <d v="2024-06-06T00:00:00"/>
        <d v="2023-09-30T00:00:00"/>
        <d v="2023-12-11T00:00:00"/>
        <d v="2022-09-06T00:00:00"/>
        <d v="2023-03-03T00:00:00"/>
        <d v="2022-10-29T00:00:00"/>
        <d v="2023-12-04T00:00:00"/>
        <d v="2022-12-20T00:00:00"/>
        <d v="2022-07-17T00:00:00"/>
        <d v="2024-06-19T00:00:00"/>
        <d v="2024-09-24T00:00:00"/>
        <d v="2024-04-24T00:00:00"/>
        <d v="2023-11-21T00:00:00"/>
        <d v="2025-01-11T00:00:00"/>
        <d v="2023-03-25T00:00:00"/>
        <d v="2023-02-08T00:00:00"/>
        <d v="2023-05-25T00:00:00"/>
        <d v="2022-10-12T00:00:00"/>
        <d v="2023-05-14T00:00:00"/>
        <d v="2024-03-07T00:00:00"/>
      </sharedItems>
      <fieldGroup par="12"/>
    </cacheField>
    <cacheField name="Customer Name" numFmtId="0">
      <sharedItems count="298">
        <s v="Edward Ponce"/>
        <s v="Sharon Henry"/>
        <s v="Antonio Hall"/>
        <s v="Robert Martinez"/>
        <s v="Tammy Peterson"/>
        <s v="Nicole Holmes"/>
        <s v="Zachary Lane"/>
        <s v="Mitchell Price"/>
        <s v="Christopher Webb"/>
        <s v="Shannon Cook"/>
        <s v="Mark Webster"/>
        <s v="Brooke Ruiz"/>
        <s v="Wyatt Cooper"/>
        <s v="Wendy Ortiz"/>
        <s v="Joseph Anderson"/>
        <s v="Billy Brady"/>
        <s v="Calvin Williams"/>
        <s v="Linda Raymond"/>
        <s v="Gary Marshall"/>
        <s v="Thomas Ramirez"/>
        <s v="Stephanie Mitchell"/>
        <s v="Michael Brandt"/>
        <s v="Ashley Glass"/>
        <s v="Richard Velasquez"/>
        <s v="Sarah Hinton"/>
        <s v="Jeremy Cabrera"/>
        <s v="Melissa Johnson MD"/>
        <s v="Ernest Hughes"/>
        <s v="Kimberly Johnston"/>
        <s v="James Acosta"/>
        <s v="Suzanne Pace"/>
        <s v="Wesley Doyle"/>
        <s v="Terry Williams"/>
        <s v="Donna Davis"/>
        <s v="Michelle Krueger"/>
        <s v="Karen Miller"/>
        <s v="Jeff Ortega"/>
        <s v="Jenna Wilson"/>
        <s v="Angela Smith"/>
        <s v="Andrea Mcknight"/>
        <s v="Autumn Elliott"/>
        <s v="Lauren Henry"/>
        <s v="Thomas Stein"/>
        <s v="Mrs. Selena Diaz DDS"/>
        <s v="Amy Greene"/>
        <s v="Karen Hodge"/>
        <s v="Scott Lyons"/>
        <s v="David Newton"/>
        <s v="John Randall"/>
        <s v="Christopher Myers"/>
        <s v="Jessica Johnson"/>
        <s v="Derrick Newton"/>
        <s v="Juan Daniel"/>
        <s v="Kyle Pope"/>
        <s v="Martha Turner"/>
        <s v="Kathy Cox"/>
        <s v="James Nunez"/>
        <s v="Nicole Moore"/>
        <s v="Christina Fox"/>
        <s v="Ms. Haley Nelson"/>
        <s v="Ronald Newman"/>
        <s v="Michael Hart"/>
        <s v="Dr. Jade Wilson"/>
        <s v="Maureen Taylor"/>
        <s v="Gregory Gross"/>
        <s v="James Morales"/>
        <s v="Gina Andrews"/>
        <s v="Amy Hansen"/>
        <s v="Mackenzie Santos"/>
        <s v="Ryan Gentry"/>
        <s v="Sandra Reed"/>
        <s v="Susan Luna"/>
        <s v="Bobby Thomas"/>
        <s v="Dr. Stephanie Hooper"/>
        <s v="Nicole Hester"/>
        <s v="Mario Davidson"/>
        <s v="Fernando Rodriguez"/>
        <s v="Peter White DVM"/>
        <s v="Hunter Hill"/>
        <s v="Cody Jones"/>
        <s v="David Farmer"/>
        <s v="Debra Porter"/>
        <s v="Dr. Robert Valenzuela"/>
        <s v="Sandra White"/>
        <s v="Rebecca Mejia"/>
        <s v="Richard Collins"/>
        <s v="Cody Myers Jr."/>
        <s v="Joshua Cardenas"/>
        <s v="Melissa Cooper"/>
        <s v="Peter Powell PhD"/>
        <s v="Jennifer Barnes"/>
        <s v="Allen Sanders"/>
        <s v="Krystal Taylor"/>
        <s v="Maria Hawkins"/>
        <s v="Abigail Melton"/>
        <s v="Eric Smith"/>
        <s v="Melissa Harrison"/>
        <s v="Ashley Sanchez"/>
        <s v="Michael Cabrera"/>
        <s v="Samuel Smith"/>
        <s v="Gregory Lewis"/>
        <s v="Zachary Phillips"/>
        <s v="Tonya Mclean"/>
        <s v="Mary Williams"/>
        <s v="Juan Robinson"/>
        <s v="Michelle Ellis"/>
        <s v="Anna Morris"/>
        <s v="Melissa Hardy"/>
        <s v="Joel Thompson"/>
        <s v="Jodi Phelps"/>
        <s v="Timothy Gordon"/>
        <s v="James Munoz"/>
        <s v="Andrew Miller"/>
        <s v="Emily Mclaughlin"/>
        <s v="Timothy Pierce"/>
        <s v="Elizabeth Klein"/>
        <s v="Sharon Armstrong"/>
        <s v="Kevin Gonzales"/>
        <s v="Michael Sanchez"/>
        <s v="James Roberts"/>
        <s v="Cody Mcclure"/>
        <s v="Wayne Hughes"/>
        <s v="Patricia Andrews"/>
        <s v="Nicholas Robertson"/>
        <s v="Eileen Zhang MD"/>
        <s v="Rhonda Lee"/>
        <s v="Johnny Bryant Jr."/>
        <s v="Sarah Shelton"/>
        <s v="Lauren Lopez"/>
        <s v="Michael Woods"/>
        <s v="Jeffrey Morris"/>
        <s v="Christine Levine"/>
        <s v="Ronald Schneider"/>
        <s v="Valerie Farley"/>
        <s v="Aaron Kim"/>
        <s v="Elizabeth Allen"/>
        <s v="Christopher Ramos"/>
        <s v="Sherry Peters"/>
        <s v="Michael Johnston"/>
        <s v="Ashley Johnson"/>
        <s v="Lance Thomas"/>
        <s v="Justin Rivera"/>
        <s v="Elizabeth Ware"/>
        <s v="Michele Kelly"/>
        <s v="Elizabeth Martin"/>
        <s v="Andrew Bond"/>
        <s v="Chad Carpenter"/>
        <s v="Christina Foley"/>
        <s v="Michelle Gay"/>
        <s v="Kathleen Wright"/>
        <s v="Michelle Harris"/>
        <s v="Craig Martin"/>
        <s v="Justin Wilson"/>
        <s v="Samantha Kennedy"/>
        <s v="Jenna Garcia"/>
        <s v="Joshua Williams"/>
        <s v="Jack Rodriguez"/>
        <s v="Allison Martin"/>
        <s v="Vanessa Schultz"/>
        <s v="Jeffrey Baker"/>
        <s v="David Torres Jr."/>
        <s v="Kelly Oneal"/>
        <s v="Kevin Cunningham"/>
        <s v="Miss Julia Molina"/>
        <s v="Michael Smith"/>
        <s v="Kevin Mccann"/>
        <s v="Eric Barnes"/>
        <s v="Sydney Martin"/>
        <s v="Diane Cunningham"/>
        <s v="Joshua Ramirez"/>
        <s v="Brandon Simon"/>
        <s v="Andrew Chan"/>
        <s v="Brandon Miller"/>
        <s v="Jeffrey Wilson"/>
        <s v="Shirley Watkins"/>
        <s v="Chad Webster"/>
        <s v="Caroline Johnson"/>
        <s v="Kayla Butler"/>
        <s v="Courtney Shields"/>
        <s v="Karen Garrett"/>
        <s v="Matthew Sanders"/>
        <s v="Eric Caldwell"/>
        <s v="James Wheeler"/>
        <s v="Robin Hall"/>
        <s v="Catherine Bradshaw"/>
        <s v="John Berry"/>
        <s v="William Rodriguez"/>
        <s v="Mark Moon"/>
        <s v="Michael Rios"/>
        <s v="Christina Lewis"/>
        <s v="David Gutierrez"/>
        <s v="Justin Brown"/>
        <s v="Cheryl Elliott"/>
        <s v="Edward White"/>
        <s v="Richard Evans"/>
        <s v="Raymond Robinson"/>
        <s v="Nathan Alexander"/>
        <s v="Kirk Velazquez"/>
        <s v="Dr. Amanda Richardson"/>
        <s v="Alicia Bridges"/>
        <s v="Travis Estrada"/>
        <s v="Dana Phillips"/>
        <s v="James Patterson"/>
        <s v="Jasmine Richards"/>
        <s v="Jessica Flynn"/>
        <s v="Colleen Brown"/>
        <s v="Spencer Hernandez"/>
        <s v="Julie Terry"/>
        <s v="Michael Wilson"/>
        <s v="Stephanie Miller"/>
        <s v="Elizabeth Lloyd"/>
        <s v="Andrew Salas"/>
        <s v="Joseph Willis"/>
        <s v="Justin Harris"/>
        <s v="Todd Contreras DDS"/>
        <s v="Andrea Odom"/>
        <s v="Carlos Young"/>
        <s v="Veronica Moore"/>
        <s v="Hannah Jones"/>
        <s v="Mark Nunez"/>
        <s v="Richard Joyce"/>
        <s v="Robert Deleon"/>
        <s v="Kevin Brown"/>
        <s v="Zachary Williamson"/>
        <s v="Stephen Harris"/>
        <s v="Jorge Boyd"/>
        <s v="Meghan Wilcox"/>
        <s v="Mrs. Amy Kennedy"/>
        <s v="Stefanie Francis"/>
        <s v="Kenneth Valdez"/>
        <s v="Janet Lindsey"/>
        <s v="Gabriel Jordan"/>
        <s v="Steven Gay"/>
        <s v="David Ward DDS"/>
        <s v="Stacey Nelson"/>
        <s v="Brandy Thomas"/>
        <s v="Tammy Branch"/>
        <s v="Robin Thomas"/>
        <s v="Eric Allen"/>
        <s v="Helen Wilson"/>
        <s v="Rachael Black"/>
        <s v="Kevin West"/>
        <s v="Linda Lee"/>
        <s v="Amanda Richards"/>
        <s v="Fernando Hanson"/>
        <s v="Thomas Holmes"/>
        <s v="Mary Hughes"/>
        <s v="Carla Garcia"/>
        <s v="Ms. Courtney Hoffman"/>
        <s v="Lisa Reeves"/>
        <s v="Timothy Clayton"/>
        <s v="Emily Bell"/>
        <s v="Sharon Li"/>
        <s v="Cindy Rodriguez"/>
        <s v="Renee Kirby"/>
        <s v="Katherine Woodward"/>
        <s v="Amanda Nixon"/>
        <s v="Nicole Knight"/>
        <s v="Tamara Pierce"/>
        <s v="Shelby Hartman"/>
        <s v="Autumn Huerta"/>
        <s v="Daniel Dawson"/>
        <s v="Cody Phillips"/>
        <s v="Julia Hall"/>
        <s v="April Mcbride"/>
        <s v="Kayla Lewis"/>
        <s v="Jennifer Lowe"/>
        <s v="Johnny Gonzalez"/>
        <s v="Krista Huber"/>
        <s v="Eric Martinez"/>
        <s v="Christy Johnson"/>
        <s v="Brandy Lyons"/>
        <s v="Kenneth Santos"/>
        <s v="Mrs. Julie Peters"/>
        <s v="Renee Rose"/>
        <s v="Mary Clayton"/>
        <s v="Danielle Peterson"/>
        <s v="Terry Martinez"/>
        <s v="Shawn Randall"/>
        <s v="Charlotte Whitaker"/>
        <s v="Victoria Parker"/>
        <s v="Anthony Baker"/>
        <s v="Jonathan Brown"/>
        <s v="Deborah Wallace"/>
        <s v="Jason Woods"/>
        <s v="Tim Frank"/>
        <s v="Katherine Sims"/>
        <s v="Donald Perry"/>
        <s v="Douglas Lopez"/>
        <s v="Anthony Johnson"/>
        <s v="Jason Arellano"/>
        <s v="Laura Mcbride"/>
        <s v="Stephanie Duffy"/>
        <s v="Franklin Fowler"/>
        <s v="Benjamin Campbell"/>
        <s v="Michael Martin"/>
        <s v="Frank Jimenez"/>
        <s v="Andrew Jones"/>
      </sharedItems>
    </cacheField>
    <cacheField name="Region" numFmtId="0">
      <sharedItems count="4">
        <s v="South"/>
        <s v="North"/>
        <s v="West"/>
        <s v="East"/>
      </sharedItems>
    </cacheField>
    <cacheField name="Product" numFmtId="0">
      <sharedItems count="5">
        <s v="Keyboard"/>
        <s v="Laptop"/>
        <s v="Monitor"/>
        <s v="Mouse"/>
        <s v="Printer"/>
      </sharedItems>
    </cacheField>
    <cacheField name="Units Sold" numFmtId="0">
      <sharedItems containsSemiMixedTypes="0" containsString="0" containsNumber="1" containsInteger="1" minValue="1" maxValue="99"/>
    </cacheField>
    <cacheField name="Unit Price" numFmtId="0">
      <sharedItems containsSemiMixedTypes="0" containsString="0" containsNumber="1" containsInteger="1" minValue="551" maxValue="49982"/>
    </cacheField>
    <cacheField name="Total Sales" numFmtId="0">
      <sharedItems containsSemiMixedTypes="0" containsString="0" containsNumber="1" containsInteger="1" minValue="4583" maxValue="4632672"/>
    </cacheField>
    <cacheField name="Discount %" numFmtId="0">
      <sharedItems containsSemiMixedTypes="0" containsString="0" containsNumber="1" containsInteger="1" minValue="0" maxValue="15"/>
    </cacheField>
    <cacheField name="Salesperson" numFmtId="0">
      <sharedItems count="299">
        <s v="James King"/>
        <s v="Karina Bean"/>
        <s v="Adam Gray"/>
        <s v="Matthew Salas"/>
        <s v="Ian Guzman"/>
        <s v="Brenda Boyd"/>
        <s v="Debra Smith"/>
        <s v="April Carter"/>
        <s v="Morgan Beck"/>
        <s v="Ronald Thomas"/>
        <s v="April Chang"/>
        <s v="Paul Wells"/>
        <s v="Shirley Chen"/>
        <s v="Patrick Williams"/>
        <s v="Dwayne Snyder"/>
        <s v="Heather Kline"/>
        <s v="Angel Anderson"/>
        <s v="April Glenn"/>
        <s v="John Brock"/>
        <s v="Kelly Fleming"/>
        <s v="Ronald Thompson"/>
        <s v="Nicole Jenkins"/>
        <s v="Mary Hill"/>
        <s v="Rachel Gonzalez"/>
        <s v="John Brown"/>
        <s v="Tracy Martin"/>
        <s v="Matthew Walters"/>
        <s v="Antonio Ross"/>
        <s v="Susan Cross"/>
        <s v="Alyssa Woods"/>
        <s v="Caitlin Sparks"/>
        <s v="Michelle Sutton"/>
        <s v="Jeffrey Tucker"/>
        <s v="Joshua Hunter"/>
        <s v="Janice Weiss"/>
        <s v="Scott Duncan"/>
        <s v="Christopher Phillips"/>
        <s v="Amanda Myers"/>
        <s v="Kimberly Stewart"/>
        <s v="Johnny Harper"/>
        <s v="Craig Myers"/>
        <s v="Darrell Cox"/>
        <s v="Melissa Flores"/>
        <s v="Amy Turner"/>
        <s v="Sara Brown"/>
        <s v="Emily Rodriguez"/>
        <s v="Anthony Johnson"/>
        <s v="Michael Ayala"/>
        <s v="Michael Ramirez"/>
        <s v="Crystal Gonzalez"/>
        <s v="William Cruz"/>
        <s v="Melvin Mason"/>
        <s v="George Cox"/>
        <s v="Mary Nicholson"/>
        <s v="Kevin Adams"/>
        <s v="Karen Hicks"/>
        <s v="Kenneth Ellison"/>
        <s v="Tamara Hinton"/>
        <s v="Vanessa Freeman"/>
        <s v="Susan Jones"/>
        <s v="Jillian Larson"/>
        <s v="Charles Perez"/>
        <s v="Trevor Ferguson"/>
        <s v="Robert Bentley"/>
        <s v="Michael Hartman"/>
        <s v="James Henderson"/>
        <s v="Lisa Ayala"/>
        <s v="Bethany Monroe"/>
        <s v="Dr. Tiffany Mcneil"/>
        <s v="Jasmine Ellis"/>
        <s v="Holly Jefferson"/>
        <s v="Kelli Moore"/>
        <s v="Sharon Gardner"/>
        <s v="Keith Turner"/>
        <s v="Brandon Carter"/>
        <s v="Christine Garcia"/>
        <s v="Brooke Davis"/>
        <s v="Mr. Joshua Wells"/>
        <s v="Michelle Jones"/>
        <s v="Hannah Clark"/>
        <s v="Cody Chavez"/>
        <s v="Fernando Rivera"/>
        <s v="Michael Owens"/>
        <s v="John Cowan"/>
        <s v="Julie Coleman"/>
        <s v="Jamie Shaffer"/>
        <s v="Tiffany Johnston"/>
        <s v="Darrell Wolfe"/>
        <s v="Lisa Gonzales"/>
        <s v="Andrea Booth"/>
        <s v="Samantha Sanford"/>
        <s v="Mary Odonnell"/>
        <s v="Kristin Garcia"/>
        <s v="Janet Mullen"/>
        <s v="Matthew Peters"/>
        <s v="Jeremy Merritt"/>
        <s v="Rebecca Byrd"/>
        <s v="Whitney Collins"/>
        <s v="Kristy Morales"/>
        <s v="George Lopez"/>
        <s v="Randall Romero"/>
        <s v="Tamara Scott"/>
        <s v="Andres Barron"/>
        <s v="Sandra Davenport"/>
        <s v="Alejandra Williams"/>
        <s v="Sarah Mcdaniel"/>
        <s v="Haley Crawford"/>
        <s v="Michael Johnston"/>
        <s v="Christine Mclaughlin"/>
        <s v="Megan Richardson"/>
        <s v="Bailey Garcia"/>
        <s v="Thomas Jordan"/>
        <s v="Ryan Wilson"/>
        <s v="Hannah Miller"/>
        <s v="Rebecca Hill"/>
        <s v="Anne Green"/>
        <s v="Patrick Lee"/>
        <s v="Thomas Parker"/>
        <s v="Katherine Chavez"/>
        <s v="Breanna Brown"/>
        <s v="Luke Morris"/>
        <s v="Erik Barron"/>
        <s v="David Mendez"/>
        <s v="Sonia Le"/>
        <s v="David Phillips"/>
        <s v="Amber Tyler"/>
        <s v="Stephanie Hill"/>
        <s v="Christine Hill"/>
        <s v="Alison Costa"/>
        <s v="Crystal Woodward"/>
        <s v="Ryan Yang"/>
        <s v="Erica Murray"/>
        <s v="Rebecca Lewis"/>
        <s v="Erica Holt"/>
        <s v="Matthew Bartlett"/>
        <s v="Kristi Morales"/>
        <s v="Sharon Nguyen"/>
        <s v="Ann Moore"/>
        <s v="Angela Little"/>
        <s v="Michael Smith"/>
        <s v="Alicia Jones"/>
        <s v="Melanie Gibson"/>
        <s v="Tina Walls"/>
        <s v="Jerry Wilcox"/>
        <s v="Morgan Horton"/>
        <s v="Sarah Norman"/>
        <s v="Kayla Casey"/>
        <s v="Nichole Smith"/>
        <s v="Tara Carter"/>
        <s v="Dawn Cruz"/>
        <s v="Brian Sanders"/>
        <s v="Mary Rodriguez"/>
        <s v="Adrian Elliott"/>
        <s v="Sandra Singleton"/>
        <s v="Mary Cantu MD"/>
        <s v="Kendra Flores"/>
        <s v="Christopher Preston"/>
        <s v="Mark Hernandez"/>
        <s v="Levi Lee"/>
        <s v="Christopher Smith"/>
        <s v="Adam Rivera"/>
        <s v="Shane Velazquez"/>
        <s v="Michelle Skinner"/>
        <s v="Todd Chavez"/>
        <s v="Anthony Smith"/>
        <s v="Mrs. Cindy Robinson"/>
        <s v="Donald Mccoy"/>
        <s v="Rick Valdez"/>
        <s v="David Farrell"/>
        <s v="Robin George"/>
        <s v="Deanna Sullivan"/>
        <s v="Hayley Doyle"/>
        <s v="Kim Hurst"/>
        <s v="Danielle Paul"/>
        <s v="Hayley Anderson"/>
        <s v="Jennifer Perez"/>
        <s v="Paul Coleman"/>
        <s v="Mr. Terry Moore"/>
        <s v="Melanie Horton"/>
        <s v="Elizabeth Anderson"/>
        <s v="Taylor Harris"/>
        <s v="Diana May"/>
        <s v="Jeremy Wood"/>
        <s v="Christopher Palmer"/>
        <s v="Jacob Hardin"/>
        <s v="Alicia Williams"/>
        <s v="Natalie Sanchez"/>
        <s v="Jeffrey Huffman"/>
        <s v="Jean Brown"/>
        <s v="Henry Banks"/>
        <s v="Stephanie Calderon"/>
        <s v="Kylie Brown"/>
        <s v="Jeffery Roach"/>
        <s v="Bonnie Robinson"/>
        <s v="Andrea Romero"/>
        <s v="Mary Davis"/>
        <s v="Julia Leach"/>
        <s v="Kevin Kline"/>
        <s v="Marie Robertson"/>
        <s v="Lori Salazar"/>
        <s v="Mariah Randall"/>
        <s v="Frederick Green"/>
        <s v="Charles Lambert"/>
        <s v="John Smith"/>
        <s v="Richard Baker"/>
        <s v="Eric Stark"/>
        <s v="Barbara Ward DVM"/>
        <s v="Danielle Villanueva"/>
        <s v="Ashley Lee"/>
        <s v="Lisa Hart"/>
        <s v="Joseph Caldwell"/>
        <s v="Tony Foster"/>
        <s v="William Compton"/>
        <s v="Emily Hernandez"/>
        <s v="Hannah Moreno DVM"/>
        <s v="Dr. Lori Garcia"/>
        <s v="Joshua Anderson"/>
        <s v="Timothy Williams"/>
        <s v="Kristina Miller"/>
        <s v="Benjamin Wells"/>
        <s v="Maria Hubbard"/>
        <s v="Tyler Hopkins"/>
        <s v="Cynthia Russo"/>
        <s v="Leah Hernandez"/>
        <s v="Alejandro Becker"/>
        <s v="Scott Hicks"/>
        <s v="Taylor Brown"/>
        <s v="Carolyn Ho"/>
        <s v="Heather Lewis"/>
        <s v="Christine Arellano"/>
        <s v="Kyle Watson"/>
        <s v="Joseph Fisher"/>
        <s v="Katie Mack"/>
        <s v="Daniel Holmes"/>
        <s v="Laurie Hardy"/>
        <s v="Carl Brown"/>
        <s v="Richard Ortiz"/>
        <s v="Mr. Carl Smith"/>
        <s v="Vicki Ramos"/>
        <s v="Jessica Morgan"/>
        <s v="Meredith Hoffman"/>
        <s v="Alan Nguyen"/>
        <s v="Nicole Underwood"/>
        <s v="Richard Collins"/>
        <s v="Anthony Myers"/>
        <s v="Amber Perez"/>
        <s v="Juan Sullivan"/>
        <s v="Jessica Foster"/>
        <s v="Karla Williams"/>
        <s v="Jeremy Floyd"/>
        <s v="Brianna Griffith"/>
        <s v="Shannon Li"/>
        <s v="Meredith Buck"/>
        <s v="Megan Holt"/>
        <s v="Christopher Hurley"/>
        <s v="Adrian Cruz"/>
        <s v="Alexandra Hamilton"/>
        <s v="Olivia Armstrong"/>
        <s v="Dylan Russell"/>
        <s v="Miss Shannon Madden"/>
        <s v="Shawn Benjamin"/>
        <s v="Holly Grant"/>
        <s v="Dennis Wright"/>
        <s v="George Horton"/>
        <s v="Cameron Herrera"/>
        <s v="Bonnie Harvey"/>
        <s v="Angela Bolton"/>
        <s v="Diane Coleman DDS"/>
        <s v="Antonio Parks"/>
        <s v="Jacob Smith"/>
        <s v="James Chen"/>
        <s v="David Bell"/>
        <s v="Sara Cox"/>
        <s v="Anthony Harris"/>
        <s v="Laura Brown"/>
        <s v="Gail Stephens"/>
        <s v="Sophia Campbell"/>
        <s v="Annette Davis"/>
        <s v="Joshua Webb"/>
        <s v="Courtney Washington"/>
        <s v="Michael Morgan"/>
        <s v="Anthony Young"/>
        <s v="Luke Morris Jr."/>
        <s v="Bradley Clark"/>
        <s v="Kyle Baker"/>
        <s v="Jack Williams"/>
        <s v="Kathryn Benson"/>
        <s v="Dr. Glenn Wiley"/>
        <s v="Danielle Romero"/>
        <s v="Glenn Olson"/>
        <s v="Kimberly Preston"/>
        <s v="Steven Johnson PhD"/>
        <s v="Sandra Tate"/>
        <s v="Robert Valdez"/>
        <s v="Alicia Carpenter"/>
        <s v="Janet English"/>
        <s v="Kevin Shaffer"/>
        <s v="Keith Greene"/>
        <s v="Caroline Patton"/>
      </sharedItems>
    </cacheField>
    <cacheField name="Months (Order Date)" numFmtId="0" databaseField="0">
      <fieldGroup base="1">
        <rangePr groupBy="months" startDate="2022-06-21T00:00:00" endDate="2025-06-10T00:00:00"/>
        <groupItems count="14">
          <s v="&lt;21-06-2022"/>
          <s v="Jan"/>
          <s v="Feb"/>
          <s v="Mar"/>
          <s v="Apr"/>
          <s v="May"/>
          <s v="Jun"/>
          <s v="Jul"/>
          <s v="Aug"/>
          <s v="Sep"/>
          <s v="Oct"/>
          <s v="Nov"/>
          <s v="Dec"/>
          <s v="&gt;10-06-2025"/>
        </groupItems>
      </fieldGroup>
    </cacheField>
    <cacheField name="Quarters (Order Date)" numFmtId="0" databaseField="0">
      <fieldGroup base="1">
        <rangePr groupBy="quarters" startDate="2022-06-21T00:00:00" endDate="2025-06-10T00:00:00"/>
        <groupItems count="6">
          <s v="&lt;21-06-2022"/>
          <s v="Qtr1"/>
          <s v="Qtr2"/>
          <s v="Qtr3"/>
          <s v="Qtr4"/>
          <s v="&gt;10-06-2025"/>
        </groupItems>
      </fieldGroup>
    </cacheField>
    <cacheField name="Years (Order Date)" numFmtId="0" databaseField="0">
      <fieldGroup base="1">
        <rangePr groupBy="years" startDate="2022-06-21T00:00:00" endDate="2025-06-10T00:00:00"/>
        <groupItems count="6">
          <s v="&lt;21-06-2022"/>
          <s v="2022"/>
          <s v="2023"/>
          <s v="2024"/>
          <s v="2025"/>
          <s v="&gt;10-06-2025"/>
        </groupItems>
      </fieldGroup>
    </cacheField>
  </cacheFields>
  <extLst>
    <ext xmlns:x14="http://schemas.microsoft.com/office/spreadsheetml/2009/9/main" uri="{725AE2AE-9491-48be-B2B4-4EB974FC3084}">
      <x14:pivotCacheDefinition pivotCacheId="8153656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10000"/>
    <x v="0"/>
    <x v="0"/>
    <x v="0"/>
    <x v="0"/>
    <n v="89"/>
    <n v="46493"/>
    <n v="4137877"/>
    <n v="10"/>
    <x v="0"/>
  </r>
  <r>
    <s v="ORD10001"/>
    <x v="1"/>
    <x v="1"/>
    <x v="1"/>
    <x v="1"/>
    <n v="42"/>
    <n v="17870"/>
    <n v="750540"/>
    <n v="10"/>
    <x v="1"/>
  </r>
  <r>
    <s v="ORD10002"/>
    <x v="2"/>
    <x v="2"/>
    <x v="1"/>
    <x v="2"/>
    <n v="23"/>
    <n v="7222"/>
    <n v="166106"/>
    <n v="0"/>
    <x v="2"/>
  </r>
  <r>
    <s v="ORD10003"/>
    <x v="3"/>
    <x v="3"/>
    <x v="2"/>
    <x v="3"/>
    <n v="26"/>
    <n v="42516"/>
    <n v="1105416"/>
    <n v="15"/>
    <x v="3"/>
  </r>
  <r>
    <s v="ORD10004"/>
    <x v="4"/>
    <x v="4"/>
    <x v="1"/>
    <x v="2"/>
    <n v="45"/>
    <n v="15971"/>
    <n v="718695"/>
    <n v="0"/>
    <x v="4"/>
  </r>
  <r>
    <s v="ORD10005"/>
    <x v="5"/>
    <x v="5"/>
    <x v="3"/>
    <x v="1"/>
    <n v="21"/>
    <n v="25174"/>
    <n v="528654"/>
    <n v="15"/>
    <x v="5"/>
  </r>
  <r>
    <s v="ORD10006"/>
    <x v="6"/>
    <x v="6"/>
    <x v="3"/>
    <x v="2"/>
    <n v="21"/>
    <n v="6475"/>
    <n v="135975"/>
    <n v="15"/>
    <x v="6"/>
  </r>
  <r>
    <s v="ORD10007"/>
    <x v="7"/>
    <x v="7"/>
    <x v="3"/>
    <x v="2"/>
    <n v="43"/>
    <n v="24561"/>
    <n v="1056123"/>
    <n v="15"/>
    <x v="7"/>
  </r>
  <r>
    <s v="ORD10008"/>
    <x v="8"/>
    <x v="8"/>
    <x v="2"/>
    <x v="0"/>
    <n v="35"/>
    <n v="48017"/>
    <n v="1680595"/>
    <n v="10"/>
    <x v="8"/>
  </r>
  <r>
    <s v="ORD10009"/>
    <x v="9"/>
    <x v="9"/>
    <x v="3"/>
    <x v="2"/>
    <n v="31"/>
    <n v="43981"/>
    <n v="1363411"/>
    <n v="10"/>
    <x v="9"/>
  </r>
  <r>
    <s v="ORD10010"/>
    <x v="10"/>
    <x v="10"/>
    <x v="1"/>
    <x v="0"/>
    <n v="65"/>
    <n v="34279"/>
    <n v="2228135"/>
    <n v="0"/>
    <x v="10"/>
  </r>
  <r>
    <s v="ORD10011"/>
    <x v="11"/>
    <x v="11"/>
    <x v="0"/>
    <x v="0"/>
    <n v="66"/>
    <n v="43657"/>
    <n v="2881362"/>
    <n v="0"/>
    <x v="11"/>
  </r>
  <r>
    <s v="ORD10012"/>
    <x v="12"/>
    <x v="12"/>
    <x v="0"/>
    <x v="1"/>
    <n v="53"/>
    <n v="48247"/>
    <n v="2557091"/>
    <n v="5"/>
    <x v="12"/>
  </r>
  <r>
    <s v="ORD10013"/>
    <x v="13"/>
    <x v="13"/>
    <x v="0"/>
    <x v="0"/>
    <n v="16"/>
    <n v="36356"/>
    <n v="581696"/>
    <n v="0"/>
    <x v="13"/>
  </r>
  <r>
    <s v="ORD10014"/>
    <x v="14"/>
    <x v="14"/>
    <x v="2"/>
    <x v="4"/>
    <n v="33"/>
    <n v="34573"/>
    <n v="1140909"/>
    <n v="5"/>
    <x v="14"/>
  </r>
  <r>
    <s v="ORD10015"/>
    <x v="15"/>
    <x v="15"/>
    <x v="0"/>
    <x v="1"/>
    <n v="24"/>
    <n v="41936"/>
    <n v="1006464"/>
    <n v="5"/>
    <x v="15"/>
  </r>
  <r>
    <s v="ORD10016"/>
    <x v="16"/>
    <x v="16"/>
    <x v="0"/>
    <x v="2"/>
    <n v="85"/>
    <n v="16232"/>
    <n v="1379720"/>
    <n v="0"/>
    <x v="16"/>
  </r>
  <r>
    <s v="ORD10017"/>
    <x v="17"/>
    <x v="17"/>
    <x v="2"/>
    <x v="2"/>
    <n v="31"/>
    <n v="4159"/>
    <n v="128929"/>
    <n v="0"/>
    <x v="17"/>
  </r>
  <r>
    <s v="ORD10018"/>
    <x v="11"/>
    <x v="18"/>
    <x v="2"/>
    <x v="4"/>
    <n v="5"/>
    <n v="35527"/>
    <n v="177635"/>
    <n v="15"/>
    <x v="18"/>
  </r>
  <r>
    <s v="ORD10019"/>
    <x v="18"/>
    <x v="19"/>
    <x v="3"/>
    <x v="0"/>
    <n v="6"/>
    <n v="40252"/>
    <n v="241512"/>
    <n v="15"/>
    <x v="19"/>
  </r>
  <r>
    <s v="ORD10020"/>
    <x v="19"/>
    <x v="20"/>
    <x v="1"/>
    <x v="4"/>
    <n v="83"/>
    <n v="16861"/>
    <n v="1399463"/>
    <n v="10"/>
    <x v="20"/>
  </r>
  <r>
    <s v="ORD10021"/>
    <x v="20"/>
    <x v="21"/>
    <x v="2"/>
    <x v="3"/>
    <n v="90"/>
    <n v="12061"/>
    <n v="1085490"/>
    <n v="15"/>
    <x v="21"/>
  </r>
  <r>
    <s v="ORD10022"/>
    <x v="21"/>
    <x v="22"/>
    <x v="3"/>
    <x v="3"/>
    <n v="84"/>
    <n v="13445"/>
    <n v="1129380"/>
    <n v="15"/>
    <x v="22"/>
  </r>
  <r>
    <s v="ORD10023"/>
    <x v="22"/>
    <x v="23"/>
    <x v="3"/>
    <x v="0"/>
    <n v="79"/>
    <n v="33266"/>
    <n v="2628014"/>
    <n v="0"/>
    <x v="23"/>
  </r>
  <r>
    <s v="ORD10024"/>
    <x v="23"/>
    <x v="24"/>
    <x v="0"/>
    <x v="3"/>
    <n v="55"/>
    <n v="14362"/>
    <n v="789910"/>
    <n v="10"/>
    <x v="24"/>
  </r>
  <r>
    <s v="ORD10025"/>
    <x v="24"/>
    <x v="25"/>
    <x v="0"/>
    <x v="0"/>
    <n v="35"/>
    <n v="15966"/>
    <n v="558810"/>
    <n v="15"/>
    <x v="25"/>
  </r>
  <r>
    <s v="ORD10026"/>
    <x v="25"/>
    <x v="26"/>
    <x v="0"/>
    <x v="2"/>
    <n v="95"/>
    <n v="36625"/>
    <n v="3479375"/>
    <n v="10"/>
    <x v="26"/>
  </r>
  <r>
    <s v="ORD10027"/>
    <x v="26"/>
    <x v="27"/>
    <x v="1"/>
    <x v="0"/>
    <n v="21"/>
    <n v="1012"/>
    <n v="21252"/>
    <n v="10"/>
    <x v="27"/>
  </r>
  <r>
    <s v="ORD10028"/>
    <x v="27"/>
    <x v="28"/>
    <x v="3"/>
    <x v="1"/>
    <n v="91"/>
    <n v="30847"/>
    <n v="2807077"/>
    <n v="10"/>
    <x v="28"/>
  </r>
  <r>
    <s v="ORD10029"/>
    <x v="28"/>
    <x v="29"/>
    <x v="0"/>
    <x v="4"/>
    <n v="30"/>
    <n v="27648"/>
    <n v="829440"/>
    <n v="10"/>
    <x v="29"/>
  </r>
  <r>
    <s v="ORD10030"/>
    <x v="29"/>
    <x v="30"/>
    <x v="1"/>
    <x v="4"/>
    <n v="69"/>
    <n v="10409"/>
    <n v="718221"/>
    <n v="15"/>
    <x v="30"/>
  </r>
  <r>
    <s v="ORD10031"/>
    <x v="30"/>
    <x v="31"/>
    <x v="2"/>
    <x v="4"/>
    <n v="15"/>
    <n v="22069"/>
    <n v="331035"/>
    <n v="10"/>
    <x v="31"/>
  </r>
  <r>
    <s v="ORD10032"/>
    <x v="31"/>
    <x v="32"/>
    <x v="2"/>
    <x v="1"/>
    <n v="27"/>
    <n v="3790"/>
    <n v="102330"/>
    <n v="5"/>
    <x v="32"/>
  </r>
  <r>
    <s v="ORD10033"/>
    <x v="32"/>
    <x v="33"/>
    <x v="2"/>
    <x v="2"/>
    <n v="35"/>
    <n v="10044"/>
    <n v="351540"/>
    <n v="15"/>
    <x v="33"/>
  </r>
  <r>
    <s v="ORD10034"/>
    <x v="33"/>
    <x v="34"/>
    <x v="3"/>
    <x v="2"/>
    <n v="24"/>
    <n v="13295"/>
    <n v="319080"/>
    <n v="15"/>
    <x v="34"/>
  </r>
  <r>
    <s v="ORD10035"/>
    <x v="34"/>
    <x v="35"/>
    <x v="3"/>
    <x v="4"/>
    <n v="50"/>
    <n v="48133"/>
    <n v="2406650"/>
    <n v="15"/>
    <x v="35"/>
  </r>
  <r>
    <s v="ORD10036"/>
    <x v="35"/>
    <x v="36"/>
    <x v="2"/>
    <x v="4"/>
    <n v="29"/>
    <n v="44565"/>
    <n v="1292385"/>
    <n v="5"/>
    <x v="36"/>
  </r>
  <r>
    <s v="ORD10037"/>
    <x v="36"/>
    <x v="37"/>
    <x v="3"/>
    <x v="3"/>
    <n v="1"/>
    <n v="39662"/>
    <n v="39662"/>
    <n v="5"/>
    <x v="37"/>
  </r>
  <r>
    <s v="ORD10038"/>
    <x v="36"/>
    <x v="38"/>
    <x v="0"/>
    <x v="4"/>
    <n v="63"/>
    <n v="12477"/>
    <n v="786051"/>
    <n v="15"/>
    <x v="38"/>
  </r>
  <r>
    <s v="ORD10039"/>
    <x v="37"/>
    <x v="39"/>
    <x v="1"/>
    <x v="2"/>
    <n v="41"/>
    <n v="45257"/>
    <n v="1855537"/>
    <n v="15"/>
    <x v="39"/>
  </r>
  <r>
    <s v="ORD10040"/>
    <x v="38"/>
    <x v="40"/>
    <x v="1"/>
    <x v="3"/>
    <n v="40"/>
    <n v="43275"/>
    <n v="1731000"/>
    <n v="10"/>
    <x v="40"/>
  </r>
  <r>
    <s v="ORD10041"/>
    <x v="39"/>
    <x v="41"/>
    <x v="1"/>
    <x v="0"/>
    <n v="28"/>
    <n v="44203"/>
    <n v="1237684"/>
    <n v="5"/>
    <x v="41"/>
  </r>
  <r>
    <s v="ORD10042"/>
    <x v="40"/>
    <x v="42"/>
    <x v="1"/>
    <x v="0"/>
    <n v="32"/>
    <n v="14038"/>
    <n v="449216"/>
    <n v="0"/>
    <x v="42"/>
  </r>
  <r>
    <s v="ORD10043"/>
    <x v="41"/>
    <x v="43"/>
    <x v="1"/>
    <x v="4"/>
    <n v="84"/>
    <n v="29537"/>
    <n v="2481108"/>
    <n v="5"/>
    <x v="43"/>
  </r>
  <r>
    <s v="ORD10044"/>
    <x v="42"/>
    <x v="44"/>
    <x v="0"/>
    <x v="4"/>
    <n v="7"/>
    <n v="17355"/>
    <n v="121485"/>
    <n v="0"/>
    <x v="44"/>
  </r>
  <r>
    <s v="ORD10045"/>
    <x v="43"/>
    <x v="45"/>
    <x v="3"/>
    <x v="1"/>
    <n v="91"/>
    <n v="46471"/>
    <n v="4228861"/>
    <n v="0"/>
    <x v="45"/>
  </r>
  <r>
    <s v="ORD10046"/>
    <x v="44"/>
    <x v="46"/>
    <x v="1"/>
    <x v="3"/>
    <n v="49"/>
    <n v="11217"/>
    <n v="549633"/>
    <n v="0"/>
    <x v="46"/>
  </r>
  <r>
    <s v="ORD10047"/>
    <x v="45"/>
    <x v="47"/>
    <x v="1"/>
    <x v="0"/>
    <n v="38"/>
    <n v="37416"/>
    <n v="1421808"/>
    <n v="5"/>
    <x v="47"/>
  </r>
  <r>
    <s v="ORD10048"/>
    <x v="46"/>
    <x v="48"/>
    <x v="1"/>
    <x v="0"/>
    <n v="82"/>
    <n v="33729"/>
    <n v="2765778"/>
    <n v="10"/>
    <x v="48"/>
  </r>
  <r>
    <s v="ORD10049"/>
    <x v="47"/>
    <x v="49"/>
    <x v="2"/>
    <x v="3"/>
    <n v="76"/>
    <n v="46251"/>
    <n v="3515076"/>
    <n v="0"/>
    <x v="49"/>
  </r>
  <r>
    <s v="ORD10050"/>
    <x v="48"/>
    <x v="50"/>
    <x v="2"/>
    <x v="2"/>
    <n v="84"/>
    <n v="42614"/>
    <n v="3579576"/>
    <n v="15"/>
    <x v="50"/>
  </r>
  <r>
    <s v="ORD10051"/>
    <x v="49"/>
    <x v="51"/>
    <x v="2"/>
    <x v="4"/>
    <n v="66"/>
    <n v="47084"/>
    <n v="3107544"/>
    <n v="15"/>
    <x v="51"/>
  </r>
  <r>
    <s v="ORD10052"/>
    <x v="50"/>
    <x v="52"/>
    <x v="1"/>
    <x v="0"/>
    <n v="45"/>
    <n v="13502"/>
    <n v="607590"/>
    <n v="0"/>
    <x v="52"/>
  </r>
  <r>
    <s v="ORD10053"/>
    <x v="51"/>
    <x v="53"/>
    <x v="2"/>
    <x v="2"/>
    <n v="58"/>
    <n v="551"/>
    <n v="31958"/>
    <n v="5"/>
    <x v="53"/>
  </r>
  <r>
    <s v="ORD10054"/>
    <x v="52"/>
    <x v="54"/>
    <x v="2"/>
    <x v="0"/>
    <n v="98"/>
    <n v="39997"/>
    <n v="3919706"/>
    <n v="5"/>
    <x v="54"/>
  </r>
  <r>
    <s v="ORD10055"/>
    <x v="53"/>
    <x v="55"/>
    <x v="0"/>
    <x v="3"/>
    <n v="85"/>
    <n v="46311"/>
    <n v="3936435"/>
    <n v="15"/>
    <x v="55"/>
  </r>
  <r>
    <s v="ORD10056"/>
    <x v="54"/>
    <x v="56"/>
    <x v="1"/>
    <x v="0"/>
    <n v="98"/>
    <n v="28181"/>
    <n v="2761738"/>
    <n v="10"/>
    <x v="56"/>
  </r>
  <r>
    <s v="ORD10057"/>
    <x v="55"/>
    <x v="57"/>
    <x v="1"/>
    <x v="4"/>
    <n v="18"/>
    <n v="29834"/>
    <n v="537012"/>
    <n v="15"/>
    <x v="57"/>
  </r>
  <r>
    <s v="ORD10058"/>
    <x v="56"/>
    <x v="58"/>
    <x v="3"/>
    <x v="4"/>
    <n v="36"/>
    <n v="33304"/>
    <n v="1198944"/>
    <n v="0"/>
    <x v="58"/>
  </r>
  <r>
    <s v="ORD10059"/>
    <x v="57"/>
    <x v="59"/>
    <x v="2"/>
    <x v="0"/>
    <n v="13"/>
    <n v="8631"/>
    <n v="112203"/>
    <n v="15"/>
    <x v="59"/>
  </r>
  <r>
    <s v="ORD10060"/>
    <x v="58"/>
    <x v="60"/>
    <x v="3"/>
    <x v="0"/>
    <n v="67"/>
    <n v="14877"/>
    <n v="996759"/>
    <n v="15"/>
    <x v="60"/>
  </r>
  <r>
    <s v="ORD10061"/>
    <x v="59"/>
    <x v="61"/>
    <x v="0"/>
    <x v="4"/>
    <n v="3"/>
    <n v="21978"/>
    <n v="65934"/>
    <n v="10"/>
    <x v="61"/>
  </r>
  <r>
    <s v="ORD10062"/>
    <x v="60"/>
    <x v="62"/>
    <x v="2"/>
    <x v="2"/>
    <n v="38"/>
    <n v="32821"/>
    <n v="1247198"/>
    <n v="5"/>
    <x v="62"/>
  </r>
  <r>
    <s v="ORD10063"/>
    <x v="61"/>
    <x v="63"/>
    <x v="2"/>
    <x v="0"/>
    <n v="22"/>
    <n v="16656"/>
    <n v="366432"/>
    <n v="5"/>
    <x v="63"/>
  </r>
  <r>
    <s v="ORD10064"/>
    <x v="62"/>
    <x v="64"/>
    <x v="1"/>
    <x v="0"/>
    <n v="43"/>
    <n v="11050"/>
    <n v="475150"/>
    <n v="5"/>
    <x v="64"/>
  </r>
  <r>
    <s v="ORD10065"/>
    <x v="63"/>
    <x v="65"/>
    <x v="3"/>
    <x v="4"/>
    <n v="97"/>
    <n v="3725"/>
    <n v="361325"/>
    <n v="0"/>
    <x v="65"/>
  </r>
  <r>
    <s v="ORD10066"/>
    <x v="64"/>
    <x v="66"/>
    <x v="3"/>
    <x v="3"/>
    <n v="91"/>
    <n v="5688"/>
    <n v="517608"/>
    <n v="15"/>
    <x v="66"/>
  </r>
  <r>
    <s v="ORD10067"/>
    <x v="65"/>
    <x v="67"/>
    <x v="3"/>
    <x v="4"/>
    <n v="94"/>
    <n v="38201"/>
    <n v="3590894"/>
    <n v="0"/>
    <x v="67"/>
  </r>
  <r>
    <s v="ORD10068"/>
    <x v="66"/>
    <x v="68"/>
    <x v="3"/>
    <x v="0"/>
    <n v="90"/>
    <n v="20280"/>
    <n v="1825200"/>
    <n v="10"/>
    <x v="68"/>
  </r>
  <r>
    <s v="ORD10069"/>
    <x v="67"/>
    <x v="69"/>
    <x v="0"/>
    <x v="4"/>
    <n v="70"/>
    <n v="31342"/>
    <n v="2193940"/>
    <n v="5"/>
    <x v="69"/>
  </r>
  <r>
    <s v="ORD10070"/>
    <x v="68"/>
    <x v="70"/>
    <x v="1"/>
    <x v="1"/>
    <n v="80"/>
    <n v="21588"/>
    <n v="1727040"/>
    <n v="15"/>
    <x v="70"/>
  </r>
  <r>
    <s v="ORD10071"/>
    <x v="69"/>
    <x v="71"/>
    <x v="0"/>
    <x v="1"/>
    <n v="93"/>
    <n v="39013"/>
    <n v="3628209"/>
    <n v="5"/>
    <x v="71"/>
  </r>
  <r>
    <s v="ORD10072"/>
    <x v="70"/>
    <x v="72"/>
    <x v="2"/>
    <x v="4"/>
    <n v="18"/>
    <n v="32121"/>
    <n v="578178"/>
    <n v="15"/>
    <x v="72"/>
  </r>
  <r>
    <s v="ORD10073"/>
    <x v="71"/>
    <x v="73"/>
    <x v="3"/>
    <x v="1"/>
    <n v="51"/>
    <n v="13278"/>
    <n v="677178"/>
    <n v="10"/>
    <x v="73"/>
  </r>
  <r>
    <s v="ORD10074"/>
    <x v="72"/>
    <x v="74"/>
    <x v="2"/>
    <x v="2"/>
    <n v="44"/>
    <n v="21077"/>
    <n v="927388"/>
    <n v="0"/>
    <x v="74"/>
  </r>
  <r>
    <s v="ORD10075"/>
    <x v="73"/>
    <x v="75"/>
    <x v="3"/>
    <x v="4"/>
    <n v="49"/>
    <n v="29409"/>
    <n v="1441041"/>
    <n v="5"/>
    <x v="75"/>
  </r>
  <r>
    <s v="ORD10076"/>
    <x v="74"/>
    <x v="76"/>
    <x v="2"/>
    <x v="1"/>
    <n v="69"/>
    <n v="29640"/>
    <n v="2045160"/>
    <n v="10"/>
    <x v="76"/>
  </r>
  <r>
    <s v="ORD10077"/>
    <x v="75"/>
    <x v="77"/>
    <x v="2"/>
    <x v="0"/>
    <n v="57"/>
    <n v="17297"/>
    <n v="985929"/>
    <n v="0"/>
    <x v="77"/>
  </r>
  <r>
    <s v="ORD10078"/>
    <x v="76"/>
    <x v="78"/>
    <x v="2"/>
    <x v="2"/>
    <n v="73"/>
    <n v="11618"/>
    <n v="848114"/>
    <n v="10"/>
    <x v="78"/>
  </r>
  <r>
    <s v="ORD10079"/>
    <x v="77"/>
    <x v="79"/>
    <x v="3"/>
    <x v="2"/>
    <n v="1"/>
    <n v="5236"/>
    <n v="5236"/>
    <n v="15"/>
    <x v="79"/>
  </r>
  <r>
    <s v="ORD10080"/>
    <x v="49"/>
    <x v="80"/>
    <x v="3"/>
    <x v="2"/>
    <n v="38"/>
    <n v="40786"/>
    <n v="1549868"/>
    <n v="10"/>
    <x v="80"/>
  </r>
  <r>
    <s v="ORD10081"/>
    <x v="78"/>
    <x v="81"/>
    <x v="3"/>
    <x v="2"/>
    <n v="6"/>
    <n v="4907"/>
    <n v="29442"/>
    <n v="5"/>
    <x v="81"/>
  </r>
  <r>
    <s v="ORD10082"/>
    <x v="8"/>
    <x v="82"/>
    <x v="1"/>
    <x v="4"/>
    <n v="28"/>
    <n v="35046"/>
    <n v="981288"/>
    <n v="0"/>
    <x v="82"/>
  </r>
  <r>
    <s v="ORD10083"/>
    <x v="79"/>
    <x v="83"/>
    <x v="3"/>
    <x v="0"/>
    <n v="71"/>
    <n v="11218"/>
    <n v="796478"/>
    <n v="5"/>
    <x v="83"/>
  </r>
  <r>
    <s v="ORD10084"/>
    <x v="53"/>
    <x v="84"/>
    <x v="2"/>
    <x v="2"/>
    <n v="64"/>
    <n v="42291"/>
    <n v="2706624"/>
    <n v="15"/>
    <x v="84"/>
  </r>
  <r>
    <s v="ORD10085"/>
    <x v="80"/>
    <x v="85"/>
    <x v="0"/>
    <x v="4"/>
    <n v="49"/>
    <n v="49982"/>
    <n v="2449118"/>
    <n v="10"/>
    <x v="85"/>
  </r>
  <r>
    <s v="ORD10086"/>
    <x v="81"/>
    <x v="86"/>
    <x v="0"/>
    <x v="2"/>
    <n v="53"/>
    <n v="33901"/>
    <n v="1796753"/>
    <n v="15"/>
    <x v="86"/>
  </r>
  <r>
    <s v="ORD10087"/>
    <x v="82"/>
    <x v="87"/>
    <x v="0"/>
    <x v="3"/>
    <n v="13"/>
    <n v="34593"/>
    <n v="449709"/>
    <n v="15"/>
    <x v="87"/>
  </r>
  <r>
    <s v="ORD10088"/>
    <x v="83"/>
    <x v="88"/>
    <x v="0"/>
    <x v="3"/>
    <n v="51"/>
    <n v="9620"/>
    <n v="490620"/>
    <n v="10"/>
    <x v="88"/>
  </r>
  <r>
    <s v="ORD10089"/>
    <x v="84"/>
    <x v="89"/>
    <x v="2"/>
    <x v="4"/>
    <n v="12"/>
    <n v="26873"/>
    <n v="322476"/>
    <n v="15"/>
    <x v="89"/>
  </r>
  <r>
    <s v="ORD10090"/>
    <x v="85"/>
    <x v="90"/>
    <x v="3"/>
    <x v="4"/>
    <n v="17"/>
    <n v="39175"/>
    <n v="665975"/>
    <n v="0"/>
    <x v="90"/>
  </r>
  <r>
    <s v="ORD10091"/>
    <x v="86"/>
    <x v="91"/>
    <x v="2"/>
    <x v="2"/>
    <n v="70"/>
    <n v="27507"/>
    <n v="1925490"/>
    <n v="0"/>
    <x v="91"/>
  </r>
  <r>
    <s v="ORD10092"/>
    <x v="87"/>
    <x v="92"/>
    <x v="2"/>
    <x v="4"/>
    <n v="86"/>
    <n v="34840"/>
    <n v="2996240"/>
    <n v="0"/>
    <x v="92"/>
  </r>
  <r>
    <s v="ORD10093"/>
    <x v="88"/>
    <x v="93"/>
    <x v="1"/>
    <x v="2"/>
    <n v="89"/>
    <n v="11919"/>
    <n v="1060791"/>
    <n v="0"/>
    <x v="93"/>
  </r>
  <r>
    <s v="ORD10094"/>
    <x v="89"/>
    <x v="94"/>
    <x v="0"/>
    <x v="1"/>
    <n v="74"/>
    <n v="29745"/>
    <n v="2201130"/>
    <n v="5"/>
    <x v="94"/>
  </r>
  <r>
    <s v="ORD10095"/>
    <x v="54"/>
    <x v="95"/>
    <x v="1"/>
    <x v="0"/>
    <n v="92"/>
    <n v="43322"/>
    <n v="3985624"/>
    <n v="0"/>
    <x v="95"/>
  </r>
  <r>
    <s v="ORD10096"/>
    <x v="90"/>
    <x v="96"/>
    <x v="2"/>
    <x v="1"/>
    <n v="19"/>
    <n v="23216"/>
    <n v="441104"/>
    <n v="0"/>
    <x v="96"/>
  </r>
  <r>
    <s v="ORD10097"/>
    <x v="91"/>
    <x v="97"/>
    <x v="3"/>
    <x v="4"/>
    <n v="89"/>
    <n v="33083"/>
    <n v="2944387"/>
    <n v="10"/>
    <x v="97"/>
  </r>
  <r>
    <s v="ORD10098"/>
    <x v="63"/>
    <x v="98"/>
    <x v="1"/>
    <x v="2"/>
    <n v="27"/>
    <n v="8569"/>
    <n v="231363"/>
    <n v="0"/>
    <x v="98"/>
  </r>
  <r>
    <s v="ORD10099"/>
    <x v="92"/>
    <x v="99"/>
    <x v="0"/>
    <x v="3"/>
    <n v="63"/>
    <n v="8445"/>
    <n v="532035"/>
    <n v="15"/>
    <x v="99"/>
  </r>
  <r>
    <s v="ORD10100"/>
    <x v="93"/>
    <x v="100"/>
    <x v="0"/>
    <x v="1"/>
    <n v="27"/>
    <n v="49095"/>
    <n v="1325565"/>
    <n v="0"/>
    <x v="100"/>
  </r>
  <r>
    <s v="ORD10101"/>
    <x v="94"/>
    <x v="101"/>
    <x v="1"/>
    <x v="1"/>
    <n v="96"/>
    <n v="48257"/>
    <n v="4632672"/>
    <n v="0"/>
    <x v="101"/>
  </r>
  <r>
    <s v="ORD10102"/>
    <x v="95"/>
    <x v="102"/>
    <x v="3"/>
    <x v="1"/>
    <n v="43"/>
    <n v="12181"/>
    <n v="523783"/>
    <n v="5"/>
    <x v="102"/>
  </r>
  <r>
    <s v="ORD10103"/>
    <x v="96"/>
    <x v="103"/>
    <x v="1"/>
    <x v="1"/>
    <n v="64"/>
    <n v="31890"/>
    <n v="2040960"/>
    <n v="10"/>
    <x v="103"/>
  </r>
  <r>
    <s v="ORD10104"/>
    <x v="97"/>
    <x v="104"/>
    <x v="1"/>
    <x v="0"/>
    <n v="73"/>
    <n v="28573"/>
    <n v="2085829"/>
    <n v="5"/>
    <x v="104"/>
  </r>
  <r>
    <s v="ORD10105"/>
    <x v="98"/>
    <x v="105"/>
    <x v="2"/>
    <x v="3"/>
    <n v="45"/>
    <n v="35123"/>
    <n v="1580535"/>
    <n v="10"/>
    <x v="105"/>
  </r>
  <r>
    <s v="ORD10106"/>
    <x v="99"/>
    <x v="106"/>
    <x v="3"/>
    <x v="3"/>
    <n v="30"/>
    <n v="42305"/>
    <n v="1269150"/>
    <n v="5"/>
    <x v="106"/>
  </r>
  <r>
    <s v="ORD10107"/>
    <x v="100"/>
    <x v="107"/>
    <x v="2"/>
    <x v="2"/>
    <n v="98"/>
    <n v="34799"/>
    <n v="3410302"/>
    <n v="15"/>
    <x v="107"/>
  </r>
  <r>
    <s v="ORD10108"/>
    <x v="101"/>
    <x v="108"/>
    <x v="3"/>
    <x v="4"/>
    <n v="62"/>
    <n v="29733"/>
    <n v="1843446"/>
    <n v="15"/>
    <x v="108"/>
  </r>
  <r>
    <s v="ORD10109"/>
    <x v="102"/>
    <x v="109"/>
    <x v="2"/>
    <x v="1"/>
    <n v="4"/>
    <n v="29057"/>
    <n v="116228"/>
    <n v="10"/>
    <x v="109"/>
  </r>
  <r>
    <s v="ORD10110"/>
    <x v="103"/>
    <x v="110"/>
    <x v="3"/>
    <x v="4"/>
    <n v="29"/>
    <n v="16542"/>
    <n v="479718"/>
    <n v="0"/>
    <x v="110"/>
  </r>
  <r>
    <s v="ORD10111"/>
    <x v="104"/>
    <x v="111"/>
    <x v="2"/>
    <x v="3"/>
    <n v="46"/>
    <n v="15237"/>
    <n v="700902"/>
    <n v="15"/>
    <x v="111"/>
  </r>
  <r>
    <s v="ORD10112"/>
    <x v="105"/>
    <x v="112"/>
    <x v="3"/>
    <x v="2"/>
    <n v="52"/>
    <n v="21300"/>
    <n v="1107600"/>
    <n v="0"/>
    <x v="112"/>
  </r>
  <r>
    <s v="ORD10113"/>
    <x v="84"/>
    <x v="113"/>
    <x v="2"/>
    <x v="2"/>
    <n v="99"/>
    <n v="25201"/>
    <n v="2494899"/>
    <n v="15"/>
    <x v="113"/>
  </r>
  <r>
    <s v="ORD10114"/>
    <x v="106"/>
    <x v="114"/>
    <x v="3"/>
    <x v="3"/>
    <n v="48"/>
    <n v="30342"/>
    <n v="1456416"/>
    <n v="10"/>
    <x v="114"/>
  </r>
  <r>
    <s v="ORD10115"/>
    <x v="107"/>
    <x v="115"/>
    <x v="1"/>
    <x v="2"/>
    <n v="79"/>
    <n v="30363"/>
    <n v="2398677"/>
    <n v="10"/>
    <x v="115"/>
  </r>
  <r>
    <s v="ORD10116"/>
    <x v="65"/>
    <x v="116"/>
    <x v="1"/>
    <x v="1"/>
    <n v="48"/>
    <n v="36745"/>
    <n v="1763760"/>
    <n v="15"/>
    <x v="116"/>
  </r>
  <r>
    <s v="ORD10117"/>
    <x v="108"/>
    <x v="117"/>
    <x v="1"/>
    <x v="0"/>
    <n v="56"/>
    <n v="5443"/>
    <n v="304808"/>
    <n v="0"/>
    <x v="117"/>
  </r>
  <r>
    <s v="ORD10118"/>
    <x v="53"/>
    <x v="118"/>
    <x v="3"/>
    <x v="1"/>
    <n v="61"/>
    <n v="38461"/>
    <n v="2346121"/>
    <n v="10"/>
    <x v="118"/>
  </r>
  <r>
    <s v="ORD10119"/>
    <x v="22"/>
    <x v="119"/>
    <x v="3"/>
    <x v="0"/>
    <n v="42"/>
    <n v="14953"/>
    <n v="628026"/>
    <n v="10"/>
    <x v="119"/>
  </r>
  <r>
    <s v="ORD10120"/>
    <x v="109"/>
    <x v="120"/>
    <x v="3"/>
    <x v="2"/>
    <n v="21"/>
    <n v="24075"/>
    <n v="505575"/>
    <n v="15"/>
    <x v="120"/>
  </r>
  <r>
    <s v="ORD10121"/>
    <x v="110"/>
    <x v="121"/>
    <x v="0"/>
    <x v="3"/>
    <n v="57"/>
    <n v="16750"/>
    <n v="954750"/>
    <n v="10"/>
    <x v="121"/>
  </r>
  <r>
    <s v="ORD10122"/>
    <x v="111"/>
    <x v="122"/>
    <x v="0"/>
    <x v="4"/>
    <n v="94"/>
    <n v="37737"/>
    <n v="3547278"/>
    <n v="10"/>
    <x v="122"/>
  </r>
  <r>
    <s v="ORD10123"/>
    <x v="112"/>
    <x v="123"/>
    <x v="1"/>
    <x v="4"/>
    <n v="72"/>
    <n v="49943"/>
    <n v="3595896"/>
    <n v="0"/>
    <x v="123"/>
  </r>
  <r>
    <s v="ORD10124"/>
    <x v="41"/>
    <x v="124"/>
    <x v="0"/>
    <x v="1"/>
    <n v="90"/>
    <n v="7755"/>
    <n v="697950"/>
    <n v="5"/>
    <x v="124"/>
  </r>
  <r>
    <s v="ORD10125"/>
    <x v="113"/>
    <x v="125"/>
    <x v="0"/>
    <x v="4"/>
    <n v="53"/>
    <n v="47687"/>
    <n v="2527411"/>
    <n v="15"/>
    <x v="125"/>
  </r>
  <r>
    <s v="ORD10126"/>
    <x v="114"/>
    <x v="126"/>
    <x v="3"/>
    <x v="4"/>
    <n v="65"/>
    <n v="21470"/>
    <n v="1395550"/>
    <n v="15"/>
    <x v="126"/>
  </r>
  <r>
    <s v="ORD10127"/>
    <x v="115"/>
    <x v="127"/>
    <x v="2"/>
    <x v="4"/>
    <n v="21"/>
    <n v="12775"/>
    <n v="268275"/>
    <n v="0"/>
    <x v="127"/>
  </r>
  <r>
    <s v="ORD10128"/>
    <x v="116"/>
    <x v="128"/>
    <x v="3"/>
    <x v="0"/>
    <n v="88"/>
    <n v="40834"/>
    <n v="3593392"/>
    <n v="5"/>
    <x v="128"/>
  </r>
  <r>
    <s v="ORD10129"/>
    <x v="117"/>
    <x v="129"/>
    <x v="0"/>
    <x v="1"/>
    <n v="14"/>
    <n v="17365"/>
    <n v="243110"/>
    <n v="5"/>
    <x v="129"/>
  </r>
  <r>
    <s v="ORD10130"/>
    <x v="118"/>
    <x v="130"/>
    <x v="1"/>
    <x v="2"/>
    <n v="85"/>
    <n v="23447"/>
    <n v="1992995"/>
    <n v="15"/>
    <x v="130"/>
  </r>
  <r>
    <s v="ORD10131"/>
    <x v="119"/>
    <x v="131"/>
    <x v="0"/>
    <x v="3"/>
    <n v="21"/>
    <n v="47565"/>
    <n v="998865"/>
    <n v="10"/>
    <x v="131"/>
  </r>
  <r>
    <s v="ORD10132"/>
    <x v="120"/>
    <x v="132"/>
    <x v="0"/>
    <x v="4"/>
    <n v="41"/>
    <n v="2882"/>
    <n v="118162"/>
    <n v="0"/>
    <x v="132"/>
  </r>
  <r>
    <s v="ORD10133"/>
    <x v="121"/>
    <x v="133"/>
    <x v="3"/>
    <x v="1"/>
    <n v="88"/>
    <n v="10004"/>
    <n v="880352"/>
    <n v="10"/>
    <x v="133"/>
  </r>
  <r>
    <s v="ORD10134"/>
    <x v="122"/>
    <x v="134"/>
    <x v="3"/>
    <x v="3"/>
    <n v="95"/>
    <n v="13134"/>
    <n v="1247730"/>
    <n v="10"/>
    <x v="134"/>
  </r>
  <r>
    <s v="ORD10135"/>
    <x v="123"/>
    <x v="135"/>
    <x v="3"/>
    <x v="0"/>
    <n v="65"/>
    <n v="33476"/>
    <n v="2175940"/>
    <n v="10"/>
    <x v="135"/>
  </r>
  <r>
    <s v="ORD10136"/>
    <x v="124"/>
    <x v="136"/>
    <x v="0"/>
    <x v="1"/>
    <n v="33"/>
    <n v="49006"/>
    <n v="1617198"/>
    <n v="5"/>
    <x v="136"/>
  </r>
  <r>
    <s v="ORD10137"/>
    <x v="125"/>
    <x v="137"/>
    <x v="2"/>
    <x v="3"/>
    <n v="4"/>
    <n v="46946"/>
    <n v="187784"/>
    <n v="10"/>
    <x v="137"/>
  </r>
  <r>
    <s v="ORD10138"/>
    <x v="126"/>
    <x v="138"/>
    <x v="3"/>
    <x v="4"/>
    <n v="73"/>
    <n v="12772"/>
    <n v="932356"/>
    <n v="15"/>
    <x v="138"/>
  </r>
  <r>
    <s v="ORD10139"/>
    <x v="127"/>
    <x v="139"/>
    <x v="3"/>
    <x v="0"/>
    <n v="84"/>
    <n v="21958"/>
    <n v="1844472"/>
    <n v="5"/>
    <x v="139"/>
  </r>
  <r>
    <s v="ORD10140"/>
    <x v="128"/>
    <x v="140"/>
    <x v="1"/>
    <x v="2"/>
    <n v="99"/>
    <n v="20260"/>
    <n v="2005740"/>
    <n v="15"/>
    <x v="140"/>
  </r>
  <r>
    <s v="ORD10141"/>
    <x v="129"/>
    <x v="141"/>
    <x v="2"/>
    <x v="4"/>
    <n v="64"/>
    <n v="36641"/>
    <n v="2345024"/>
    <n v="15"/>
    <x v="141"/>
  </r>
  <r>
    <s v="ORD10142"/>
    <x v="130"/>
    <x v="142"/>
    <x v="2"/>
    <x v="4"/>
    <n v="67"/>
    <n v="3987"/>
    <n v="267129"/>
    <n v="15"/>
    <x v="142"/>
  </r>
  <r>
    <s v="ORD10143"/>
    <x v="96"/>
    <x v="143"/>
    <x v="2"/>
    <x v="0"/>
    <n v="1"/>
    <n v="4583"/>
    <n v="4583"/>
    <n v="0"/>
    <x v="143"/>
  </r>
  <r>
    <s v="ORD10144"/>
    <x v="131"/>
    <x v="144"/>
    <x v="1"/>
    <x v="2"/>
    <n v="23"/>
    <n v="30449"/>
    <n v="700327"/>
    <n v="15"/>
    <x v="144"/>
  </r>
  <r>
    <s v="ORD10145"/>
    <x v="132"/>
    <x v="145"/>
    <x v="0"/>
    <x v="3"/>
    <n v="50"/>
    <n v="34626"/>
    <n v="1731300"/>
    <n v="15"/>
    <x v="145"/>
  </r>
  <r>
    <s v="ORD10146"/>
    <x v="133"/>
    <x v="146"/>
    <x v="1"/>
    <x v="0"/>
    <n v="67"/>
    <n v="7041"/>
    <n v="471747"/>
    <n v="0"/>
    <x v="146"/>
  </r>
  <r>
    <s v="ORD10147"/>
    <x v="134"/>
    <x v="147"/>
    <x v="0"/>
    <x v="2"/>
    <n v="12"/>
    <n v="21531"/>
    <n v="258372"/>
    <n v="5"/>
    <x v="147"/>
  </r>
  <r>
    <s v="ORD10148"/>
    <x v="135"/>
    <x v="148"/>
    <x v="2"/>
    <x v="2"/>
    <n v="19"/>
    <n v="37162"/>
    <n v="706078"/>
    <n v="10"/>
    <x v="148"/>
  </r>
  <r>
    <s v="ORD10149"/>
    <x v="136"/>
    <x v="149"/>
    <x v="0"/>
    <x v="4"/>
    <n v="85"/>
    <n v="4725"/>
    <n v="401625"/>
    <n v="10"/>
    <x v="149"/>
  </r>
  <r>
    <s v="ORD10150"/>
    <x v="137"/>
    <x v="150"/>
    <x v="2"/>
    <x v="0"/>
    <n v="34"/>
    <n v="35407"/>
    <n v="1203838"/>
    <n v="0"/>
    <x v="150"/>
  </r>
  <r>
    <s v="ORD10151"/>
    <x v="138"/>
    <x v="151"/>
    <x v="0"/>
    <x v="0"/>
    <n v="8"/>
    <n v="17045"/>
    <n v="136360"/>
    <n v="5"/>
    <x v="151"/>
  </r>
  <r>
    <s v="ORD10152"/>
    <x v="139"/>
    <x v="152"/>
    <x v="0"/>
    <x v="1"/>
    <n v="32"/>
    <n v="49115"/>
    <n v="1571680"/>
    <n v="0"/>
    <x v="152"/>
  </r>
  <r>
    <s v="ORD10153"/>
    <x v="140"/>
    <x v="153"/>
    <x v="0"/>
    <x v="0"/>
    <n v="41"/>
    <n v="24274"/>
    <n v="995234"/>
    <n v="15"/>
    <x v="153"/>
  </r>
  <r>
    <s v="ORD10154"/>
    <x v="141"/>
    <x v="154"/>
    <x v="3"/>
    <x v="4"/>
    <n v="87"/>
    <n v="24342"/>
    <n v="2117754"/>
    <n v="15"/>
    <x v="154"/>
  </r>
  <r>
    <s v="ORD10155"/>
    <x v="142"/>
    <x v="155"/>
    <x v="2"/>
    <x v="3"/>
    <n v="51"/>
    <n v="26771"/>
    <n v="1365321"/>
    <n v="15"/>
    <x v="155"/>
  </r>
  <r>
    <s v="ORD10156"/>
    <x v="143"/>
    <x v="156"/>
    <x v="2"/>
    <x v="4"/>
    <n v="62"/>
    <n v="5413"/>
    <n v="335606"/>
    <n v="0"/>
    <x v="156"/>
  </r>
  <r>
    <s v="ORD10157"/>
    <x v="106"/>
    <x v="157"/>
    <x v="0"/>
    <x v="0"/>
    <n v="93"/>
    <n v="25791"/>
    <n v="2398563"/>
    <n v="0"/>
    <x v="157"/>
  </r>
  <r>
    <s v="ORD10158"/>
    <x v="6"/>
    <x v="158"/>
    <x v="0"/>
    <x v="3"/>
    <n v="90"/>
    <n v="31930"/>
    <n v="2873700"/>
    <n v="15"/>
    <x v="158"/>
  </r>
  <r>
    <s v="ORD10159"/>
    <x v="144"/>
    <x v="159"/>
    <x v="2"/>
    <x v="1"/>
    <n v="27"/>
    <n v="28271"/>
    <n v="763317"/>
    <n v="0"/>
    <x v="159"/>
  </r>
  <r>
    <s v="ORD10160"/>
    <x v="145"/>
    <x v="160"/>
    <x v="3"/>
    <x v="4"/>
    <n v="85"/>
    <n v="34698"/>
    <n v="2949330"/>
    <n v="0"/>
    <x v="160"/>
  </r>
  <r>
    <s v="ORD10161"/>
    <x v="146"/>
    <x v="161"/>
    <x v="2"/>
    <x v="3"/>
    <n v="6"/>
    <n v="21669"/>
    <n v="130014"/>
    <n v="0"/>
    <x v="161"/>
  </r>
  <r>
    <s v="ORD10162"/>
    <x v="147"/>
    <x v="162"/>
    <x v="1"/>
    <x v="1"/>
    <n v="32"/>
    <n v="18254"/>
    <n v="584128"/>
    <n v="5"/>
    <x v="162"/>
  </r>
  <r>
    <s v="ORD10163"/>
    <x v="148"/>
    <x v="163"/>
    <x v="3"/>
    <x v="2"/>
    <n v="51"/>
    <n v="38134"/>
    <n v="1944834"/>
    <n v="5"/>
    <x v="163"/>
  </r>
  <r>
    <s v="ORD10164"/>
    <x v="149"/>
    <x v="164"/>
    <x v="1"/>
    <x v="2"/>
    <n v="27"/>
    <n v="22651"/>
    <n v="611577"/>
    <n v="5"/>
    <x v="164"/>
  </r>
  <r>
    <s v="ORD10165"/>
    <x v="150"/>
    <x v="165"/>
    <x v="1"/>
    <x v="1"/>
    <n v="59"/>
    <n v="19271"/>
    <n v="1136989"/>
    <n v="15"/>
    <x v="165"/>
  </r>
  <r>
    <s v="ORD10166"/>
    <x v="151"/>
    <x v="166"/>
    <x v="2"/>
    <x v="2"/>
    <n v="11"/>
    <n v="20762"/>
    <n v="228382"/>
    <n v="15"/>
    <x v="166"/>
  </r>
  <r>
    <s v="ORD10167"/>
    <x v="68"/>
    <x v="167"/>
    <x v="3"/>
    <x v="2"/>
    <n v="74"/>
    <n v="35012"/>
    <n v="2590888"/>
    <n v="0"/>
    <x v="167"/>
  </r>
  <r>
    <s v="ORD10168"/>
    <x v="152"/>
    <x v="168"/>
    <x v="1"/>
    <x v="4"/>
    <n v="95"/>
    <n v="17971"/>
    <n v="1707245"/>
    <n v="5"/>
    <x v="168"/>
  </r>
  <r>
    <s v="ORD10169"/>
    <x v="153"/>
    <x v="169"/>
    <x v="3"/>
    <x v="2"/>
    <n v="27"/>
    <n v="42903"/>
    <n v="1158381"/>
    <n v="0"/>
    <x v="169"/>
  </r>
  <r>
    <s v="ORD10170"/>
    <x v="154"/>
    <x v="170"/>
    <x v="3"/>
    <x v="4"/>
    <n v="32"/>
    <n v="16166"/>
    <n v="517312"/>
    <n v="0"/>
    <x v="170"/>
  </r>
  <r>
    <s v="ORD10171"/>
    <x v="155"/>
    <x v="171"/>
    <x v="2"/>
    <x v="2"/>
    <n v="28"/>
    <n v="7034"/>
    <n v="196952"/>
    <n v="15"/>
    <x v="171"/>
  </r>
  <r>
    <s v="ORD10172"/>
    <x v="156"/>
    <x v="172"/>
    <x v="3"/>
    <x v="2"/>
    <n v="21"/>
    <n v="22753"/>
    <n v="477813"/>
    <n v="5"/>
    <x v="172"/>
  </r>
  <r>
    <s v="ORD10173"/>
    <x v="129"/>
    <x v="173"/>
    <x v="0"/>
    <x v="2"/>
    <n v="97"/>
    <n v="34933"/>
    <n v="3388501"/>
    <n v="5"/>
    <x v="173"/>
  </r>
  <r>
    <s v="ORD10174"/>
    <x v="14"/>
    <x v="174"/>
    <x v="3"/>
    <x v="0"/>
    <n v="98"/>
    <n v="7217"/>
    <n v="707266"/>
    <n v="5"/>
    <x v="174"/>
  </r>
  <r>
    <s v="ORD10175"/>
    <x v="30"/>
    <x v="175"/>
    <x v="1"/>
    <x v="0"/>
    <n v="7"/>
    <n v="39012"/>
    <n v="273084"/>
    <n v="10"/>
    <x v="175"/>
  </r>
  <r>
    <s v="ORD10176"/>
    <x v="157"/>
    <x v="176"/>
    <x v="2"/>
    <x v="3"/>
    <n v="46"/>
    <n v="18909"/>
    <n v="869814"/>
    <n v="15"/>
    <x v="176"/>
  </r>
  <r>
    <s v="ORD10177"/>
    <x v="158"/>
    <x v="177"/>
    <x v="2"/>
    <x v="1"/>
    <n v="82"/>
    <n v="45525"/>
    <n v="3733050"/>
    <n v="5"/>
    <x v="177"/>
  </r>
  <r>
    <s v="ORD10178"/>
    <x v="159"/>
    <x v="178"/>
    <x v="1"/>
    <x v="4"/>
    <n v="3"/>
    <n v="43051"/>
    <n v="129153"/>
    <n v="0"/>
    <x v="178"/>
  </r>
  <r>
    <s v="ORD10179"/>
    <x v="160"/>
    <x v="179"/>
    <x v="2"/>
    <x v="4"/>
    <n v="56"/>
    <n v="29984"/>
    <n v="1679104"/>
    <n v="15"/>
    <x v="179"/>
  </r>
  <r>
    <s v="ORD10180"/>
    <x v="161"/>
    <x v="180"/>
    <x v="0"/>
    <x v="4"/>
    <n v="47"/>
    <n v="10768"/>
    <n v="506096"/>
    <n v="10"/>
    <x v="180"/>
  </r>
  <r>
    <s v="ORD10181"/>
    <x v="162"/>
    <x v="181"/>
    <x v="3"/>
    <x v="1"/>
    <n v="37"/>
    <n v="6228"/>
    <n v="230436"/>
    <n v="0"/>
    <x v="181"/>
  </r>
  <r>
    <s v="ORD10182"/>
    <x v="163"/>
    <x v="182"/>
    <x v="2"/>
    <x v="4"/>
    <n v="75"/>
    <n v="35979"/>
    <n v="2698425"/>
    <n v="5"/>
    <x v="182"/>
  </r>
  <r>
    <s v="ORD10183"/>
    <x v="164"/>
    <x v="183"/>
    <x v="0"/>
    <x v="2"/>
    <n v="50"/>
    <n v="42985"/>
    <n v="2149250"/>
    <n v="10"/>
    <x v="183"/>
  </r>
  <r>
    <s v="ORD10184"/>
    <x v="153"/>
    <x v="184"/>
    <x v="0"/>
    <x v="3"/>
    <n v="15"/>
    <n v="47907"/>
    <n v="718605"/>
    <n v="15"/>
    <x v="184"/>
  </r>
  <r>
    <s v="ORD10185"/>
    <x v="165"/>
    <x v="185"/>
    <x v="0"/>
    <x v="1"/>
    <n v="67"/>
    <n v="47814"/>
    <n v="3203538"/>
    <n v="15"/>
    <x v="185"/>
  </r>
  <r>
    <s v="ORD10186"/>
    <x v="166"/>
    <x v="186"/>
    <x v="3"/>
    <x v="1"/>
    <n v="24"/>
    <n v="13298"/>
    <n v="319152"/>
    <n v="10"/>
    <x v="186"/>
  </r>
  <r>
    <s v="ORD10187"/>
    <x v="167"/>
    <x v="187"/>
    <x v="3"/>
    <x v="3"/>
    <n v="32"/>
    <n v="39746"/>
    <n v="1271872"/>
    <n v="5"/>
    <x v="187"/>
  </r>
  <r>
    <s v="ORD10188"/>
    <x v="168"/>
    <x v="188"/>
    <x v="3"/>
    <x v="1"/>
    <n v="19"/>
    <n v="13971"/>
    <n v="265449"/>
    <n v="10"/>
    <x v="188"/>
  </r>
  <r>
    <s v="ORD10189"/>
    <x v="169"/>
    <x v="189"/>
    <x v="0"/>
    <x v="4"/>
    <n v="79"/>
    <n v="27865"/>
    <n v="2201335"/>
    <n v="0"/>
    <x v="189"/>
  </r>
  <r>
    <s v="ORD10190"/>
    <x v="170"/>
    <x v="190"/>
    <x v="1"/>
    <x v="3"/>
    <n v="42"/>
    <n v="2532"/>
    <n v="106344"/>
    <n v="5"/>
    <x v="190"/>
  </r>
  <r>
    <s v="ORD10191"/>
    <x v="171"/>
    <x v="191"/>
    <x v="3"/>
    <x v="4"/>
    <n v="97"/>
    <n v="15413"/>
    <n v="1495061"/>
    <n v="10"/>
    <x v="191"/>
  </r>
  <r>
    <s v="ORD10192"/>
    <x v="172"/>
    <x v="192"/>
    <x v="0"/>
    <x v="1"/>
    <n v="64"/>
    <n v="40943"/>
    <n v="2620352"/>
    <n v="0"/>
    <x v="192"/>
  </r>
  <r>
    <s v="ORD10193"/>
    <x v="173"/>
    <x v="193"/>
    <x v="1"/>
    <x v="2"/>
    <n v="58"/>
    <n v="41341"/>
    <n v="2397778"/>
    <n v="5"/>
    <x v="193"/>
  </r>
  <r>
    <s v="ORD10194"/>
    <x v="174"/>
    <x v="194"/>
    <x v="3"/>
    <x v="3"/>
    <n v="31"/>
    <n v="12515"/>
    <n v="387965"/>
    <n v="15"/>
    <x v="194"/>
  </r>
  <r>
    <s v="ORD10195"/>
    <x v="175"/>
    <x v="195"/>
    <x v="2"/>
    <x v="1"/>
    <n v="89"/>
    <n v="10447"/>
    <n v="929783"/>
    <n v="5"/>
    <x v="195"/>
  </r>
  <r>
    <s v="ORD10196"/>
    <x v="176"/>
    <x v="196"/>
    <x v="0"/>
    <x v="1"/>
    <n v="85"/>
    <n v="47588"/>
    <n v="4044980"/>
    <n v="10"/>
    <x v="196"/>
  </r>
  <r>
    <s v="ORD10197"/>
    <x v="177"/>
    <x v="197"/>
    <x v="0"/>
    <x v="0"/>
    <n v="40"/>
    <n v="29083"/>
    <n v="1163320"/>
    <n v="10"/>
    <x v="197"/>
  </r>
  <r>
    <s v="ORD10198"/>
    <x v="102"/>
    <x v="198"/>
    <x v="0"/>
    <x v="3"/>
    <n v="22"/>
    <n v="43948"/>
    <n v="966856"/>
    <n v="0"/>
    <x v="198"/>
  </r>
  <r>
    <s v="ORD10199"/>
    <x v="178"/>
    <x v="199"/>
    <x v="3"/>
    <x v="1"/>
    <n v="53"/>
    <n v="10680"/>
    <n v="566040"/>
    <n v="0"/>
    <x v="199"/>
  </r>
  <r>
    <s v="ORD10200"/>
    <x v="179"/>
    <x v="200"/>
    <x v="3"/>
    <x v="3"/>
    <n v="10"/>
    <n v="30655"/>
    <n v="306550"/>
    <n v="5"/>
    <x v="200"/>
  </r>
  <r>
    <s v="ORD10201"/>
    <x v="180"/>
    <x v="201"/>
    <x v="1"/>
    <x v="2"/>
    <n v="40"/>
    <n v="14233"/>
    <n v="569320"/>
    <n v="15"/>
    <x v="201"/>
  </r>
  <r>
    <s v="ORD10202"/>
    <x v="59"/>
    <x v="202"/>
    <x v="1"/>
    <x v="0"/>
    <n v="21"/>
    <n v="27598"/>
    <n v="579558"/>
    <n v="10"/>
    <x v="202"/>
  </r>
  <r>
    <s v="ORD10203"/>
    <x v="181"/>
    <x v="203"/>
    <x v="3"/>
    <x v="3"/>
    <n v="32"/>
    <n v="23075"/>
    <n v="738400"/>
    <n v="0"/>
    <x v="203"/>
  </r>
  <r>
    <s v="ORD10204"/>
    <x v="139"/>
    <x v="204"/>
    <x v="3"/>
    <x v="1"/>
    <n v="23"/>
    <n v="36615"/>
    <n v="842145"/>
    <n v="10"/>
    <x v="204"/>
  </r>
  <r>
    <s v="ORD10205"/>
    <x v="182"/>
    <x v="205"/>
    <x v="0"/>
    <x v="3"/>
    <n v="94"/>
    <n v="45923"/>
    <n v="4316762"/>
    <n v="15"/>
    <x v="205"/>
  </r>
  <r>
    <s v="ORD10206"/>
    <x v="183"/>
    <x v="206"/>
    <x v="0"/>
    <x v="3"/>
    <n v="15"/>
    <n v="39460"/>
    <n v="591900"/>
    <n v="10"/>
    <x v="206"/>
  </r>
  <r>
    <s v="ORD10207"/>
    <x v="63"/>
    <x v="207"/>
    <x v="1"/>
    <x v="3"/>
    <n v="57"/>
    <n v="45796"/>
    <n v="2610372"/>
    <n v="5"/>
    <x v="207"/>
  </r>
  <r>
    <s v="ORD10208"/>
    <x v="184"/>
    <x v="208"/>
    <x v="1"/>
    <x v="0"/>
    <n v="57"/>
    <n v="40194"/>
    <n v="2291058"/>
    <n v="10"/>
    <x v="208"/>
  </r>
  <r>
    <s v="ORD10209"/>
    <x v="185"/>
    <x v="50"/>
    <x v="0"/>
    <x v="4"/>
    <n v="94"/>
    <n v="10665"/>
    <n v="1002510"/>
    <n v="10"/>
    <x v="209"/>
  </r>
  <r>
    <s v="ORD10210"/>
    <x v="186"/>
    <x v="209"/>
    <x v="2"/>
    <x v="2"/>
    <n v="62"/>
    <n v="35861"/>
    <n v="2223382"/>
    <n v="10"/>
    <x v="210"/>
  </r>
  <r>
    <s v="ORD10211"/>
    <x v="187"/>
    <x v="210"/>
    <x v="1"/>
    <x v="0"/>
    <n v="40"/>
    <n v="11299"/>
    <n v="451960"/>
    <n v="10"/>
    <x v="211"/>
  </r>
  <r>
    <s v="ORD10212"/>
    <x v="188"/>
    <x v="211"/>
    <x v="3"/>
    <x v="4"/>
    <n v="82"/>
    <n v="25667"/>
    <n v="2104694"/>
    <n v="10"/>
    <x v="212"/>
  </r>
  <r>
    <s v="ORD10213"/>
    <x v="189"/>
    <x v="212"/>
    <x v="0"/>
    <x v="4"/>
    <n v="94"/>
    <n v="13532"/>
    <n v="1272008"/>
    <n v="15"/>
    <x v="213"/>
  </r>
  <r>
    <s v="ORD10214"/>
    <x v="190"/>
    <x v="213"/>
    <x v="3"/>
    <x v="1"/>
    <n v="70"/>
    <n v="30934"/>
    <n v="2165380"/>
    <n v="5"/>
    <x v="214"/>
  </r>
  <r>
    <s v="ORD10215"/>
    <x v="181"/>
    <x v="214"/>
    <x v="0"/>
    <x v="3"/>
    <n v="92"/>
    <n v="19035"/>
    <n v="1751220"/>
    <n v="5"/>
    <x v="215"/>
  </r>
  <r>
    <s v="ORD10216"/>
    <x v="191"/>
    <x v="215"/>
    <x v="3"/>
    <x v="0"/>
    <n v="34"/>
    <n v="31457"/>
    <n v="1069538"/>
    <n v="10"/>
    <x v="216"/>
  </r>
  <r>
    <s v="ORD10217"/>
    <x v="192"/>
    <x v="216"/>
    <x v="2"/>
    <x v="4"/>
    <n v="61"/>
    <n v="44954"/>
    <n v="2742194"/>
    <n v="0"/>
    <x v="217"/>
  </r>
  <r>
    <s v="ORD10218"/>
    <x v="193"/>
    <x v="217"/>
    <x v="1"/>
    <x v="3"/>
    <n v="85"/>
    <n v="19417"/>
    <n v="1650445"/>
    <n v="0"/>
    <x v="218"/>
  </r>
  <r>
    <s v="ORD10219"/>
    <x v="194"/>
    <x v="218"/>
    <x v="0"/>
    <x v="2"/>
    <n v="88"/>
    <n v="16158"/>
    <n v="1421904"/>
    <n v="10"/>
    <x v="219"/>
  </r>
  <r>
    <s v="ORD10220"/>
    <x v="195"/>
    <x v="219"/>
    <x v="3"/>
    <x v="3"/>
    <n v="51"/>
    <n v="46721"/>
    <n v="2382771"/>
    <n v="0"/>
    <x v="220"/>
  </r>
  <r>
    <s v="ORD10221"/>
    <x v="196"/>
    <x v="220"/>
    <x v="3"/>
    <x v="3"/>
    <n v="4"/>
    <n v="24246"/>
    <n v="96984"/>
    <n v="15"/>
    <x v="221"/>
  </r>
  <r>
    <s v="ORD10222"/>
    <x v="84"/>
    <x v="221"/>
    <x v="0"/>
    <x v="4"/>
    <n v="33"/>
    <n v="44219"/>
    <n v="1459227"/>
    <n v="15"/>
    <x v="222"/>
  </r>
  <r>
    <s v="ORD10223"/>
    <x v="197"/>
    <x v="222"/>
    <x v="0"/>
    <x v="2"/>
    <n v="63"/>
    <n v="31993"/>
    <n v="2015559"/>
    <n v="0"/>
    <x v="223"/>
  </r>
  <r>
    <s v="ORD10224"/>
    <x v="198"/>
    <x v="223"/>
    <x v="2"/>
    <x v="0"/>
    <n v="25"/>
    <n v="28815"/>
    <n v="720375"/>
    <n v="15"/>
    <x v="224"/>
  </r>
  <r>
    <s v="ORD10225"/>
    <x v="199"/>
    <x v="224"/>
    <x v="0"/>
    <x v="2"/>
    <n v="98"/>
    <n v="38347"/>
    <n v="3758006"/>
    <n v="15"/>
    <x v="225"/>
  </r>
  <r>
    <s v="ORD10226"/>
    <x v="200"/>
    <x v="225"/>
    <x v="1"/>
    <x v="1"/>
    <n v="26"/>
    <n v="45392"/>
    <n v="1180192"/>
    <n v="10"/>
    <x v="226"/>
  </r>
  <r>
    <s v="ORD10227"/>
    <x v="201"/>
    <x v="226"/>
    <x v="3"/>
    <x v="0"/>
    <n v="55"/>
    <n v="32454"/>
    <n v="1784970"/>
    <n v="15"/>
    <x v="227"/>
  </r>
  <r>
    <s v="ORD10228"/>
    <x v="202"/>
    <x v="227"/>
    <x v="1"/>
    <x v="3"/>
    <n v="54"/>
    <n v="41821"/>
    <n v="2258334"/>
    <n v="15"/>
    <x v="228"/>
  </r>
  <r>
    <s v="ORD10229"/>
    <x v="203"/>
    <x v="228"/>
    <x v="0"/>
    <x v="0"/>
    <n v="52"/>
    <n v="2189"/>
    <n v="113828"/>
    <n v="5"/>
    <x v="229"/>
  </r>
  <r>
    <s v="ORD10230"/>
    <x v="193"/>
    <x v="229"/>
    <x v="0"/>
    <x v="2"/>
    <n v="33"/>
    <n v="43688"/>
    <n v="1441704"/>
    <n v="15"/>
    <x v="230"/>
  </r>
  <r>
    <s v="ORD10231"/>
    <x v="204"/>
    <x v="230"/>
    <x v="3"/>
    <x v="2"/>
    <n v="36"/>
    <n v="33526"/>
    <n v="1206936"/>
    <n v="15"/>
    <x v="231"/>
  </r>
  <r>
    <s v="ORD10232"/>
    <x v="205"/>
    <x v="231"/>
    <x v="2"/>
    <x v="1"/>
    <n v="92"/>
    <n v="21197"/>
    <n v="1950124"/>
    <n v="0"/>
    <x v="232"/>
  </r>
  <r>
    <s v="ORD10233"/>
    <x v="206"/>
    <x v="232"/>
    <x v="3"/>
    <x v="0"/>
    <n v="41"/>
    <n v="49490"/>
    <n v="2029090"/>
    <n v="15"/>
    <x v="233"/>
  </r>
  <r>
    <s v="ORD10234"/>
    <x v="207"/>
    <x v="233"/>
    <x v="1"/>
    <x v="2"/>
    <n v="67"/>
    <n v="9068"/>
    <n v="607556"/>
    <n v="10"/>
    <x v="234"/>
  </r>
  <r>
    <s v="ORD10235"/>
    <x v="181"/>
    <x v="234"/>
    <x v="0"/>
    <x v="4"/>
    <n v="70"/>
    <n v="1914"/>
    <n v="133980"/>
    <n v="5"/>
    <x v="235"/>
  </r>
  <r>
    <s v="ORD10236"/>
    <x v="172"/>
    <x v="235"/>
    <x v="2"/>
    <x v="1"/>
    <n v="52"/>
    <n v="43417"/>
    <n v="2257684"/>
    <n v="15"/>
    <x v="236"/>
  </r>
  <r>
    <s v="ORD10237"/>
    <x v="208"/>
    <x v="236"/>
    <x v="3"/>
    <x v="3"/>
    <n v="42"/>
    <n v="14096"/>
    <n v="592032"/>
    <n v="10"/>
    <x v="237"/>
  </r>
  <r>
    <s v="ORD10238"/>
    <x v="209"/>
    <x v="237"/>
    <x v="3"/>
    <x v="4"/>
    <n v="35"/>
    <n v="26627"/>
    <n v="931945"/>
    <n v="5"/>
    <x v="238"/>
  </r>
  <r>
    <s v="ORD10239"/>
    <x v="210"/>
    <x v="238"/>
    <x v="3"/>
    <x v="4"/>
    <n v="67"/>
    <n v="46398"/>
    <n v="3108666"/>
    <n v="15"/>
    <x v="239"/>
  </r>
  <r>
    <s v="ORD10240"/>
    <x v="210"/>
    <x v="239"/>
    <x v="0"/>
    <x v="2"/>
    <n v="59"/>
    <n v="16217"/>
    <n v="956803"/>
    <n v="0"/>
    <x v="240"/>
  </r>
  <r>
    <s v="ORD10241"/>
    <x v="211"/>
    <x v="240"/>
    <x v="0"/>
    <x v="4"/>
    <n v="95"/>
    <n v="35029"/>
    <n v="3327755"/>
    <n v="5"/>
    <x v="241"/>
  </r>
  <r>
    <s v="ORD10242"/>
    <x v="212"/>
    <x v="241"/>
    <x v="2"/>
    <x v="2"/>
    <n v="18"/>
    <n v="29731"/>
    <n v="535158"/>
    <n v="15"/>
    <x v="242"/>
  </r>
  <r>
    <s v="ORD10243"/>
    <x v="213"/>
    <x v="242"/>
    <x v="0"/>
    <x v="2"/>
    <n v="87"/>
    <n v="17706"/>
    <n v="1540422"/>
    <n v="5"/>
    <x v="243"/>
  </r>
  <r>
    <s v="ORD10244"/>
    <x v="200"/>
    <x v="243"/>
    <x v="3"/>
    <x v="4"/>
    <n v="73"/>
    <n v="33052"/>
    <n v="2412796"/>
    <n v="0"/>
    <x v="244"/>
  </r>
  <r>
    <s v="ORD10245"/>
    <x v="214"/>
    <x v="244"/>
    <x v="3"/>
    <x v="3"/>
    <n v="61"/>
    <n v="2278"/>
    <n v="138958"/>
    <n v="0"/>
    <x v="245"/>
  </r>
  <r>
    <s v="ORD10246"/>
    <x v="215"/>
    <x v="245"/>
    <x v="3"/>
    <x v="0"/>
    <n v="82"/>
    <n v="24133"/>
    <n v="1978906"/>
    <n v="10"/>
    <x v="246"/>
  </r>
  <r>
    <s v="ORD10247"/>
    <x v="216"/>
    <x v="246"/>
    <x v="0"/>
    <x v="2"/>
    <n v="94"/>
    <n v="46662"/>
    <n v="4386228"/>
    <n v="0"/>
    <x v="247"/>
  </r>
  <r>
    <s v="ORD10248"/>
    <x v="217"/>
    <x v="247"/>
    <x v="1"/>
    <x v="1"/>
    <n v="40"/>
    <n v="23032"/>
    <n v="921280"/>
    <n v="0"/>
    <x v="248"/>
  </r>
  <r>
    <s v="ORD10249"/>
    <x v="218"/>
    <x v="248"/>
    <x v="1"/>
    <x v="2"/>
    <n v="95"/>
    <n v="27808"/>
    <n v="2641760"/>
    <n v="10"/>
    <x v="249"/>
  </r>
  <r>
    <s v="ORD10250"/>
    <x v="37"/>
    <x v="249"/>
    <x v="1"/>
    <x v="2"/>
    <n v="39"/>
    <n v="40705"/>
    <n v="1587495"/>
    <n v="5"/>
    <x v="250"/>
  </r>
  <r>
    <s v="ORD10251"/>
    <x v="89"/>
    <x v="250"/>
    <x v="1"/>
    <x v="4"/>
    <n v="54"/>
    <n v="3445"/>
    <n v="186030"/>
    <n v="15"/>
    <x v="251"/>
  </r>
  <r>
    <s v="ORD10252"/>
    <x v="219"/>
    <x v="251"/>
    <x v="3"/>
    <x v="4"/>
    <n v="8"/>
    <n v="47929"/>
    <n v="383432"/>
    <n v="5"/>
    <x v="252"/>
  </r>
  <r>
    <s v="ORD10253"/>
    <x v="220"/>
    <x v="252"/>
    <x v="2"/>
    <x v="4"/>
    <n v="69"/>
    <n v="28317"/>
    <n v="1953873"/>
    <n v="15"/>
    <x v="253"/>
  </r>
  <r>
    <s v="ORD10254"/>
    <x v="221"/>
    <x v="253"/>
    <x v="0"/>
    <x v="2"/>
    <n v="89"/>
    <n v="7426"/>
    <n v="660914"/>
    <n v="10"/>
    <x v="254"/>
  </r>
  <r>
    <s v="ORD10255"/>
    <x v="222"/>
    <x v="254"/>
    <x v="0"/>
    <x v="2"/>
    <n v="50"/>
    <n v="8102"/>
    <n v="405100"/>
    <n v="0"/>
    <x v="255"/>
  </r>
  <r>
    <s v="ORD10256"/>
    <x v="223"/>
    <x v="255"/>
    <x v="0"/>
    <x v="3"/>
    <n v="68"/>
    <n v="49634"/>
    <n v="3375112"/>
    <n v="10"/>
    <x v="256"/>
  </r>
  <r>
    <s v="ORD10257"/>
    <x v="103"/>
    <x v="256"/>
    <x v="0"/>
    <x v="1"/>
    <n v="59"/>
    <n v="40969"/>
    <n v="2417171"/>
    <n v="10"/>
    <x v="257"/>
  </r>
  <r>
    <s v="ORD10258"/>
    <x v="224"/>
    <x v="257"/>
    <x v="1"/>
    <x v="4"/>
    <n v="15"/>
    <n v="26318"/>
    <n v="394770"/>
    <n v="0"/>
    <x v="258"/>
  </r>
  <r>
    <s v="ORD10259"/>
    <x v="225"/>
    <x v="258"/>
    <x v="3"/>
    <x v="4"/>
    <n v="68"/>
    <n v="48720"/>
    <n v="3312960"/>
    <n v="0"/>
    <x v="259"/>
  </r>
  <r>
    <s v="ORD10260"/>
    <x v="226"/>
    <x v="259"/>
    <x v="2"/>
    <x v="0"/>
    <n v="70"/>
    <n v="23673"/>
    <n v="1657110"/>
    <n v="15"/>
    <x v="260"/>
  </r>
  <r>
    <s v="ORD10261"/>
    <x v="227"/>
    <x v="260"/>
    <x v="1"/>
    <x v="4"/>
    <n v="50"/>
    <n v="6386"/>
    <n v="319300"/>
    <n v="0"/>
    <x v="261"/>
  </r>
  <r>
    <s v="ORD10262"/>
    <x v="228"/>
    <x v="261"/>
    <x v="0"/>
    <x v="1"/>
    <n v="49"/>
    <n v="1304"/>
    <n v="63896"/>
    <n v="10"/>
    <x v="262"/>
  </r>
  <r>
    <s v="ORD10263"/>
    <x v="229"/>
    <x v="262"/>
    <x v="1"/>
    <x v="3"/>
    <n v="24"/>
    <n v="38863"/>
    <n v="932712"/>
    <n v="15"/>
    <x v="263"/>
  </r>
  <r>
    <s v="ORD10264"/>
    <x v="206"/>
    <x v="263"/>
    <x v="3"/>
    <x v="2"/>
    <n v="32"/>
    <n v="30537"/>
    <n v="977184"/>
    <n v="15"/>
    <x v="264"/>
  </r>
  <r>
    <s v="ORD10265"/>
    <x v="230"/>
    <x v="264"/>
    <x v="1"/>
    <x v="4"/>
    <n v="74"/>
    <n v="29868"/>
    <n v="2210232"/>
    <n v="10"/>
    <x v="265"/>
  </r>
  <r>
    <s v="ORD10266"/>
    <x v="231"/>
    <x v="265"/>
    <x v="3"/>
    <x v="4"/>
    <n v="70"/>
    <n v="41762"/>
    <n v="2923340"/>
    <n v="15"/>
    <x v="266"/>
  </r>
  <r>
    <s v="ORD10267"/>
    <x v="232"/>
    <x v="266"/>
    <x v="3"/>
    <x v="0"/>
    <n v="43"/>
    <n v="46905"/>
    <n v="2016915"/>
    <n v="5"/>
    <x v="267"/>
  </r>
  <r>
    <s v="ORD10268"/>
    <x v="233"/>
    <x v="267"/>
    <x v="2"/>
    <x v="2"/>
    <n v="38"/>
    <n v="25333"/>
    <n v="962654"/>
    <n v="5"/>
    <x v="268"/>
  </r>
  <r>
    <s v="ORD10269"/>
    <x v="96"/>
    <x v="268"/>
    <x v="0"/>
    <x v="4"/>
    <n v="89"/>
    <n v="2730"/>
    <n v="242970"/>
    <n v="0"/>
    <x v="269"/>
  </r>
  <r>
    <s v="ORD10270"/>
    <x v="130"/>
    <x v="269"/>
    <x v="3"/>
    <x v="1"/>
    <n v="22"/>
    <n v="31586"/>
    <n v="694892"/>
    <n v="0"/>
    <x v="270"/>
  </r>
  <r>
    <s v="ORD10271"/>
    <x v="234"/>
    <x v="270"/>
    <x v="1"/>
    <x v="1"/>
    <n v="67"/>
    <n v="12661"/>
    <n v="848287"/>
    <n v="5"/>
    <x v="271"/>
  </r>
  <r>
    <s v="ORD10272"/>
    <x v="156"/>
    <x v="271"/>
    <x v="0"/>
    <x v="0"/>
    <n v="5"/>
    <n v="26567"/>
    <n v="132835"/>
    <n v="15"/>
    <x v="272"/>
  </r>
  <r>
    <s v="ORD10273"/>
    <x v="38"/>
    <x v="272"/>
    <x v="3"/>
    <x v="4"/>
    <n v="63"/>
    <n v="27100"/>
    <n v="1707300"/>
    <n v="15"/>
    <x v="24"/>
  </r>
  <r>
    <s v="ORD10274"/>
    <x v="235"/>
    <x v="273"/>
    <x v="0"/>
    <x v="3"/>
    <n v="69"/>
    <n v="36051"/>
    <n v="2487519"/>
    <n v="0"/>
    <x v="273"/>
  </r>
  <r>
    <s v="ORD10275"/>
    <x v="236"/>
    <x v="274"/>
    <x v="2"/>
    <x v="3"/>
    <n v="58"/>
    <n v="47971"/>
    <n v="2782318"/>
    <n v="10"/>
    <x v="274"/>
  </r>
  <r>
    <s v="ORD10276"/>
    <x v="149"/>
    <x v="275"/>
    <x v="2"/>
    <x v="2"/>
    <n v="75"/>
    <n v="40230"/>
    <n v="3017250"/>
    <n v="15"/>
    <x v="275"/>
  </r>
  <r>
    <s v="ORD10277"/>
    <x v="237"/>
    <x v="276"/>
    <x v="2"/>
    <x v="3"/>
    <n v="69"/>
    <n v="15953"/>
    <n v="1100757"/>
    <n v="5"/>
    <x v="276"/>
  </r>
  <r>
    <s v="ORD10278"/>
    <x v="238"/>
    <x v="277"/>
    <x v="1"/>
    <x v="1"/>
    <n v="75"/>
    <n v="11492"/>
    <n v="861900"/>
    <n v="5"/>
    <x v="277"/>
  </r>
  <r>
    <s v="ORD10279"/>
    <x v="239"/>
    <x v="278"/>
    <x v="1"/>
    <x v="2"/>
    <n v="37"/>
    <n v="13910"/>
    <n v="514670"/>
    <n v="0"/>
    <x v="278"/>
  </r>
  <r>
    <s v="ORD10280"/>
    <x v="147"/>
    <x v="279"/>
    <x v="1"/>
    <x v="0"/>
    <n v="93"/>
    <n v="10247"/>
    <n v="952971"/>
    <n v="10"/>
    <x v="279"/>
  </r>
  <r>
    <s v="ORD10281"/>
    <x v="240"/>
    <x v="280"/>
    <x v="3"/>
    <x v="0"/>
    <n v="62"/>
    <n v="24485"/>
    <n v="1518070"/>
    <n v="5"/>
    <x v="280"/>
  </r>
  <r>
    <s v="ORD10282"/>
    <x v="241"/>
    <x v="281"/>
    <x v="0"/>
    <x v="3"/>
    <n v="54"/>
    <n v="24357"/>
    <n v="1315278"/>
    <n v="0"/>
    <x v="281"/>
  </r>
  <r>
    <s v="ORD10283"/>
    <x v="242"/>
    <x v="282"/>
    <x v="1"/>
    <x v="3"/>
    <n v="30"/>
    <n v="44654"/>
    <n v="1339620"/>
    <n v="15"/>
    <x v="282"/>
  </r>
  <r>
    <s v="ORD10284"/>
    <x v="243"/>
    <x v="283"/>
    <x v="1"/>
    <x v="0"/>
    <n v="79"/>
    <n v="21701"/>
    <n v="1714379"/>
    <n v="0"/>
    <x v="283"/>
  </r>
  <r>
    <s v="ORD10285"/>
    <x v="244"/>
    <x v="284"/>
    <x v="0"/>
    <x v="0"/>
    <n v="32"/>
    <n v="39324"/>
    <n v="1258368"/>
    <n v="5"/>
    <x v="284"/>
  </r>
  <r>
    <s v="ORD10286"/>
    <x v="245"/>
    <x v="285"/>
    <x v="0"/>
    <x v="0"/>
    <n v="85"/>
    <n v="38829"/>
    <n v="3300465"/>
    <n v="10"/>
    <x v="285"/>
  </r>
  <r>
    <s v="ORD10287"/>
    <x v="246"/>
    <x v="286"/>
    <x v="0"/>
    <x v="0"/>
    <n v="31"/>
    <n v="18830"/>
    <n v="583730"/>
    <n v="0"/>
    <x v="286"/>
  </r>
  <r>
    <s v="ORD10288"/>
    <x v="247"/>
    <x v="287"/>
    <x v="2"/>
    <x v="0"/>
    <n v="67"/>
    <n v="16716"/>
    <n v="1119972"/>
    <n v="0"/>
    <x v="287"/>
  </r>
  <r>
    <s v="ORD10289"/>
    <x v="248"/>
    <x v="288"/>
    <x v="3"/>
    <x v="2"/>
    <n v="9"/>
    <n v="24925"/>
    <n v="224325"/>
    <n v="15"/>
    <x v="288"/>
  </r>
  <r>
    <s v="ORD10290"/>
    <x v="249"/>
    <x v="289"/>
    <x v="3"/>
    <x v="1"/>
    <n v="45"/>
    <n v="33052"/>
    <n v="1487340"/>
    <n v="5"/>
    <x v="289"/>
  </r>
  <r>
    <s v="ORD10291"/>
    <x v="250"/>
    <x v="290"/>
    <x v="1"/>
    <x v="1"/>
    <n v="35"/>
    <n v="27856"/>
    <n v="974960"/>
    <n v="10"/>
    <x v="290"/>
  </r>
  <r>
    <s v="ORD10292"/>
    <x v="251"/>
    <x v="291"/>
    <x v="2"/>
    <x v="4"/>
    <n v="79"/>
    <n v="13149"/>
    <n v="1038771"/>
    <n v="10"/>
    <x v="291"/>
  </r>
  <r>
    <s v="ORD10293"/>
    <x v="252"/>
    <x v="292"/>
    <x v="2"/>
    <x v="4"/>
    <n v="76"/>
    <n v="45929"/>
    <n v="3490604"/>
    <n v="15"/>
    <x v="292"/>
  </r>
  <r>
    <s v="ORD10294"/>
    <x v="253"/>
    <x v="293"/>
    <x v="3"/>
    <x v="2"/>
    <n v="3"/>
    <n v="34354"/>
    <n v="103062"/>
    <n v="0"/>
    <x v="293"/>
  </r>
  <r>
    <s v="ORD10295"/>
    <x v="79"/>
    <x v="294"/>
    <x v="3"/>
    <x v="0"/>
    <n v="33"/>
    <n v="34911"/>
    <n v="1152063"/>
    <n v="5"/>
    <x v="294"/>
  </r>
  <r>
    <s v="ORD10296"/>
    <x v="254"/>
    <x v="295"/>
    <x v="2"/>
    <x v="2"/>
    <n v="35"/>
    <n v="574"/>
    <n v="20090"/>
    <n v="10"/>
    <x v="295"/>
  </r>
  <r>
    <s v="ORD10297"/>
    <x v="119"/>
    <x v="296"/>
    <x v="0"/>
    <x v="1"/>
    <n v="83"/>
    <n v="18051"/>
    <n v="1498233"/>
    <n v="15"/>
    <x v="296"/>
  </r>
  <r>
    <s v="ORD10298"/>
    <x v="79"/>
    <x v="224"/>
    <x v="2"/>
    <x v="1"/>
    <n v="19"/>
    <n v="28473"/>
    <n v="540987"/>
    <n v="5"/>
    <x v="297"/>
  </r>
  <r>
    <s v="ORD10299"/>
    <x v="255"/>
    <x v="297"/>
    <x v="0"/>
    <x v="4"/>
    <n v="95"/>
    <n v="19963"/>
    <n v="1896485"/>
    <n v="0"/>
    <x v="2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832CCE-CE82-4EE8-8FFD-1A0C8AE27700}"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127:D129" firstHeaderRow="1" firstDataRow="1" firstDataCol="1"/>
  <pivotFields count="13">
    <pivotField showAll="0"/>
    <pivotField numFmtId="164" showAll="0">
      <items count="257">
        <item x="100"/>
        <item x="162"/>
        <item x="133"/>
        <item x="244"/>
        <item x="226"/>
        <item x="71"/>
        <item x="143"/>
        <item x="57"/>
        <item x="228"/>
        <item x="191"/>
        <item x="54"/>
        <item x="126"/>
        <item x="239"/>
        <item x="41"/>
        <item x="68"/>
        <item x="164"/>
        <item x="6"/>
        <item x="13"/>
        <item x="128"/>
        <item x="65"/>
        <item x="82"/>
        <item x="206"/>
        <item x="84"/>
        <item x="169"/>
        <item x="136"/>
        <item x="253"/>
        <item x="232"/>
        <item x="79"/>
        <item x="141"/>
        <item x="227"/>
        <item x="198"/>
        <item x="241"/>
        <item x="97"/>
        <item x="194"/>
        <item x="233"/>
        <item x="104"/>
        <item x="86"/>
        <item x="165"/>
        <item x="59"/>
        <item x="77"/>
        <item x="8"/>
        <item x="218"/>
        <item x="78"/>
        <item x="33"/>
        <item x="152"/>
        <item x="173"/>
        <item x="243"/>
        <item x="4"/>
        <item x="224"/>
        <item x="175"/>
        <item x="230"/>
        <item x="231"/>
        <item x="30"/>
        <item x="119"/>
        <item x="135"/>
        <item x="44"/>
        <item x="225"/>
        <item x="67"/>
        <item x="117"/>
        <item x="251"/>
        <item x="214"/>
        <item x="27"/>
        <item x="190"/>
        <item x="98"/>
        <item x="240"/>
        <item x="154"/>
        <item x="31"/>
        <item x="166"/>
        <item x="124"/>
        <item x="250"/>
        <item x="102"/>
        <item x="80"/>
        <item x="219"/>
        <item x="16"/>
        <item x="156"/>
        <item x="53"/>
        <item x="147"/>
        <item x="0"/>
        <item x="177"/>
        <item x="88"/>
        <item x="14"/>
        <item x="254"/>
        <item x="56"/>
        <item x="252"/>
        <item x="90"/>
        <item x="55"/>
        <item x="62"/>
        <item x="50"/>
        <item x="211"/>
        <item x="220"/>
        <item x="171"/>
        <item x="146"/>
        <item x="48"/>
        <item x="60"/>
        <item x="142"/>
        <item x="29"/>
        <item x="130"/>
        <item x="74"/>
        <item x="170"/>
        <item x="7"/>
        <item x="11"/>
        <item x="118"/>
        <item x="209"/>
        <item x="40"/>
        <item x="101"/>
        <item x="127"/>
        <item x="34"/>
        <item x="184"/>
        <item x="234"/>
        <item x="87"/>
        <item x="110"/>
        <item x="108"/>
        <item x="237"/>
        <item x="168"/>
        <item x="174"/>
        <item x="38"/>
        <item x="43"/>
        <item x="52"/>
        <item x="20"/>
        <item x="2"/>
        <item x="94"/>
        <item x="23"/>
        <item x="113"/>
        <item x="248"/>
        <item x="75"/>
        <item x="178"/>
        <item x="91"/>
        <item x="242"/>
        <item x="238"/>
        <item x="39"/>
        <item x="120"/>
        <item x="167"/>
        <item x="197"/>
        <item x="144"/>
        <item x="72"/>
        <item x="221"/>
        <item x="192"/>
        <item x="176"/>
        <item x="153"/>
        <item x="49"/>
        <item x="151"/>
        <item x="63"/>
        <item x="212"/>
        <item x="208"/>
        <item x="46"/>
        <item x="181"/>
        <item x="216"/>
        <item x="5"/>
        <item x="85"/>
        <item x="255"/>
        <item x="200"/>
        <item x="25"/>
        <item x="106"/>
        <item x="122"/>
        <item x="158"/>
        <item x="229"/>
        <item x="116"/>
        <item x="195"/>
        <item x="161"/>
        <item x="172"/>
        <item x="58"/>
        <item x="150"/>
        <item x="96"/>
        <item x="159"/>
        <item x="64"/>
        <item x="247"/>
        <item x="145"/>
        <item x="180"/>
        <item x="235"/>
        <item x="134"/>
        <item x="205"/>
        <item x="188"/>
        <item x="19"/>
        <item x="223"/>
        <item x="202"/>
        <item x="131"/>
        <item x="42"/>
        <item x="236"/>
        <item x="21"/>
        <item x="121"/>
        <item x="245"/>
        <item x="103"/>
        <item x="89"/>
        <item x="73"/>
        <item x="26"/>
        <item x="112"/>
        <item x="199"/>
        <item x="109"/>
        <item x="160"/>
        <item x="179"/>
        <item x="203"/>
        <item x="210"/>
        <item x="207"/>
        <item x="83"/>
        <item x="129"/>
        <item x="76"/>
        <item x="93"/>
        <item x="246"/>
        <item x="189"/>
        <item x="222"/>
        <item x="17"/>
        <item x="10"/>
        <item x="99"/>
        <item x="183"/>
        <item x="107"/>
        <item x="36"/>
        <item x="215"/>
        <item x="69"/>
        <item x="66"/>
        <item x="3"/>
        <item x="24"/>
        <item x="157"/>
        <item x="51"/>
        <item x="217"/>
        <item x="193"/>
        <item x="187"/>
        <item x="22"/>
        <item x="9"/>
        <item x="12"/>
        <item x="114"/>
        <item x="137"/>
        <item x="163"/>
        <item x="37"/>
        <item x="115"/>
        <item x="249"/>
        <item x="132"/>
        <item x="81"/>
        <item x="125"/>
        <item x="182"/>
        <item x="15"/>
        <item x="95"/>
        <item x="45"/>
        <item x="213"/>
        <item x="185"/>
        <item x="105"/>
        <item x="35"/>
        <item x="204"/>
        <item x="111"/>
        <item x="138"/>
        <item x="61"/>
        <item x="140"/>
        <item x="1"/>
        <item x="155"/>
        <item x="123"/>
        <item x="186"/>
        <item x="149"/>
        <item x="196"/>
        <item x="139"/>
        <item x="148"/>
        <item x="32"/>
        <item x="47"/>
        <item x="18"/>
        <item x="28"/>
        <item x="70"/>
        <item x="201"/>
        <item x="92"/>
        <item t="default"/>
      </items>
    </pivotField>
    <pivotField showAll="0" measureFilter="1" sortType="descending">
      <items count="299">
        <item x="134"/>
        <item x="94"/>
        <item x="199"/>
        <item x="91"/>
        <item x="157"/>
        <item x="256"/>
        <item x="243"/>
        <item x="44"/>
        <item x="67"/>
        <item x="39"/>
        <item x="215"/>
        <item x="145"/>
        <item x="171"/>
        <item x="297"/>
        <item x="112"/>
        <item x="211"/>
        <item x="38"/>
        <item x="106"/>
        <item x="281"/>
        <item x="289"/>
        <item x="2"/>
        <item x="264"/>
        <item x="22"/>
        <item x="139"/>
        <item x="97"/>
        <item x="40"/>
        <item x="260"/>
        <item x="294"/>
        <item x="15"/>
        <item x="72"/>
        <item x="172"/>
        <item x="170"/>
        <item x="271"/>
        <item x="235"/>
        <item x="11"/>
        <item x="16"/>
        <item x="247"/>
        <item x="216"/>
        <item x="176"/>
        <item x="184"/>
        <item x="146"/>
        <item x="175"/>
        <item x="279"/>
        <item x="192"/>
        <item x="147"/>
        <item x="58"/>
        <item x="189"/>
        <item x="131"/>
        <item x="49"/>
        <item x="136"/>
        <item x="8"/>
        <item x="270"/>
        <item x="253"/>
        <item x="79"/>
        <item x="120"/>
        <item x="86"/>
        <item x="262"/>
        <item x="205"/>
        <item x="178"/>
        <item x="151"/>
        <item x="201"/>
        <item x="261"/>
        <item x="276"/>
        <item x="80"/>
        <item x="190"/>
        <item x="47"/>
        <item x="160"/>
        <item x="233"/>
        <item x="283"/>
        <item x="81"/>
        <item x="51"/>
        <item x="168"/>
        <item x="287"/>
        <item x="33"/>
        <item x="288"/>
        <item x="198"/>
        <item x="62"/>
        <item x="82"/>
        <item x="73"/>
        <item x="0"/>
        <item x="193"/>
        <item x="124"/>
        <item x="135"/>
        <item x="115"/>
        <item x="210"/>
        <item x="144"/>
        <item x="142"/>
        <item x="251"/>
        <item x="113"/>
        <item x="238"/>
        <item x="166"/>
        <item x="181"/>
        <item x="269"/>
        <item x="95"/>
        <item x="27"/>
        <item x="244"/>
        <item x="76"/>
        <item x="296"/>
        <item x="293"/>
        <item x="231"/>
        <item x="18"/>
        <item x="66"/>
        <item x="64"/>
        <item x="100"/>
        <item x="218"/>
        <item x="239"/>
        <item x="78"/>
        <item x="156"/>
        <item x="29"/>
        <item x="65"/>
        <item x="111"/>
        <item x="56"/>
        <item x="202"/>
        <item x="119"/>
        <item x="182"/>
        <item x="230"/>
        <item x="203"/>
        <item x="290"/>
        <item x="284"/>
        <item x="36"/>
        <item x="159"/>
        <item x="130"/>
        <item x="173"/>
        <item x="154"/>
        <item x="37"/>
        <item x="90"/>
        <item x="266"/>
        <item x="25"/>
        <item x="204"/>
        <item x="50"/>
        <item x="109"/>
        <item x="108"/>
        <item x="185"/>
        <item x="48"/>
        <item x="126"/>
        <item x="267"/>
        <item x="282"/>
        <item x="225"/>
        <item x="14"/>
        <item x="212"/>
        <item x="87"/>
        <item x="169"/>
        <item x="155"/>
        <item x="52"/>
        <item x="104"/>
        <item x="263"/>
        <item x="207"/>
        <item x="191"/>
        <item x="213"/>
        <item x="141"/>
        <item x="152"/>
        <item x="179"/>
        <item x="45"/>
        <item x="35"/>
        <item x="286"/>
        <item x="255"/>
        <item x="149"/>
        <item x="55"/>
        <item x="177"/>
        <item x="265"/>
        <item x="161"/>
        <item x="272"/>
        <item x="229"/>
        <item x="222"/>
        <item x="162"/>
        <item x="117"/>
        <item x="165"/>
        <item x="241"/>
        <item x="28"/>
        <item x="197"/>
        <item x="268"/>
        <item x="92"/>
        <item x="53"/>
        <item x="140"/>
        <item x="291"/>
        <item x="41"/>
        <item x="128"/>
        <item x="242"/>
        <item x="17"/>
        <item x="249"/>
        <item x="68"/>
        <item x="93"/>
        <item x="75"/>
        <item x="187"/>
        <item x="219"/>
        <item x="10"/>
        <item x="54"/>
        <item x="275"/>
        <item x="246"/>
        <item x="103"/>
        <item x="180"/>
        <item x="63"/>
        <item x="226"/>
        <item x="88"/>
        <item x="107"/>
        <item x="96"/>
        <item x="26"/>
        <item x="21"/>
        <item x="98"/>
        <item x="61"/>
        <item x="138"/>
        <item x="295"/>
        <item x="188"/>
        <item x="118"/>
        <item x="164"/>
        <item x="208"/>
        <item x="129"/>
        <item x="143"/>
        <item x="105"/>
        <item x="148"/>
        <item x="150"/>
        <item x="34"/>
        <item x="163"/>
        <item x="7"/>
        <item x="227"/>
        <item x="273"/>
        <item x="43"/>
        <item x="248"/>
        <item x="59"/>
        <item x="196"/>
        <item x="123"/>
        <item x="74"/>
        <item x="5"/>
        <item x="257"/>
        <item x="57"/>
        <item x="122"/>
        <item x="89"/>
        <item x="77"/>
        <item x="240"/>
        <item x="195"/>
        <item x="84"/>
        <item x="254"/>
        <item x="274"/>
        <item x="125"/>
        <item x="85"/>
        <item x="194"/>
        <item x="220"/>
        <item x="23"/>
        <item x="221"/>
        <item x="3"/>
        <item x="183"/>
        <item x="237"/>
        <item x="60"/>
        <item x="132"/>
        <item x="69"/>
        <item x="153"/>
        <item x="99"/>
        <item x="70"/>
        <item x="83"/>
        <item x="24"/>
        <item x="127"/>
        <item x="46"/>
        <item x="9"/>
        <item x="116"/>
        <item x="1"/>
        <item x="252"/>
        <item x="278"/>
        <item x="259"/>
        <item x="137"/>
        <item x="174"/>
        <item x="206"/>
        <item x="234"/>
        <item x="228"/>
        <item x="292"/>
        <item x="209"/>
        <item x="20"/>
        <item x="224"/>
        <item x="232"/>
        <item x="71"/>
        <item x="30"/>
        <item x="167"/>
        <item x="258"/>
        <item x="236"/>
        <item x="4"/>
        <item x="277"/>
        <item x="32"/>
        <item x="245"/>
        <item x="19"/>
        <item x="42"/>
        <item x="285"/>
        <item x="250"/>
        <item x="110"/>
        <item x="114"/>
        <item x="214"/>
        <item x="102"/>
        <item x="200"/>
        <item x="133"/>
        <item x="158"/>
        <item x="217"/>
        <item x="280"/>
        <item x="121"/>
        <item x="13"/>
        <item x="31"/>
        <item x="186"/>
        <item x="12"/>
        <item x="6"/>
        <item x="101"/>
        <item x="223"/>
        <item t="default"/>
      </items>
      <autoSortScope>
        <pivotArea dataOnly="0" outline="0" fieldPosition="0">
          <references count="1">
            <reference field="4294967294" count="1" selected="0">
              <x v="0"/>
            </reference>
          </references>
        </pivotArea>
      </autoSortScope>
    </pivotField>
    <pivotField showAll="0">
      <items count="5">
        <item x="3"/>
        <item x="1"/>
        <item x="0"/>
        <item x="2"/>
        <item t="default"/>
      </items>
    </pivotField>
    <pivotField showAll="0">
      <items count="6">
        <item x="0"/>
        <item x="1"/>
        <item x="2"/>
        <item x="3"/>
        <item x="4"/>
        <item t="default"/>
      </items>
    </pivotField>
    <pivotField showAll="0"/>
    <pivotField showAll="0"/>
    <pivotField dataField="1" showAll="0"/>
    <pivotField showAll="0"/>
    <pivotField axis="axisRow" showAll="0" measureFilter="1" sortType="descending">
      <items count="300">
        <item x="2"/>
        <item x="160"/>
        <item x="255"/>
        <item x="152"/>
        <item x="241"/>
        <item x="104"/>
        <item x="224"/>
        <item x="256"/>
        <item x="294"/>
        <item x="140"/>
        <item x="185"/>
        <item x="128"/>
        <item x="29"/>
        <item x="37"/>
        <item x="245"/>
        <item x="125"/>
        <item x="43"/>
        <item x="89"/>
        <item x="194"/>
        <item x="102"/>
        <item x="16"/>
        <item x="266"/>
        <item x="138"/>
        <item x="137"/>
        <item x="115"/>
        <item x="277"/>
        <item x="273"/>
        <item x="46"/>
        <item x="244"/>
        <item x="164"/>
        <item x="281"/>
        <item x="268"/>
        <item x="27"/>
        <item x="7"/>
        <item x="10"/>
        <item x="17"/>
        <item x="208"/>
        <item x="110"/>
        <item x="206"/>
        <item x="219"/>
        <item x="67"/>
        <item x="265"/>
        <item x="193"/>
        <item x="283"/>
        <item x="74"/>
        <item x="119"/>
        <item x="5"/>
        <item x="150"/>
        <item x="250"/>
        <item x="76"/>
        <item x="30"/>
        <item x="264"/>
        <item x="235"/>
        <item x="298"/>
        <item x="227"/>
        <item x="202"/>
        <item x="61"/>
        <item x="229"/>
        <item x="75"/>
        <item x="127"/>
        <item x="108"/>
        <item x="254"/>
        <item x="183"/>
        <item x="36"/>
        <item x="156"/>
        <item x="159"/>
        <item x="80"/>
        <item x="279"/>
        <item x="40"/>
        <item x="49"/>
        <item x="129"/>
        <item x="222"/>
        <item x="233"/>
        <item x="173"/>
        <item x="288"/>
        <item x="207"/>
        <item x="41"/>
        <item x="87"/>
        <item x="271"/>
        <item x="168"/>
        <item x="122"/>
        <item x="124"/>
        <item x="149"/>
        <item x="170"/>
        <item x="6"/>
        <item x="262"/>
        <item x="181"/>
        <item x="267"/>
        <item x="166"/>
        <item x="287"/>
        <item x="215"/>
        <item x="68"/>
        <item x="14"/>
        <item x="258"/>
        <item x="179"/>
        <item x="213"/>
        <item x="45"/>
        <item x="205"/>
        <item x="133"/>
        <item x="131"/>
        <item x="121"/>
        <item x="81"/>
        <item x="201"/>
        <item x="275"/>
        <item x="52"/>
        <item x="263"/>
        <item x="99"/>
        <item x="289"/>
        <item x="106"/>
        <item x="79"/>
        <item x="113"/>
        <item x="214"/>
        <item x="174"/>
        <item x="171"/>
        <item x="15"/>
        <item x="228"/>
        <item x="189"/>
        <item x="261"/>
        <item x="70"/>
        <item x="4"/>
        <item x="285"/>
        <item x="184"/>
        <item x="269"/>
        <item x="270"/>
        <item x="65"/>
        <item x="0"/>
        <item x="85"/>
        <item x="295"/>
        <item x="93"/>
        <item x="34"/>
        <item x="69"/>
        <item x="188"/>
        <item x="192"/>
        <item x="187"/>
        <item x="32"/>
        <item x="175"/>
        <item x="249"/>
        <item x="95"/>
        <item x="182"/>
        <item x="143"/>
        <item x="247"/>
        <item x="239"/>
        <item x="60"/>
        <item x="18"/>
        <item x="24"/>
        <item x="83"/>
        <item x="203"/>
        <item x="39"/>
        <item x="210"/>
        <item x="231"/>
        <item x="216"/>
        <item x="33"/>
        <item x="278"/>
        <item x="246"/>
        <item x="196"/>
        <item x="84"/>
        <item x="55"/>
        <item x="1"/>
        <item x="248"/>
        <item x="118"/>
        <item x="286"/>
        <item x="232"/>
        <item x="146"/>
        <item x="297"/>
        <item x="73"/>
        <item x="71"/>
        <item x="19"/>
        <item x="155"/>
        <item x="56"/>
        <item x="54"/>
        <item x="197"/>
        <item x="296"/>
        <item x="172"/>
        <item x="290"/>
        <item x="38"/>
        <item x="135"/>
        <item x="92"/>
        <item x="218"/>
        <item x="98"/>
        <item x="284"/>
        <item x="230"/>
        <item x="191"/>
        <item x="274"/>
        <item x="234"/>
        <item x="223"/>
        <item x="158"/>
        <item x="66"/>
        <item x="88"/>
        <item x="209"/>
        <item x="199"/>
        <item x="120"/>
        <item x="282"/>
        <item x="220"/>
        <item x="200"/>
        <item x="198"/>
        <item x="157"/>
        <item x="154"/>
        <item x="195"/>
        <item x="22"/>
        <item x="53"/>
        <item x="91"/>
        <item x="151"/>
        <item x="134"/>
        <item x="94"/>
        <item x="3"/>
        <item x="26"/>
        <item x="253"/>
        <item x="109"/>
        <item x="141"/>
        <item x="178"/>
        <item x="42"/>
        <item x="51"/>
        <item x="252"/>
        <item x="240"/>
        <item x="47"/>
        <item x="64"/>
        <item x="107"/>
        <item x="280"/>
        <item x="82"/>
        <item x="48"/>
        <item x="139"/>
        <item x="78"/>
        <item x="162"/>
        <item x="31"/>
        <item x="259"/>
        <item x="8"/>
        <item x="144"/>
        <item x="237"/>
        <item x="77"/>
        <item x="177"/>
        <item x="165"/>
        <item x="186"/>
        <item x="147"/>
        <item x="21"/>
        <item x="242"/>
        <item x="257"/>
        <item x="116"/>
        <item x="13"/>
        <item x="176"/>
        <item x="11"/>
        <item x="23"/>
        <item x="100"/>
        <item x="96"/>
        <item x="114"/>
        <item x="132"/>
        <item x="204"/>
        <item x="243"/>
        <item x="236"/>
        <item x="167"/>
        <item x="63"/>
        <item x="293"/>
        <item x="169"/>
        <item x="9"/>
        <item x="20"/>
        <item x="112"/>
        <item x="130"/>
        <item x="90"/>
        <item x="103"/>
        <item x="153"/>
        <item x="292"/>
        <item x="44"/>
        <item x="272"/>
        <item x="105"/>
        <item x="145"/>
        <item x="35"/>
        <item x="225"/>
        <item x="161"/>
        <item x="251"/>
        <item x="72"/>
        <item x="136"/>
        <item x="260"/>
        <item x="12"/>
        <item x="123"/>
        <item x="276"/>
        <item x="190"/>
        <item x="126"/>
        <item x="291"/>
        <item x="28"/>
        <item x="59"/>
        <item x="57"/>
        <item x="101"/>
        <item x="148"/>
        <item x="226"/>
        <item x="180"/>
        <item x="111"/>
        <item x="117"/>
        <item x="86"/>
        <item x="217"/>
        <item x="142"/>
        <item x="163"/>
        <item x="211"/>
        <item x="25"/>
        <item x="62"/>
        <item x="221"/>
        <item x="58"/>
        <item x="238"/>
        <item x="97"/>
        <item x="212"/>
        <item x="50"/>
        <item t="default"/>
      </items>
      <autoSortScope>
        <pivotArea dataOnly="0" outline="0" fieldPosition="0">
          <references count="1">
            <reference field="4294967294" count="1" selected="0">
              <x v="0"/>
            </reference>
          </references>
        </pivotArea>
      </autoSortScope>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2">
    <i>
      <x v="280"/>
    </i>
    <i t="grand">
      <x/>
    </i>
  </rowItems>
  <colItems count="1">
    <i/>
  </colItems>
  <dataFields count="1">
    <dataField name="Average of Total Sales" fld="7" subtotal="average" baseField="9" baseItem="0"/>
  </dataFields>
  <chartFormats count="2">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count" evalOrder="-1" id="1" iMeasureFld="0">
      <autoFilter ref="A1">
        <filterColumn colId="0">
          <top10 val="5" filterVal="5"/>
        </filterColumn>
      </autoFilter>
    </filter>
    <filter fld="9"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23B842-E655-43F1-8F69-651CE424E47E}"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116:D121" firstHeaderRow="1" firstDataRow="1" firstDataCol="1"/>
  <pivotFields count="13">
    <pivotField showAll="0"/>
    <pivotField numFmtId="164" showAll="0">
      <items count="257">
        <item x="100"/>
        <item x="162"/>
        <item x="133"/>
        <item x="244"/>
        <item x="226"/>
        <item x="71"/>
        <item x="143"/>
        <item x="57"/>
        <item x="228"/>
        <item x="191"/>
        <item x="54"/>
        <item x="126"/>
        <item x="239"/>
        <item x="41"/>
        <item x="68"/>
        <item x="164"/>
        <item x="6"/>
        <item x="13"/>
        <item x="128"/>
        <item x="65"/>
        <item x="82"/>
        <item x="206"/>
        <item x="84"/>
        <item x="169"/>
        <item x="136"/>
        <item x="253"/>
        <item x="232"/>
        <item x="79"/>
        <item x="141"/>
        <item x="227"/>
        <item x="198"/>
        <item x="241"/>
        <item x="97"/>
        <item x="194"/>
        <item x="233"/>
        <item x="104"/>
        <item x="86"/>
        <item x="165"/>
        <item x="59"/>
        <item x="77"/>
        <item x="8"/>
        <item x="218"/>
        <item x="78"/>
        <item x="33"/>
        <item x="152"/>
        <item x="173"/>
        <item x="243"/>
        <item x="4"/>
        <item x="224"/>
        <item x="175"/>
        <item x="230"/>
        <item x="231"/>
        <item x="30"/>
        <item x="119"/>
        <item x="135"/>
        <item x="44"/>
        <item x="225"/>
        <item x="67"/>
        <item x="117"/>
        <item x="251"/>
        <item x="214"/>
        <item x="27"/>
        <item x="190"/>
        <item x="98"/>
        <item x="240"/>
        <item x="154"/>
        <item x="31"/>
        <item x="166"/>
        <item x="124"/>
        <item x="250"/>
        <item x="102"/>
        <item x="80"/>
        <item x="219"/>
        <item x="16"/>
        <item x="156"/>
        <item x="53"/>
        <item x="147"/>
        <item x="0"/>
        <item x="177"/>
        <item x="88"/>
        <item x="14"/>
        <item x="254"/>
        <item x="56"/>
        <item x="252"/>
        <item x="90"/>
        <item x="55"/>
        <item x="62"/>
        <item x="50"/>
        <item x="211"/>
        <item x="220"/>
        <item x="171"/>
        <item x="146"/>
        <item x="48"/>
        <item x="60"/>
        <item x="142"/>
        <item x="29"/>
        <item x="130"/>
        <item x="74"/>
        <item x="170"/>
        <item x="7"/>
        <item x="11"/>
        <item x="118"/>
        <item x="209"/>
        <item x="40"/>
        <item x="101"/>
        <item x="127"/>
        <item x="34"/>
        <item x="184"/>
        <item x="234"/>
        <item x="87"/>
        <item x="110"/>
        <item x="108"/>
        <item x="237"/>
        <item x="168"/>
        <item x="174"/>
        <item x="38"/>
        <item x="43"/>
        <item x="52"/>
        <item x="20"/>
        <item x="2"/>
        <item x="94"/>
        <item x="23"/>
        <item x="113"/>
        <item x="248"/>
        <item x="75"/>
        <item x="178"/>
        <item x="91"/>
        <item x="242"/>
        <item x="238"/>
        <item x="39"/>
        <item x="120"/>
        <item x="167"/>
        <item x="197"/>
        <item x="144"/>
        <item x="72"/>
        <item x="221"/>
        <item x="192"/>
        <item x="176"/>
        <item x="153"/>
        <item x="49"/>
        <item x="151"/>
        <item x="63"/>
        <item x="212"/>
        <item x="208"/>
        <item x="46"/>
        <item x="181"/>
        <item x="216"/>
        <item x="5"/>
        <item x="85"/>
        <item x="255"/>
        <item x="200"/>
        <item x="25"/>
        <item x="106"/>
        <item x="122"/>
        <item x="158"/>
        <item x="229"/>
        <item x="116"/>
        <item x="195"/>
        <item x="161"/>
        <item x="172"/>
        <item x="58"/>
        <item x="150"/>
        <item x="96"/>
        <item x="159"/>
        <item x="64"/>
        <item x="247"/>
        <item x="145"/>
        <item x="180"/>
        <item x="235"/>
        <item x="134"/>
        <item x="205"/>
        <item x="188"/>
        <item x="19"/>
        <item x="223"/>
        <item x="202"/>
        <item x="131"/>
        <item x="42"/>
        <item x="236"/>
        <item x="21"/>
        <item x="121"/>
        <item x="245"/>
        <item x="103"/>
        <item x="89"/>
        <item x="73"/>
        <item x="26"/>
        <item x="112"/>
        <item x="199"/>
        <item x="109"/>
        <item x="160"/>
        <item x="179"/>
        <item x="203"/>
        <item x="210"/>
        <item x="207"/>
        <item x="83"/>
        <item x="129"/>
        <item x="76"/>
        <item x="93"/>
        <item x="246"/>
        <item x="189"/>
        <item x="222"/>
        <item x="17"/>
        <item x="10"/>
        <item x="99"/>
        <item x="183"/>
        <item x="107"/>
        <item x="36"/>
        <item x="215"/>
        <item x="69"/>
        <item x="66"/>
        <item x="3"/>
        <item x="24"/>
        <item x="157"/>
        <item x="51"/>
        <item x="217"/>
        <item x="193"/>
        <item x="187"/>
        <item x="22"/>
        <item x="9"/>
        <item x="12"/>
        <item x="114"/>
        <item x="137"/>
        <item x="163"/>
        <item x="37"/>
        <item x="115"/>
        <item x="249"/>
        <item x="132"/>
        <item x="81"/>
        <item x="125"/>
        <item x="182"/>
        <item x="15"/>
        <item x="95"/>
        <item x="45"/>
        <item x="213"/>
        <item x="185"/>
        <item x="105"/>
        <item x="35"/>
        <item x="204"/>
        <item x="111"/>
        <item x="138"/>
        <item x="61"/>
        <item x="140"/>
        <item x="1"/>
        <item x="155"/>
        <item x="123"/>
        <item x="186"/>
        <item x="149"/>
        <item x="196"/>
        <item x="139"/>
        <item x="148"/>
        <item x="32"/>
        <item x="47"/>
        <item x="18"/>
        <item x="28"/>
        <item x="70"/>
        <item x="201"/>
        <item x="92"/>
        <item t="default"/>
      </items>
    </pivotField>
    <pivotField showAll="0" measureFilter="1" sortType="descending">
      <items count="299">
        <item x="134"/>
        <item x="94"/>
        <item x="199"/>
        <item x="91"/>
        <item x="157"/>
        <item x="256"/>
        <item x="243"/>
        <item x="44"/>
        <item x="67"/>
        <item x="39"/>
        <item x="215"/>
        <item x="145"/>
        <item x="171"/>
        <item x="297"/>
        <item x="112"/>
        <item x="211"/>
        <item x="38"/>
        <item x="106"/>
        <item x="281"/>
        <item x="289"/>
        <item x="2"/>
        <item x="264"/>
        <item x="22"/>
        <item x="139"/>
        <item x="97"/>
        <item x="40"/>
        <item x="260"/>
        <item x="294"/>
        <item x="15"/>
        <item x="72"/>
        <item x="172"/>
        <item x="170"/>
        <item x="271"/>
        <item x="235"/>
        <item x="11"/>
        <item x="16"/>
        <item x="247"/>
        <item x="216"/>
        <item x="176"/>
        <item x="184"/>
        <item x="146"/>
        <item x="175"/>
        <item x="279"/>
        <item x="192"/>
        <item x="147"/>
        <item x="58"/>
        <item x="189"/>
        <item x="131"/>
        <item x="49"/>
        <item x="136"/>
        <item x="8"/>
        <item x="270"/>
        <item x="253"/>
        <item x="79"/>
        <item x="120"/>
        <item x="86"/>
        <item x="262"/>
        <item x="205"/>
        <item x="178"/>
        <item x="151"/>
        <item x="201"/>
        <item x="261"/>
        <item x="276"/>
        <item x="80"/>
        <item x="190"/>
        <item x="47"/>
        <item x="160"/>
        <item x="233"/>
        <item x="283"/>
        <item x="81"/>
        <item x="51"/>
        <item x="168"/>
        <item x="287"/>
        <item x="33"/>
        <item x="288"/>
        <item x="198"/>
        <item x="62"/>
        <item x="82"/>
        <item x="73"/>
        <item x="0"/>
        <item x="193"/>
        <item x="124"/>
        <item x="135"/>
        <item x="115"/>
        <item x="210"/>
        <item x="144"/>
        <item x="142"/>
        <item x="251"/>
        <item x="113"/>
        <item x="238"/>
        <item x="166"/>
        <item x="181"/>
        <item x="269"/>
        <item x="95"/>
        <item x="27"/>
        <item x="244"/>
        <item x="76"/>
        <item x="296"/>
        <item x="293"/>
        <item x="231"/>
        <item x="18"/>
        <item x="66"/>
        <item x="64"/>
        <item x="100"/>
        <item x="218"/>
        <item x="239"/>
        <item x="78"/>
        <item x="156"/>
        <item x="29"/>
        <item x="65"/>
        <item x="111"/>
        <item x="56"/>
        <item x="202"/>
        <item x="119"/>
        <item x="182"/>
        <item x="230"/>
        <item x="203"/>
        <item x="290"/>
        <item x="284"/>
        <item x="36"/>
        <item x="159"/>
        <item x="130"/>
        <item x="173"/>
        <item x="154"/>
        <item x="37"/>
        <item x="90"/>
        <item x="266"/>
        <item x="25"/>
        <item x="204"/>
        <item x="50"/>
        <item x="109"/>
        <item x="108"/>
        <item x="185"/>
        <item x="48"/>
        <item x="126"/>
        <item x="267"/>
        <item x="282"/>
        <item x="225"/>
        <item x="14"/>
        <item x="212"/>
        <item x="87"/>
        <item x="169"/>
        <item x="155"/>
        <item x="52"/>
        <item x="104"/>
        <item x="263"/>
        <item x="207"/>
        <item x="191"/>
        <item x="213"/>
        <item x="141"/>
        <item x="152"/>
        <item x="179"/>
        <item x="45"/>
        <item x="35"/>
        <item x="286"/>
        <item x="255"/>
        <item x="149"/>
        <item x="55"/>
        <item x="177"/>
        <item x="265"/>
        <item x="161"/>
        <item x="272"/>
        <item x="229"/>
        <item x="222"/>
        <item x="162"/>
        <item x="117"/>
        <item x="165"/>
        <item x="241"/>
        <item x="28"/>
        <item x="197"/>
        <item x="268"/>
        <item x="92"/>
        <item x="53"/>
        <item x="140"/>
        <item x="291"/>
        <item x="41"/>
        <item x="128"/>
        <item x="242"/>
        <item x="17"/>
        <item x="249"/>
        <item x="68"/>
        <item x="93"/>
        <item x="75"/>
        <item x="187"/>
        <item x="219"/>
        <item x="10"/>
        <item x="54"/>
        <item x="275"/>
        <item x="246"/>
        <item x="103"/>
        <item x="180"/>
        <item x="63"/>
        <item x="226"/>
        <item x="88"/>
        <item x="107"/>
        <item x="96"/>
        <item x="26"/>
        <item x="21"/>
        <item x="98"/>
        <item x="61"/>
        <item x="138"/>
        <item x="295"/>
        <item x="188"/>
        <item x="118"/>
        <item x="164"/>
        <item x="208"/>
        <item x="129"/>
        <item x="143"/>
        <item x="105"/>
        <item x="148"/>
        <item x="150"/>
        <item x="34"/>
        <item x="163"/>
        <item x="7"/>
        <item x="227"/>
        <item x="273"/>
        <item x="43"/>
        <item x="248"/>
        <item x="59"/>
        <item x="196"/>
        <item x="123"/>
        <item x="74"/>
        <item x="5"/>
        <item x="257"/>
        <item x="57"/>
        <item x="122"/>
        <item x="89"/>
        <item x="77"/>
        <item x="240"/>
        <item x="195"/>
        <item x="84"/>
        <item x="254"/>
        <item x="274"/>
        <item x="125"/>
        <item x="85"/>
        <item x="194"/>
        <item x="220"/>
        <item x="23"/>
        <item x="221"/>
        <item x="3"/>
        <item x="183"/>
        <item x="237"/>
        <item x="60"/>
        <item x="132"/>
        <item x="69"/>
        <item x="153"/>
        <item x="99"/>
        <item x="70"/>
        <item x="83"/>
        <item x="24"/>
        <item x="127"/>
        <item x="46"/>
        <item x="9"/>
        <item x="116"/>
        <item x="1"/>
        <item x="252"/>
        <item x="278"/>
        <item x="259"/>
        <item x="137"/>
        <item x="174"/>
        <item x="206"/>
        <item x="234"/>
        <item x="228"/>
        <item x="292"/>
        <item x="209"/>
        <item x="20"/>
        <item x="224"/>
        <item x="232"/>
        <item x="71"/>
        <item x="30"/>
        <item x="167"/>
        <item x="258"/>
        <item x="236"/>
        <item x="4"/>
        <item x="277"/>
        <item x="32"/>
        <item x="245"/>
        <item x="19"/>
        <item x="42"/>
        <item x="285"/>
        <item x="250"/>
        <item x="110"/>
        <item x="114"/>
        <item x="214"/>
        <item x="102"/>
        <item x="200"/>
        <item x="133"/>
        <item x="158"/>
        <item x="217"/>
        <item x="280"/>
        <item x="121"/>
        <item x="13"/>
        <item x="31"/>
        <item x="186"/>
        <item x="12"/>
        <item x="6"/>
        <item x="101"/>
        <item x="223"/>
        <item t="default"/>
      </items>
      <autoSortScope>
        <pivotArea dataOnly="0" outline="0" fieldPosition="0">
          <references count="1">
            <reference field="4294967294" count="1" selected="0">
              <x v="0"/>
            </reference>
          </references>
        </pivotArea>
      </autoSortScope>
    </pivotField>
    <pivotField axis="axisRow" showAll="0">
      <items count="5">
        <item x="3"/>
        <item x="1"/>
        <item x="0"/>
        <item x="2"/>
        <item t="default"/>
      </items>
    </pivotField>
    <pivotField showAll="0">
      <items count="6">
        <item x="0"/>
        <item x="1"/>
        <item x="2"/>
        <item x="3"/>
        <item x="4"/>
        <item t="default"/>
      </items>
    </pivotField>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5">
    <i>
      <x/>
    </i>
    <i>
      <x v="1"/>
    </i>
    <i>
      <x v="2"/>
    </i>
    <i>
      <x v="3"/>
    </i>
    <i t="grand">
      <x/>
    </i>
  </rowItems>
  <colItems count="1">
    <i/>
  </colItems>
  <dataFields count="1">
    <dataField name="Sum of Total Sales" fld="7" baseField="0" baseItem="0"/>
  </dataFields>
  <chartFormats count="2">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DD9C0F-0A19-4581-A9D6-6D672D40DF88}"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103:D111" firstHeaderRow="1" firstDataRow="1" firstDataCol="1"/>
  <pivotFields count="13">
    <pivotField showAll="0"/>
    <pivotField numFmtId="164" showAll="0">
      <items count="257">
        <item x="100"/>
        <item x="162"/>
        <item x="133"/>
        <item x="244"/>
        <item x="226"/>
        <item x="71"/>
        <item x="143"/>
        <item x="57"/>
        <item x="228"/>
        <item x="191"/>
        <item x="54"/>
        <item x="126"/>
        <item x="239"/>
        <item x="41"/>
        <item x="68"/>
        <item x="164"/>
        <item x="6"/>
        <item x="13"/>
        <item x="128"/>
        <item x="65"/>
        <item x="82"/>
        <item x="206"/>
        <item x="84"/>
        <item x="169"/>
        <item x="136"/>
        <item x="253"/>
        <item x="232"/>
        <item x="79"/>
        <item x="141"/>
        <item x="227"/>
        <item x="198"/>
        <item x="241"/>
        <item x="97"/>
        <item x="194"/>
        <item x="233"/>
        <item x="104"/>
        <item x="86"/>
        <item x="165"/>
        <item x="59"/>
        <item x="77"/>
        <item x="8"/>
        <item x="218"/>
        <item x="78"/>
        <item x="33"/>
        <item x="152"/>
        <item x="173"/>
        <item x="243"/>
        <item x="4"/>
        <item x="224"/>
        <item x="175"/>
        <item x="230"/>
        <item x="231"/>
        <item x="30"/>
        <item x="119"/>
        <item x="135"/>
        <item x="44"/>
        <item x="225"/>
        <item x="67"/>
        <item x="117"/>
        <item x="251"/>
        <item x="214"/>
        <item x="27"/>
        <item x="190"/>
        <item x="98"/>
        <item x="240"/>
        <item x="154"/>
        <item x="31"/>
        <item x="166"/>
        <item x="124"/>
        <item x="250"/>
        <item x="102"/>
        <item x="80"/>
        <item x="219"/>
        <item x="16"/>
        <item x="156"/>
        <item x="53"/>
        <item x="147"/>
        <item x="0"/>
        <item x="177"/>
        <item x="88"/>
        <item x="14"/>
        <item x="254"/>
        <item x="56"/>
        <item x="252"/>
        <item x="90"/>
        <item x="55"/>
        <item x="62"/>
        <item x="50"/>
        <item x="211"/>
        <item x="220"/>
        <item x="171"/>
        <item x="146"/>
        <item x="48"/>
        <item x="60"/>
        <item x="142"/>
        <item x="29"/>
        <item x="130"/>
        <item x="74"/>
        <item x="170"/>
        <item x="7"/>
        <item x="11"/>
        <item x="118"/>
        <item x="209"/>
        <item x="40"/>
        <item x="101"/>
        <item x="127"/>
        <item x="34"/>
        <item x="184"/>
        <item x="234"/>
        <item x="87"/>
        <item x="110"/>
        <item x="108"/>
        <item x="237"/>
        <item x="168"/>
        <item x="174"/>
        <item x="38"/>
        <item x="43"/>
        <item x="52"/>
        <item x="20"/>
        <item x="2"/>
        <item x="94"/>
        <item x="23"/>
        <item x="113"/>
        <item x="248"/>
        <item x="75"/>
        <item x="178"/>
        <item x="91"/>
        <item x="242"/>
        <item x="238"/>
        <item x="39"/>
        <item x="120"/>
        <item x="167"/>
        <item x="197"/>
        <item x="144"/>
        <item x="72"/>
        <item x="221"/>
        <item x="192"/>
        <item x="176"/>
        <item x="153"/>
        <item x="49"/>
        <item x="151"/>
        <item x="63"/>
        <item x="212"/>
        <item x="208"/>
        <item x="46"/>
        <item x="181"/>
        <item x="216"/>
        <item x="5"/>
        <item x="85"/>
        <item x="255"/>
        <item x="200"/>
        <item x="25"/>
        <item x="106"/>
        <item x="122"/>
        <item x="158"/>
        <item x="229"/>
        <item x="116"/>
        <item x="195"/>
        <item x="161"/>
        <item x="172"/>
        <item x="58"/>
        <item x="150"/>
        <item x="96"/>
        <item x="159"/>
        <item x="64"/>
        <item x="247"/>
        <item x="145"/>
        <item x="180"/>
        <item x="235"/>
        <item x="134"/>
        <item x="205"/>
        <item x="188"/>
        <item x="19"/>
        <item x="223"/>
        <item x="202"/>
        <item x="131"/>
        <item x="42"/>
        <item x="236"/>
        <item x="21"/>
        <item x="121"/>
        <item x="245"/>
        <item x="103"/>
        <item x="89"/>
        <item x="73"/>
        <item x="26"/>
        <item x="112"/>
        <item x="199"/>
        <item x="109"/>
        <item x="160"/>
        <item x="179"/>
        <item x="203"/>
        <item x="210"/>
        <item x="207"/>
        <item x="83"/>
        <item x="129"/>
        <item x="76"/>
        <item x="93"/>
        <item x="246"/>
        <item x="189"/>
        <item x="222"/>
        <item x="17"/>
        <item x="10"/>
        <item x="99"/>
        <item x="183"/>
        <item x="107"/>
        <item x="36"/>
        <item x="215"/>
        <item x="69"/>
        <item x="66"/>
        <item x="3"/>
        <item x="24"/>
        <item x="157"/>
        <item x="51"/>
        <item x="217"/>
        <item x="193"/>
        <item x="187"/>
        <item x="22"/>
        <item x="9"/>
        <item x="12"/>
        <item x="114"/>
        <item x="137"/>
        <item x="163"/>
        <item x="37"/>
        <item x="115"/>
        <item x="249"/>
        <item x="132"/>
        <item x="81"/>
        <item x="125"/>
        <item x="182"/>
        <item x="15"/>
        <item x="95"/>
        <item x="45"/>
        <item x="213"/>
        <item x="185"/>
        <item x="105"/>
        <item x="35"/>
        <item x="204"/>
        <item x="111"/>
        <item x="138"/>
        <item x="61"/>
        <item x="140"/>
        <item x="1"/>
        <item x="155"/>
        <item x="123"/>
        <item x="186"/>
        <item x="149"/>
        <item x="196"/>
        <item x="139"/>
        <item x="148"/>
        <item x="32"/>
        <item x="47"/>
        <item x="18"/>
        <item x="28"/>
        <item x="70"/>
        <item x="201"/>
        <item x="92"/>
        <item t="default"/>
      </items>
    </pivotField>
    <pivotField showAll="0" measureFilter="1" sortType="descending">
      <items count="299">
        <item x="134"/>
        <item x="94"/>
        <item x="199"/>
        <item x="91"/>
        <item x="157"/>
        <item x="256"/>
        <item x="243"/>
        <item x="44"/>
        <item x="67"/>
        <item x="39"/>
        <item x="215"/>
        <item x="145"/>
        <item x="171"/>
        <item x="297"/>
        <item x="112"/>
        <item x="211"/>
        <item x="38"/>
        <item x="106"/>
        <item x="281"/>
        <item x="289"/>
        <item x="2"/>
        <item x="264"/>
        <item x="22"/>
        <item x="139"/>
        <item x="97"/>
        <item x="40"/>
        <item x="260"/>
        <item x="294"/>
        <item x="15"/>
        <item x="72"/>
        <item x="172"/>
        <item x="170"/>
        <item x="271"/>
        <item x="235"/>
        <item x="11"/>
        <item x="16"/>
        <item x="247"/>
        <item x="216"/>
        <item x="176"/>
        <item x="184"/>
        <item x="146"/>
        <item x="175"/>
        <item x="279"/>
        <item x="192"/>
        <item x="147"/>
        <item x="58"/>
        <item x="189"/>
        <item x="131"/>
        <item x="49"/>
        <item x="136"/>
        <item x="8"/>
        <item x="270"/>
        <item x="253"/>
        <item x="79"/>
        <item x="120"/>
        <item x="86"/>
        <item x="262"/>
        <item x="205"/>
        <item x="178"/>
        <item x="151"/>
        <item x="201"/>
        <item x="261"/>
        <item x="276"/>
        <item x="80"/>
        <item x="190"/>
        <item x="47"/>
        <item x="160"/>
        <item x="233"/>
        <item x="283"/>
        <item x="81"/>
        <item x="51"/>
        <item x="168"/>
        <item x="287"/>
        <item x="33"/>
        <item x="288"/>
        <item x="198"/>
        <item x="62"/>
        <item x="82"/>
        <item x="73"/>
        <item x="0"/>
        <item x="193"/>
        <item x="124"/>
        <item x="135"/>
        <item x="115"/>
        <item x="210"/>
        <item x="144"/>
        <item x="142"/>
        <item x="251"/>
        <item x="113"/>
        <item x="238"/>
        <item x="166"/>
        <item x="181"/>
        <item x="269"/>
        <item x="95"/>
        <item x="27"/>
        <item x="244"/>
        <item x="76"/>
        <item x="296"/>
        <item x="293"/>
        <item x="231"/>
        <item x="18"/>
        <item x="66"/>
        <item x="64"/>
        <item x="100"/>
        <item x="218"/>
        <item x="239"/>
        <item x="78"/>
        <item x="156"/>
        <item x="29"/>
        <item x="65"/>
        <item x="111"/>
        <item x="56"/>
        <item x="202"/>
        <item x="119"/>
        <item x="182"/>
        <item x="230"/>
        <item x="203"/>
        <item x="290"/>
        <item x="284"/>
        <item x="36"/>
        <item x="159"/>
        <item x="130"/>
        <item x="173"/>
        <item x="154"/>
        <item x="37"/>
        <item x="90"/>
        <item x="266"/>
        <item x="25"/>
        <item x="204"/>
        <item x="50"/>
        <item x="109"/>
        <item x="108"/>
        <item x="185"/>
        <item x="48"/>
        <item x="126"/>
        <item x="267"/>
        <item x="282"/>
        <item x="225"/>
        <item x="14"/>
        <item x="212"/>
        <item x="87"/>
        <item x="169"/>
        <item x="155"/>
        <item x="52"/>
        <item x="104"/>
        <item x="263"/>
        <item x="207"/>
        <item x="191"/>
        <item x="213"/>
        <item x="141"/>
        <item x="152"/>
        <item x="179"/>
        <item x="45"/>
        <item x="35"/>
        <item x="286"/>
        <item x="255"/>
        <item x="149"/>
        <item x="55"/>
        <item x="177"/>
        <item x="265"/>
        <item x="161"/>
        <item x="272"/>
        <item x="229"/>
        <item x="222"/>
        <item x="162"/>
        <item x="117"/>
        <item x="165"/>
        <item x="241"/>
        <item x="28"/>
        <item x="197"/>
        <item x="268"/>
        <item x="92"/>
        <item x="53"/>
        <item x="140"/>
        <item x="291"/>
        <item x="41"/>
        <item x="128"/>
        <item x="242"/>
        <item x="17"/>
        <item x="249"/>
        <item x="68"/>
        <item x="93"/>
        <item x="75"/>
        <item x="187"/>
        <item x="219"/>
        <item x="10"/>
        <item x="54"/>
        <item x="275"/>
        <item x="246"/>
        <item x="103"/>
        <item x="180"/>
        <item x="63"/>
        <item x="226"/>
        <item x="88"/>
        <item x="107"/>
        <item x="96"/>
        <item x="26"/>
        <item x="21"/>
        <item x="98"/>
        <item x="61"/>
        <item x="138"/>
        <item x="295"/>
        <item x="188"/>
        <item x="118"/>
        <item x="164"/>
        <item x="208"/>
        <item x="129"/>
        <item x="143"/>
        <item x="105"/>
        <item x="148"/>
        <item x="150"/>
        <item x="34"/>
        <item x="163"/>
        <item x="7"/>
        <item x="227"/>
        <item x="273"/>
        <item x="43"/>
        <item x="248"/>
        <item x="59"/>
        <item x="196"/>
        <item x="123"/>
        <item x="74"/>
        <item x="5"/>
        <item x="257"/>
        <item x="57"/>
        <item x="122"/>
        <item x="89"/>
        <item x="77"/>
        <item x="240"/>
        <item x="195"/>
        <item x="84"/>
        <item x="254"/>
        <item x="274"/>
        <item x="125"/>
        <item x="85"/>
        <item x="194"/>
        <item x="220"/>
        <item x="23"/>
        <item x="221"/>
        <item x="3"/>
        <item x="183"/>
        <item x="237"/>
        <item x="60"/>
        <item x="132"/>
        <item x="69"/>
        <item x="153"/>
        <item x="99"/>
        <item x="70"/>
        <item x="83"/>
        <item x="24"/>
        <item x="127"/>
        <item x="46"/>
        <item x="9"/>
        <item x="116"/>
        <item x="1"/>
        <item x="252"/>
        <item x="278"/>
        <item x="259"/>
        <item x="137"/>
        <item x="174"/>
        <item x="206"/>
        <item x="234"/>
        <item x="228"/>
        <item x="292"/>
        <item x="209"/>
        <item x="20"/>
        <item x="224"/>
        <item x="232"/>
        <item x="71"/>
        <item x="30"/>
        <item x="167"/>
        <item x="258"/>
        <item x="236"/>
        <item x="4"/>
        <item x="277"/>
        <item x="32"/>
        <item x="245"/>
        <item x="19"/>
        <item x="42"/>
        <item x="285"/>
        <item x="250"/>
        <item x="110"/>
        <item x="114"/>
        <item x="214"/>
        <item x="102"/>
        <item x="200"/>
        <item x="133"/>
        <item x="158"/>
        <item x="217"/>
        <item x="280"/>
        <item x="121"/>
        <item x="13"/>
        <item x="31"/>
        <item x="186"/>
        <item x="12"/>
        <item x="6"/>
        <item x="101"/>
        <item x="223"/>
        <item t="default"/>
      </items>
      <autoSortScope>
        <pivotArea dataOnly="0" outline="0" fieldPosition="0">
          <references count="1">
            <reference field="4294967294" count="1" selected="0">
              <x v="0"/>
            </reference>
          </references>
        </pivotArea>
      </autoSortScope>
    </pivotField>
    <pivotField showAll="0">
      <items count="5">
        <item x="3"/>
        <item x="1"/>
        <item x="0"/>
        <item x="2"/>
        <item t="default"/>
      </items>
    </pivotField>
    <pivotField showAll="0">
      <items count="6">
        <item x="0"/>
        <item x="1"/>
        <item x="2"/>
        <item x="3"/>
        <item x="4"/>
        <item t="default"/>
      </items>
    </pivotField>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sd="0" x="2"/>
        <item sd="0" x="3"/>
        <item sd="0" x="4"/>
        <item sd="0" x="5"/>
        <item t="default"/>
      </items>
    </pivotField>
    <pivotField showAll="0">
      <items count="7">
        <item sd="0" x="0"/>
        <item sd="0" x="1"/>
        <item sd="0" x="2"/>
        <item sd="0" x="3"/>
        <item sd="0" x="4"/>
        <item sd="0" x="5"/>
        <item t="default"/>
      </items>
    </pivotField>
  </pivotFields>
  <rowFields count="2">
    <field x="11"/>
    <field x="10"/>
  </rowFields>
  <rowItems count="8">
    <i>
      <x v="1"/>
    </i>
    <i r="1">
      <x v="1"/>
    </i>
    <i r="1">
      <x v="2"/>
    </i>
    <i r="1">
      <x v="3"/>
    </i>
    <i>
      <x v="2"/>
    </i>
    <i>
      <x v="3"/>
    </i>
    <i>
      <x v="4"/>
    </i>
    <i t="grand">
      <x/>
    </i>
  </rowItems>
  <colItems count="1">
    <i/>
  </colItems>
  <dataFields count="1">
    <dataField name="Sum of Total Sales" fld="7"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675D1D-C6ED-4896-B866-FE9AFBE960DD}"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59:D72" firstHeaderRow="1" firstDataRow="1" firstDataCol="1"/>
  <pivotFields count="13">
    <pivotField showAll="0"/>
    <pivotField numFmtId="164" showAll="0">
      <items count="257">
        <item x="100"/>
        <item x="162"/>
        <item x="133"/>
        <item x="244"/>
        <item x="226"/>
        <item x="71"/>
        <item x="143"/>
        <item x="57"/>
        <item x="228"/>
        <item x="191"/>
        <item x="54"/>
        <item x="126"/>
        <item x="239"/>
        <item x="41"/>
        <item x="68"/>
        <item x="164"/>
        <item x="6"/>
        <item x="13"/>
        <item x="128"/>
        <item x="65"/>
        <item x="82"/>
        <item x="206"/>
        <item x="84"/>
        <item x="169"/>
        <item x="136"/>
        <item x="253"/>
        <item x="232"/>
        <item x="79"/>
        <item x="141"/>
        <item x="227"/>
        <item x="198"/>
        <item x="241"/>
        <item x="97"/>
        <item x="194"/>
        <item x="233"/>
        <item x="104"/>
        <item x="86"/>
        <item x="165"/>
        <item x="59"/>
        <item x="77"/>
        <item x="8"/>
        <item x="218"/>
        <item x="78"/>
        <item x="33"/>
        <item x="152"/>
        <item x="173"/>
        <item x="243"/>
        <item x="4"/>
        <item x="224"/>
        <item x="175"/>
        <item x="230"/>
        <item x="231"/>
        <item x="30"/>
        <item x="119"/>
        <item x="135"/>
        <item x="44"/>
        <item x="225"/>
        <item x="67"/>
        <item x="117"/>
        <item x="251"/>
        <item x="214"/>
        <item x="27"/>
        <item x="190"/>
        <item x="98"/>
        <item x="240"/>
        <item x="154"/>
        <item x="31"/>
        <item x="166"/>
        <item x="124"/>
        <item x="250"/>
        <item x="102"/>
        <item x="80"/>
        <item x="219"/>
        <item x="16"/>
        <item x="156"/>
        <item x="53"/>
        <item x="147"/>
        <item x="0"/>
        <item x="177"/>
        <item x="88"/>
        <item x="14"/>
        <item x="254"/>
        <item x="56"/>
        <item x="252"/>
        <item x="90"/>
        <item x="55"/>
        <item x="62"/>
        <item x="50"/>
        <item x="211"/>
        <item x="220"/>
        <item x="171"/>
        <item x="146"/>
        <item x="48"/>
        <item x="60"/>
        <item x="142"/>
        <item x="29"/>
        <item x="130"/>
        <item x="74"/>
        <item x="170"/>
        <item x="7"/>
        <item x="11"/>
        <item x="118"/>
        <item x="209"/>
        <item x="40"/>
        <item x="101"/>
        <item x="127"/>
        <item x="34"/>
        <item x="184"/>
        <item x="234"/>
        <item x="87"/>
        <item x="110"/>
        <item x="108"/>
        <item x="237"/>
        <item x="168"/>
        <item x="174"/>
        <item x="38"/>
        <item x="43"/>
        <item x="52"/>
        <item x="20"/>
        <item x="2"/>
        <item x="94"/>
        <item x="23"/>
        <item x="113"/>
        <item x="248"/>
        <item x="75"/>
        <item x="178"/>
        <item x="91"/>
        <item x="242"/>
        <item x="238"/>
        <item x="39"/>
        <item x="120"/>
        <item x="167"/>
        <item x="197"/>
        <item x="144"/>
        <item x="72"/>
        <item x="221"/>
        <item x="192"/>
        <item x="176"/>
        <item x="153"/>
        <item x="49"/>
        <item x="151"/>
        <item x="63"/>
        <item x="212"/>
        <item x="208"/>
        <item x="46"/>
        <item x="181"/>
        <item x="216"/>
        <item x="5"/>
        <item x="85"/>
        <item x="255"/>
        <item x="200"/>
        <item x="25"/>
        <item x="106"/>
        <item x="122"/>
        <item x="158"/>
        <item x="229"/>
        <item x="116"/>
        <item x="195"/>
        <item x="161"/>
        <item x="172"/>
        <item x="58"/>
        <item x="150"/>
        <item x="96"/>
        <item x="159"/>
        <item x="64"/>
        <item x="247"/>
        <item x="145"/>
        <item x="180"/>
        <item x="235"/>
        <item x="134"/>
        <item x="205"/>
        <item x="188"/>
        <item x="19"/>
        <item x="223"/>
        <item x="202"/>
        <item x="131"/>
        <item x="42"/>
        <item x="236"/>
        <item x="21"/>
        <item x="121"/>
        <item x="245"/>
        <item x="103"/>
        <item x="89"/>
        <item x="73"/>
        <item x="26"/>
        <item x="112"/>
        <item x="199"/>
        <item x="109"/>
        <item x="160"/>
        <item x="179"/>
        <item x="203"/>
        <item x="210"/>
        <item x="207"/>
        <item x="83"/>
        <item x="129"/>
        <item x="76"/>
        <item x="93"/>
        <item x="246"/>
        <item x="189"/>
        <item x="222"/>
        <item x="17"/>
        <item x="10"/>
        <item x="99"/>
        <item x="183"/>
        <item x="107"/>
        <item x="36"/>
        <item x="215"/>
        <item x="69"/>
        <item x="66"/>
        <item x="3"/>
        <item x="24"/>
        <item x="157"/>
        <item x="51"/>
        <item x="217"/>
        <item x="193"/>
        <item x="187"/>
        <item x="22"/>
        <item x="9"/>
        <item x="12"/>
        <item x="114"/>
        <item x="137"/>
        <item x="163"/>
        <item x="37"/>
        <item x="115"/>
        <item x="249"/>
        <item x="132"/>
        <item x="81"/>
        <item x="125"/>
        <item x="182"/>
        <item x="15"/>
        <item x="95"/>
        <item x="45"/>
        <item x="213"/>
        <item x="185"/>
        <item x="105"/>
        <item x="35"/>
        <item x="204"/>
        <item x="111"/>
        <item x="138"/>
        <item x="61"/>
        <item x="140"/>
        <item x="1"/>
        <item x="155"/>
        <item x="123"/>
        <item x="186"/>
        <item x="149"/>
        <item x="196"/>
        <item x="139"/>
        <item x="148"/>
        <item x="32"/>
        <item x="47"/>
        <item x="18"/>
        <item x="28"/>
        <item x="70"/>
        <item x="201"/>
        <item x="92"/>
        <item t="default"/>
      </items>
    </pivotField>
    <pivotField showAll="0" measureFilter="1" sortType="descending">
      <items count="299">
        <item x="134"/>
        <item x="94"/>
        <item x="199"/>
        <item x="91"/>
        <item x="157"/>
        <item x="256"/>
        <item x="243"/>
        <item x="44"/>
        <item x="67"/>
        <item x="39"/>
        <item x="215"/>
        <item x="145"/>
        <item x="171"/>
        <item x="297"/>
        <item x="112"/>
        <item x="211"/>
        <item x="38"/>
        <item x="106"/>
        <item x="281"/>
        <item x="289"/>
        <item x="2"/>
        <item x="264"/>
        <item x="22"/>
        <item x="139"/>
        <item x="97"/>
        <item x="40"/>
        <item x="260"/>
        <item x="294"/>
        <item x="15"/>
        <item x="72"/>
        <item x="172"/>
        <item x="170"/>
        <item x="271"/>
        <item x="235"/>
        <item x="11"/>
        <item x="16"/>
        <item x="247"/>
        <item x="216"/>
        <item x="176"/>
        <item x="184"/>
        <item x="146"/>
        <item x="175"/>
        <item x="279"/>
        <item x="192"/>
        <item x="147"/>
        <item x="58"/>
        <item x="189"/>
        <item x="131"/>
        <item x="49"/>
        <item x="136"/>
        <item x="8"/>
        <item x="270"/>
        <item x="253"/>
        <item x="79"/>
        <item x="120"/>
        <item x="86"/>
        <item x="262"/>
        <item x="205"/>
        <item x="178"/>
        <item x="151"/>
        <item x="201"/>
        <item x="261"/>
        <item x="276"/>
        <item x="80"/>
        <item x="190"/>
        <item x="47"/>
        <item x="160"/>
        <item x="233"/>
        <item x="283"/>
        <item x="81"/>
        <item x="51"/>
        <item x="168"/>
        <item x="287"/>
        <item x="33"/>
        <item x="288"/>
        <item x="198"/>
        <item x="62"/>
        <item x="82"/>
        <item x="73"/>
        <item x="0"/>
        <item x="193"/>
        <item x="124"/>
        <item x="135"/>
        <item x="115"/>
        <item x="210"/>
        <item x="144"/>
        <item x="142"/>
        <item x="251"/>
        <item x="113"/>
        <item x="238"/>
        <item x="166"/>
        <item x="181"/>
        <item x="269"/>
        <item x="95"/>
        <item x="27"/>
        <item x="244"/>
        <item x="76"/>
        <item x="296"/>
        <item x="293"/>
        <item x="231"/>
        <item x="18"/>
        <item x="66"/>
        <item x="64"/>
        <item x="100"/>
        <item x="218"/>
        <item x="239"/>
        <item x="78"/>
        <item x="156"/>
        <item x="29"/>
        <item x="65"/>
        <item x="111"/>
        <item x="56"/>
        <item x="202"/>
        <item x="119"/>
        <item x="182"/>
        <item x="230"/>
        <item x="203"/>
        <item x="290"/>
        <item x="284"/>
        <item x="36"/>
        <item x="159"/>
        <item x="130"/>
        <item x="173"/>
        <item x="154"/>
        <item x="37"/>
        <item x="90"/>
        <item x="266"/>
        <item x="25"/>
        <item x="204"/>
        <item x="50"/>
        <item x="109"/>
        <item x="108"/>
        <item x="185"/>
        <item x="48"/>
        <item x="126"/>
        <item x="267"/>
        <item x="282"/>
        <item x="225"/>
        <item x="14"/>
        <item x="212"/>
        <item x="87"/>
        <item x="169"/>
        <item x="155"/>
        <item x="52"/>
        <item x="104"/>
        <item x="263"/>
        <item x="207"/>
        <item x="191"/>
        <item x="213"/>
        <item x="141"/>
        <item x="152"/>
        <item x="179"/>
        <item x="45"/>
        <item x="35"/>
        <item x="286"/>
        <item x="255"/>
        <item x="149"/>
        <item x="55"/>
        <item x="177"/>
        <item x="265"/>
        <item x="161"/>
        <item x="272"/>
        <item x="229"/>
        <item x="222"/>
        <item x="162"/>
        <item x="117"/>
        <item x="165"/>
        <item x="241"/>
        <item x="28"/>
        <item x="197"/>
        <item x="268"/>
        <item x="92"/>
        <item x="53"/>
        <item x="140"/>
        <item x="291"/>
        <item x="41"/>
        <item x="128"/>
        <item x="242"/>
        <item x="17"/>
        <item x="249"/>
        <item x="68"/>
        <item x="93"/>
        <item x="75"/>
        <item x="187"/>
        <item x="219"/>
        <item x="10"/>
        <item x="54"/>
        <item x="275"/>
        <item x="246"/>
        <item x="103"/>
        <item x="180"/>
        <item x="63"/>
        <item x="226"/>
        <item x="88"/>
        <item x="107"/>
        <item x="96"/>
        <item x="26"/>
        <item x="21"/>
        <item x="98"/>
        <item x="61"/>
        <item x="138"/>
        <item x="295"/>
        <item x="188"/>
        <item x="118"/>
        <item x="164"/>
        <item x="208"/>
        <item x="129"/>
        <item x="143"/>
        <item x="105"/>
        <item x="148"/>
        <item x="150"/>
        <item x="34"/>
        <item x="163"/>
        <item x="7"/>
        <item x="227"/>
        <item x="273"/>
        <item x="43"/>
        <item x="248"/>
        <item x="59"/>
        <item x="196"/>
        <item x="123"/>
        <item x="74"/>
        <item x="5"/>
        <item x="257"/>
        <item x="57"/>
        <item x="122"/>
        <item x="89"/>
        <item x="77"/>
        <item x="240"/>
        <item x="195"/>
        <item x="84"/>
        <item x="254"/>
        <item x="274"/>
        <item x="125"/>
        <item x="85"/>
        <item x="194"/>
        <item x="220"/>
        <item x="23"/>
        <item x="221"/>
        <item x="3"/>
        <item x="183"/>
        <item x="237"/>
        <item x="60"/>
        <item x="132"/>
        <item x="69"/>
        <item x="153"/>
        <item x="99"/>
        <item x="70"/>
        <item x="83"/>
        <item x="24"/>
        <item x="127"/>
        <item x="46"/>
        <item x="9"/>
        <item x="116"/>
        <item x="1"/>
        <item x="252"/>
        <item x="278"/>
        <item x="259"/>
        <item x="137"/>
        <item x="174"/>
        <item x="206"/>
        <item x="234"/>
        <item x="228"/>
        <item x="292"/>
        <item x="209"/>
        <item x="20"/>
        <item x="224"/>
        <item x="232"/>
        <item x="71"/>
        <item x="30"/>
        <item x="167"/>
        <item x="258"/>
        <item x="236"/>
        <item x="4"/>
        <item x="277"/>
        <item x="32"/>
        <item x="245"/>
        <item x="19"/>
        <item x="42"/>
        <item x="285"/>
        <item x="250"/>
        <item x="110"/>
        <item x="114"/>
        <item x="214"/>
        <item x="102"/>
        <item x="200"/>
        <item x="133"/>
        <item x="158"/>
        <item x="217"/>
        <item x="280"/>
        <item x="121"/>
        <item x="13"/>
        <item x="31"/>
        <item x="186"/>
        <item x="12"/>
        <item x="6"/>
        <item x="101"/>
        <item x="223"/>
        <item t="default"/>
      </items>
      <autoSortScope>
        <pivotArea dataOnly="0" outline="0" fieldPosition="0">
          <references count="1">
            <reference field="4294967294" count="1" selected="0">
              <x v="0"/>
            </reference>
          </references>
        </pivotArea>
      </autoSortScope>
    </pivotField>
    <pivotField showAll="0">
      <items count="5">
        <item x="3"/>
        <item x="1"/>
        <item x="0"/>
        <item x="2"/>
        <item t="default"/>
      </items>
    </pivotField>
    <pivotField showAll="0">
      <items count="6">
        <item x="0"/>
        <item x="1"/>
        <item x="2"/>
        <item x="3"/>
        <item x="4"/>
        <item t="default"/>
      </items>
    </pivotField>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Total Sales" fld="7"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103A93-F624-4686-A7CB-FEF7DC6E1D0E}"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48:D54" firstHeaderRow="1" firstDataRow="1" firstDataCol="1"/>
  <pivotFields count="13">
    <pivotField showAll="0"/>
    <pivotField numFmtId="164" showAll="0">
      <items count="257">
        <item x="100"/>
        <item x="162"/>
        <item x="133"/>
        <item x="244"/>
        <item x="226"/>
        <item x="71"/>
        <item x="143"/>
        <item x="57"/>
        <item x="228"/>
        <item x="191"/>
        <item x="54"/>
        <item x="126"/>
        <item x="239"/>
        <item x="41"/>
        <item x="68"/>
        <item x="164"/>
        <item x="6"/>
        <item x="13"/>
        <item x="128"/>
        <item x="65"/>
        <item x="82"/>
        <item x="206"/>
        <item x="84"/>
        <item x="169"/>
        <item x="136"/>
        <item x="253"/>
        <item x="232"/>
        <item x="79"/>
        <item x="141"/>
        <item x="227"/>
        <item x="198"/>
        <item x="241"/>
        <item x="97"/>
        <item x="194"/>
        <item x="233"/>
        <item x="104"/>
        <item x="86"/>
        <item x="165"/>
        <item x="59"/>
        <item x="77"/>
        <item x="8"/>
        <item x="218"/>
        <item x="78"/>
        <item x="33"/>
        <item x="152"/>
        <item x="173"/>
        <item x="243"/>
        <item x="4"/>
        <item x="224"/>
        <item x="175"/>
        <item x="230"/>
        <item x="231"/>
        <item x="30"/>
        <item x="119"/>
        <item x="135"/>
        <item x="44"/>
        <item x="225"/>
        <item x="67"/>
        <item x="117"/>
        <item x="251"/>
        <item x="214"/>
        <item x="27"/>
        <item x="190"/>
        <item x="98"/>
        <item x="240"/>
        <item x="154"/>
        <item x="31"/>
        <item x="166"/>
        <item x="124"/>
        <item x="250"/>
        <item x="102"/>
        <item x="80"/>
        <item x="219"/>
        <item x="16"/>
        <item x="156"/>
        <item x="53"/>
        <item x="147"/>
        <item x="0"/>
        <item x="177"/>
        <item x="88"/>
        <item x="14"/>
        <item x="254"/>
        <item x="56"/>
        <item x="252"/>
        <item x="90"/>
        <item x="55"/>
        <item x="62"/>
        <item x="50"/>
        <item x="211"/>
        <item x="220"/>
        <item x="171"/>
        <item x="146"/>
        <item x="48"/>
        <item x="60"/>
        <item x="142"/>
        <item x="29"/>
        <item x="130"/>
        <item x="74"/>
        <item x="170"/>
        <item x="7"/>
        <item x="11"/>
        <item x="118"/>
        <item x="209"/>
        <item x="40"/>
        <item x="101"/>
        <item x="127"/>
        <item x="34"/>
        <item x="184"/>
        <item x="234"/>
        <item x="87"/>
        <item x="110"/>
        <item x="108"/>
        <item x="237"/>
        <item x="168"/>
        <item x="174"/>
        <item x="38"/>
        <item x="43"/>
        <item x="52"/>
        <item x="20"/>
        <item x="2"/>
        <item x="94"/>
        <item x="23"/>
        <item x="113"/>
        <item x="248"/>
        <item x="75"/>
        <item x="178"/>
        <item x="91"/>
        <item x="242"/>
        <item x="238"/>
        <item x="39"/>
        <item x="120"/>
        <item x="167"/>
        <item x="197"/>
        <item x="144"/>
        <item x="72"/>
        <item x="221"/>
        <item x="192"/>
        <item x="176"/>
        <item x="153"/>
        <item x="49"/>
        <item x="151"/>
        <item x="63"/>
        <item x="212"/>
        <item x="208"/>
        <item x="46"/>
        <item x="181"/>
        <item x="216"/>
        <item x="5"/>
        <item x="85"/>
        <item x="255"/>
        <item x="200"/>
        <item x="25"/>
        <item x="106"/>
        <item x="122"/>
        <item x="158"/>
        <item x="229"/>
        <item x="116"/>
        <item x="195"/>
        <item x="161"/>
        <item x="172"/>
        <item x="58"/>
        <item x="150"/>
        <item x="96"/>
        <item x="159"/>
        <item x="64"/>
        <item x="247"/>
        <item x="145"/>
        <item x="180"/>
        <item x="235"/>
        <item x="134"/>
        <item x="205"/>
        <item x="188"/>
        <item x="19"/>
        <item x="223"/>
        <item x="202"/>
        <item x="131"/>
        <item x="42"/>
        <item x="236"/>
        <item x="21"/>
        <item x="121"/>
        <item x="245"/>
        <item x="103"/>
        <item x="89"/>
        <item x="73"/>
        <item x="26"/>
        <item x="112"/>
        <item x="199"/>
        <item x="109"/>
        <item x="160"/>
        <item x="179"/>
        <item x="203"/>
        <item x="210"/>
        <item x="207"/>
        <item x="83"/>
        <item x="129"/>
        <item x="76"/>
        <item x="93"/>
        <item x="246"/>
        <item x="189"/>
        <item x="222"/>
        <item x="17"/>
        <item x="10"/>
        <item x="99"/>
        <item x="183"/>
        <item x="107"/>
        <item x="36"/>
        <item x="215"/>
        <item x="69"/>
        <item x="66"/>
        <item x="3"/>
        <item x="24"/>
        <item x="157"/>
        <item x="51"/>
        <item x="217"/>
        <item x="193"/>
        <item x="187"/>
        <item x="22"/>
        <item x="9"/>
        <item x="12"/>
        <item x="114"/>
        <item x="137"/>
        <item x="163"/>
        <item x="37"/>
        <item x="115"/>
        <item x="249"/>
        <item x="132"/>
        <item x="81"/>
        <item x="125"/>
        <item x="182"/>
        <item x="15"/>
        <item x="95"/>
        <item x="45"/>
        <item x="213"/>
        <item x="185"/>
        <item x="105"/>
        <item x="35"/>
        <item x="204"/>
        <item x="111"/>
        <item x="138"/>
        <item x="61"/>
        <item x="140"/>
        <item x="1"/>
        <item x="155"/>
        <item x="123"/>
        <item x="186"/>
        <item x="149"/>
        <item x="196"/>
        <item x="139"/>
        <item x="148"/>
        <item x="32"/>
        <item x="47"/>
        <item x="18"/>
        <item x="28"/>
        <item x="70"/>
        <item x="201"/>
        <item x="92"/>
        <item t="default"/>
      </items>
    </pivotField>
    <pivotField axis="axisRow" showAll="0" measureFilter="1" sortType="descending">
      <items count="299">
        <item x="134"/>
        <item x="94"/>
        <item x="199"/>
        <item x="91"/>
        <item x="157"/>
        <item x="256"/>
        <item x="243"/>
        <item x="44"/>
        <item x="67"/>
        <item x="39"/>
        <item x="215"/>
        <item x="145"/>
        <item x="171"/>
        <item x="297"/>
        <item x="112"/>
        <item x="211"/>
        <item x="38"/>
        <item x="106"/>
        <item x="281"/>
        <item x="289"/>
        <item x="2"/>
        <item x="264"/>
        <item x="22"/>
        <item x="139"/>
        <item x="97"/>
        <item x="40"/>
        <item x="260"/>
        <item x="294"/>
        <item x="15"/>
        <item x="72"/>
        <item x="172"/>
        <item x="170"/>
        <item x="271"/>
        <item x="235"/>
        <item x="11"/>
        <item x="16"/>
        <item x="247"/>
        <item x="216"/>
        <item x="176"/>
        <item x="184"/>
        <item x="146"/>
        <item x="175"/>
        <item x="279"/>
        <item x="192"/>
        <item x="147"/>
        <item x="58"/>
        <item x="189"/>
        <item x="131"/>
        <item x="49"/>
        <item x="136"/>
        <item x="8"/>
        <item x="270"/>
        <item x="253"/>
        <item x="79"/>
        <item x="120"/>
        <item x="86"/>
        <item x="262"/>
        <item x="205"/>
        <item x="178"/>
        <item x="151"/>
        <item x="201"/>
        <item x="261"/>
        <item x="276"/>
        <item x="80"/>
        <item x="190"/>
        <item x="47"/>
        <item x="160"/>
        <item x="233"/>
        <item x="283"/>
        <item x="81"/>
        <item x="51"/>
        <item x="168"/>
        <item x="287"/>
        <item x="33"/>
        <item x="288"/>
        <item x="198"/>
        <item x="62"/>
        <item x="82"/>
        <item x="73"/>
        <item x="0"/>
        <item x="193"/>
        <item x="124"/>
        <item x="135"/>
        <item x="115"/>
        <item x="210"/>
        <item x="144"/>
        <item x="142"/>
        <item x="251"/>
        <item x="113"/>
        <item x="238"/>
        <item x="166"/>
        <item x="181"/>
        <item x="269"/>
        <item x="95"/>
        <item x="27"/>
        <item x="244"/>
        <item x="76"/>
        <item x="296"/>
        <item x="293"/>
        <item x="231"/>
        <item x="18"/>
        <item x="66"/>
        <item x="64"/>
        <item x="100"/>
        <item x="218"/>
        <item x="239"/>
        <item x="78"/>
        <item x="156"/>
        <item x="29"/>
        <item x="65"/>
        <item x="111"/>
        <item x="56"/>
        <item x="202"/>
        <item x="119"/>
        <item x="182"/>
        <item x="230"/>
        <item x="203"/>
        <item x="290"/>
        <item x="284"/>
        <item x="36"/>
        <item x="159"/>
        <item x="130"/>
        <item x="173"/>
        <item x="154"/>
        <item x="37"/>
        <item x="90"/>
        <item x="266"/>
        <item x="25"/>
        <item x="204"/>
        <item x="50"/>
        <item x="109"/>
        <item x="108"/>
        <item x="185"/>
        <item x="48"/>
        <item x="126"/>
        <item x="267"/>
        <item x="282"/>
        <item x="225"/>
        <item x="14"/>
        <item x="212"/>
        <item x="87"/>
        <item x="169"/>
        <item x="155"/>
        <item x="52"/>
        <item x="104"/>
        <item x="263"/>
        <item x="207"/>
        <item x="191"/>
        <item x="213"/>
        <item x="141"/>
        <item x="152"/>
        <item x="179"/>
        <item x="45"/>
        <item x="35"/>
        <item x="286"/>
        <item x="255"/>
        <item x="149"/>
        <item x="55"/>
        <item x="177"/>
        <item x="265"/>
        <item x="161"/>
        <item x="272"/>
        <item x="229"/>
        <item x="222"/>
        <item x="162"/>
        <item x="117"/>
        <item x="165"/>
        <item x="241"/>
        <item x="28"/>
        <item x="197"/>
        <item x="268"/>
        <item x="92"/>
        <item x="53"/>
        <item x="140"/>
        <item x="291"/>
        <item x="41"/>
        <item x="128"/>
        <item x="242"/>
        <item x="17"/>
        <item x="249"/>
        <item x="68"/>
        <item x="93"/>
        <item x="75"/>
        <item x="187"/>
        <item x="219"/>
        <item x="10"/>
        <item x="54"/>
        <item x="275"/>
        <item x="246"/>
        <item x="103"/>
        <item x="180"/>
        <item x="63"/>
        <item x="226"/>
        <item x="88"/>
        <item x="107"/>
        <item x="96"/>
        <item x="26"/>
        <item x="21"/>
        <item x="98"/>
        <item x="61"/>
        <item x="138"/>
        <item x="295"/>
        <item x="188"/>
        <item x="118"/>
        <item x="164"/>
        <item x="208"/>
        <item x="129"/>
        <item x="143"/>
        <item x="105"/>
        <item x="148"/>
        <item x="150"/>
        <item x="34"/>
        <item x="163"/>
        <item x="7"/>
        <item x="227"/>
        <item x="273"/>
        <item x="43"/>
        <item x="248"/>
        <item x="59"/>
        <item x="196"/>
        <item x="123"/>
        <item x="74"/>
        <item x="5"/>
        <item x="257"/>
        <item x="57"/>
        <item x="122"/>
        <item x="89"/>
        <item x="77"/>
        <item x="240"/>
        <item x="195"/>
        <item x="84"/>
        <item x="254"/>
        <item x="274"/>
        <item x="125"/>
        <item x="85"/>
        <item x="194"/>
        <item x="220"/>
        <item x="23"/>
        <item x="221"/>
        <item x="3"/>
        <item x="183"/>
        <item x="237"/>
        <item x="60"/>
        <item x="132"/>
        <item x="69"/>
        <item x="153"/>
        <item x="99"/>
        <item x="70"/>
        <item x="83"/>
        <item x="24"/>
        <item x="127"/>
        <item x="46"/>
        <item x="9"/>
        <item x="116"/>
        <item x="1"/>
        <item x="252"/>
        <item x="278"/>
        <item x="259"/>
        <item x="137"/>
        <item x="174"/>
        <item x="206"/>
        <item x="234"/>
        <item x="228"/>
        <item x="292"/>
        <item x="209"/>
        <item x="20"/>
        <item x="224"/>
        <item x="232"/>
        <item x="71"/>
        <item x="30"/>
        <item x="167"/>
        <item x="258"/>
        <item x="236"/>
        <item x="4"/>
        <item x="277"/>
        <item x="32"/>
        <item x="245"/>
        <item x="19"/>
        <item x="42"/>
        <item x="285"/>
        <item x="250"/>
        <item x="110"/>
        <item x="114"/>
        <item x="214"/>
        <item x="102"/>
        <item x="200"/>
        <item x="133"/>
        <item x="158"/>
        <item x="217"/>
        <item x="280"/>
        <item x="121"/>
        <item x="13"/>
        <item x="31"/>
        <item x="186"/>
        <item x="12"/>
        <item x="6"/>
        <item x="101"/>
        <item x="223"/>
        <item t="default"/>
      </items>
      <autoSortScope>
        <pivotArea dataOnly="0" outline="0" fieldPosition="0">
          <references count="1">
            <reference field="4294967294" count="1" selected="0">
              <x v="0"/>
            </reference>
          </references>
        </pivotArea>
      </autoSortScope>
    </pivotField>
    <pivotField showAll="0">
      <items count="5">
        <item x="3"/>
        <item x="1"/>
        <item x="0"/>
        <item x="2"/>
        <item t="default"/>
      </items>
    </pivotField>
    <pivotField showAll="0">
      <items count="6">
        <item x="0"/>
        <item x="1"/>
        <item x="2"/>
        <item x="3"/>
        <item x="4"/>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6">
    <i>
      <x v="296"/>
    </i>
    <i>
      <x v="129"/>
    </i>
    <i>
      <x v="188"/>
    </i>
    <i>
      <x v="57"/>
    </i>
    <i>
      <x v="266"/>
    </i>
    <i t="grand">
      <x/>
    </i>
  </rowItems>
  <colItems count="1">
    <i/>
  </colItems>
  <dataFields count="1">
    <dataField name="Sum of Total Sales" fld="7" baseField="0" baseItem="0"/>
  </dataField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7C0C7E-5AB1-4CF5-82C2-DC0FA5ABD8E7}"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36:D42" firstHeaderRow="1" firstDataRow="1" firstDataCol="1"/>
  <pivotFields count="13">
    <pivotField showAll="0"/>
    <pivotField numFmtId="164" showAll="0">
      <items count="257">
        <item x="100"/>
        <item x="162"/>
        <item x="133"/>
        <item x="244"/>
        <item x="226"/>
        <item x="71"/>
        <item x="143"/>
        <item x="57"/>
        <item x="228"/>
        <item x="191"/>
        <item x="54"/>
        <item x="126"/>
        <item x="239"/>
        <item x="41"/>
        <item x="68"/>
        <item x="164"/>
        <item x="6"/>
        <item x="13"/>
        <item x="128"/>
        <item x="65"/>
        <item x="82"/>
        <item x="206"/>
        <item x="84"/>
        <item x="169"/>
        <item x="136"/>
        <item x="253"/>
        <item x="232"/>
        <item x="79"/>
        <item x="141"/>
        <item x="227"/>
        <item x="198"/>
        <item x="241"/>
        <item x="97"/>
        <item x="194"/>
        <item x="233"/>
        <item x="104"/>
        <item x="86"/>
        <item x="165"/>
        <item x="59"/>
        <item x="77"/>
        <item x="8"/>
        <item x="218"/>
        <item x="78"/>
        <item x="33"/>
        <item x="152"/>
        <item x="173"/>
        <item x="243"/>
        <item x="4"/>
        <item x="224"/>
        <item x="175"/>
        <item x="230"/>
        <item x="231"/>
        <item x="30"/>
        <item x="119"/>
        <item x="135"/>
        <item x="44"/>
        <item x="225"/>
        <item x="67"/>
        <item x="117"/>
        <item x="251"/>
        <item x="214"/>
        <item x="27"/>
        <item x="190"/>
        <item x="98"/>
        <item x="240"/>
        <item x="154"/>
        <item x="31"/>
        <item x="166"/>
        <item x="124"/>
        <item x="250"/>
        <item x="102"/>
        <item x="80"/>
        <item x="219"/>
        <item x="16"/>
        <item x="156"/>
        <item x="53"/>
        <item x="147"/>
        <item x="0"/>
        <item x="177"/>
        <item x="88"/>
        <item x="14"/>
        <item x="254"/>
        <item x="56"/>
        <item x="252"/>
        <item x="90"/>
        <item x="55"/>
        <item x="62"/>
        <item x="50"/>
        <item x="211"/>
        <item x="220"/>
        <item x="171"/>
        <item x="146"/>
        <item x="48"/>
        <item x="60"/>
        <item x="142"/>
        <item x="29"/>
        <item x="130"/>
        <item x="74"/>
        <item x="170"/>
        <item x="7"/>
        <item x="11"/>
        <item x="118"/>
        <item x="209"/>
        <item x="40"/>
        <item x="101"/>
        <item x="127"/>
        <item x="34"/>
        <item x="184"/>
        <item x="234"/>
        <item x="87"/>
        <item x="110"/>
        <item x="108"/>
        <item x="237"/>
        <item x="168"/>
        <item x="174"/>
        <item x="38"/>
        <item x="43"/>
        <item x="52"/>
        <item x="20"/>
        <item x="2"/>
        <item x="94"/>
        <item x="23"/>
        <item x="113"/>
        <item x="248"/>
        <item x="75"/>
        <item x="178"/>
        <item x="91"/>
        <item x="242"/>
        <item x="238"/>
        <item x="39"/>
        <item x="120"/>
        <item x="167"/>
        <item x="197"/>
        <item x="144"/>
        <item x="72"/>
        <item x="221"/>
        <item x="192"/>
        <item x="176"/>
        <item x="153"/>
        <item x="49"/>
        <item x="151"/>
        <item x="63"/>
        <item x="212"/>
        <item x="208"/>
        <item x="46"/>
        <item x="181"/>
        <item x="216"/>
        <item x="5"/>
        <item x="85"/>
        <item x="255"/>
        <item x="200"/>
        <item x="25"/>
        <item x="106"/>
        <item x="122"/>
        <item x="158"/>
        <item x="229"/>
        <item x="116"/>
        <item x="195"/>
        <item x="161"/>
        <item x="172"/>
        <item x="58"/>
        <item x="150"/>
        <item x="96"/>
        <item x="159"/>
        <item x="64"/>
        <item x="247"/>
        <item x="145"/>
        <item x="180"/>
        <item x="235"/>
        <item x="134"/>
        <item x="205"/>
        <item x="188"/>
        <item x="19"/>
        <item x="223"/>
        <item x="202"/>
        <item x="131"/>
        <item x="42"/>
        <item x="236"/>
        <item x="21"/>
        <item x="121"/>
        <item x="245"/>
        <item x="103"/>
        <item x="89"/>
        <item x="73"/>
        <item x="26"/>
        <item x="112"/>
        <item x="199"/>
        <item x="109"/>
        <item x="160"/>
        <item x="179"/>
        <item x="203"/>
        <item x="210"/>
        <item x="207"/>
        <item x="83"/>
        <item x="129"/>
        <item x="76"/>
        <item x="93"/>
        <item x="246"/>
        <item x="189"/>
        <item x="222"/>
        <item x="17"/>
        <item x="10"/>
        <item x="99"/>
        <item x="183"/>
        <item x="107"/>
        <item x="36"/>
        <item x="215"/>
        <item x="69"/>
        <item x="66"/>
        <item x="3"/>
        <item x="24"/>
        <item x="157"/>
        <item x="51"/>
        <item x="217"/>
        <item x="193"/>
        <item x="187"/>
        <item x="22"/>
        <item x="9"/>
        <item x="12"/>
        <item x="114"/>
        <item x="137"/>
        <item x="163"/>
        <item x="37"/>
        <item x="115"/>
        <item x="249"/>
        <item x="132"/>
        <item x="81"/>
        <item x="125"/>
        <item x="182"/>
        <item x="15"/>
        <item x="95"/>
        <item x="45"/>
        <item x="213"/>
        <item x="185"/>
        <item x="105"/>
        <item x="35"/>
        <item x="204"/>
        <item x="111"/>
        <item x="138"/>
        <item x="61"/>
        <item x="140"/>
        <item x="1"/>
        <item x="155"/>
        <item x="123"/>
        <item x="186"/>
        <item x="149"/>
        <item x="196"/>
        <item x="139"/>
        <item x="148"/>
        <item x="32"/>
        <item x="47"/>
        <item x="18"/>
        <item x="28"/>
        <item x="70"/>
        <item x="201"/>
        <item x="92"/>
        <item t="default"/>
      </items>
    </pivotField>
    <pivotField showAll="0"/>
    <pivotField showAll="0">
      <items count="5">
        <item x="3"/>
        <item x="1"/>
        <item x="0"/>
        <item x="2"/>
        <item t="default"/>
      </items>
    </pivotField>
    <pivotField axis="axisRow" showAll="0">
      <items count="6">
        <item x="0"/>
        <item x="1"/>
        <item x="2"/>
        <item x="3"/>
        <item x="4"/>
        <item t="default"/>
      </items>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6">
    <i>
      <x/>
    </i>
    <i>
      <x v="1"/>
    </i>
    <i>
      <x v="2"/>
    </i>
    <i>
      <x v="3"/>
    </i>
    <i>
      <x v="4"/>
    </i>
    <i t="grand">
      <x/>
    </i>
  </rowItems>
  <colItems count="1">
    <i/>
  </colItems>
  <dataFields count="1">
    <dataField name="Sum of Units Sold" fld="5"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042A66-E85D-446D-9F0E-7901C08A8CE8}"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D30" firstHeaderRow="1" firstDataRow="1" firstDataCol="1"/>
  <pivotFields count="13">
    <pivotField showAll="0"/>
    <pivotField numFmtId="164" showAll="0">
      <items count="257">
        <item x="100"/>
        <item x="162"/>
        <item x="133"/>
        <item x="244"/>
        <item x="226"/>
        <item x="71"/>
        <item x="143"/>
        <item x="57"/>
        <item x="228"/>
        <item x="191"/>
        <item x="54"/>
        <item x="126"/>
        <item x="239"/>
        <item x="41"/>
        <item x="68"/>
        <item x="164"/>
        <item x="6"/>
        <item x="13"/>
        <item x="128"/>
        <item x="65"/>
        <item x="82"/>
        <item x="206"/>
        <item x="84"/>
        <item x="169"/>
        <item x="136"/>
        <item x="253"/>
        <item x="232"/>
        <item x="79"/>
        <item x="141"/>
        <item x="227"/>
        <item x="198"/>
        <item x="241"/>
        <item x="97"/>
        <item x="194"/>
        <item x="233"/>
        <item x="104"/>
        <item x="86"/>
        <item x="165"/>
        <item x="59"/>
        <item x="77"/>
        <item x="8"/>
        <item x="218"/>
        <item x="78"/>
        <item x="33"/>
        <item x="152"/>
        <item x="173"/>
        <item x="243"/>
        <item x="4"/>
        <item x="224"/>
        <item x="175"/>
        <item x="230"/>
        <item x="231"/>
        <item x="30"/>
        <item x="119"/>
        <item x="135"/>
        <item x="44"/>
        <item x="225"/>
        <item x="67"/>
        <item x="117"/>
        <item x="251"/>
        <item x="214"/>
        <item x="27"/>
        <item x="190"/>
        <item x="98"/>
        <item x="240"/>
        <item x="154"/>
        <item x="31"/>
        <item x="166"/>
        <item x="124"/>
        <item x="250"/>
        <item x="102"/>
        <item x="80"/>
        <item x="219"/>
        <item x="16"/>
        <item x="156"/>
        <item x="53"/>
        <item x="147"/>
        <item x="0"/>
        <item x="177"/>
        <item x="88"/>
        <item x="14"/>
        <item x="254"/>
        <item x="56"/>
        <item x="252"/>
        <item x="90"/>
        <item x="55"/>
        <item x="62"/>
        <item x="50"/>
        <item x="211"/>
        <item x="220"/>
        <item x="171"/>
        <item x="146"/>
        <item x="48"/>
        <item x="60"/>
        <item x="142"/>
        <item x="29"/>
        <item x="130"/>
        <item x="74"/>
        <item x="170"/>
        <item x="7"/>
        <item x="11"/>
        <item x="118"/>
        <item x="209"/>
        <item x="40"/>
        <item x="101"/>
        <item x="127"/>
        <item x="34"/>
        <item x="184"/>
        <item x="234"/>
        <item x="87"/>
        <item x="110"/>
        <item x="108"/>
        <item x="237"/>
        <item x="168"/>
        <item x="174"/>
        <item x="38"/>
        <item x="43"/>
        <item x="52"/>
        <item x="20"/>
        <item x="2"/>
        <item x="94"/>
        <item x="23"/>
        <item x="113"/>
        <item x="248"/>
        <item x="75"/>
        <item x="178"/>
        <item x="91"/>
        <item x="242"/>
        <item x="238"/>
        <item x="39"/>
        <item x="120"/>
        <item x="167"/>
        <item x="197"/>
        <item x="144"/>
        <item x="72"/>
        <item x="221"/>
        <item x="192"/>
        <item x="176"/>
        <item x="153"/>
        <item x="49"/>
        <item x="151"/>
        <item x="63"/>
        <item x="212"/>
        <item x="208"/>
        <item x="46"/>
        <item x="181"/>
        <item x="216"/>
        <item x="5"/>
        <item x="85"/>
        <item x="255"/>
        <item x="200"/>
        <item x="25"/>
        <item x="106"/>
        <item x="122"/>
        <item x="158"/>
        <item x="229"/>
        <item x="116"/>
        <item x="195"/>
        <item x="161"/>
        <item x="172"/>
        <item x="58"/>
        <item x="150"/>
        <item x="96"/>
        <item x="159"/>
        <item x="64"/>
        <item x="247"/>
        <item x="145"/>
        <item x="180"/>
        <item x="235"/>
        <item x="134"/>
        <item x="205"/>
        <item x="188"/>
        <item x="19"/>
        <item x="223"/>
        <item x="202"/>
        <item x="131"/>
        <item x="42"/>
        <item x="236"/>
        <item x="21"/>
        <item x="121"/>
        <item x="245"/>
        <item x="103"/>
        <item x="89"/>
        <item x="73"/>
        <item x="26"/>
        <item x="112"/>
        <item x="199"/>
        <item x="109"/>
        <item x="160"/>
        <item x="179"/>
        <item x="203"/>
        <item x="210"/>
        <item x="207"/>
        <item x="83"/>
        <item x="129"/>
        <item x="76"/>
        <item x="93"/>
        <item x="246"/>
        <item x="189"/>
        <item x="222"/>
        <item x="17"/>
        <item x="10"/>
        <item x="99"/>
        <item x="183"/>
        <item x="107"/>
        <item x="36"/>
        <item x="215"/>
        <item x="69"/>
        <item x="66"/>
        <item x="3"/>
        <item x="24"/>
        <item x="157"/>
        <item x="51"/>
        <item x="217"/>
        <item x="193"/>
        <item x="187"/>
        <item x="22"/>
        <item x="9"/>
        <item x="12"/>
        <item x="114"/>
        <item x="137"/>
        <item x="163"/>
        <item x="37"/>
        <item x="115"/>
        <item x="249"/>
        <item x="132"/>
        <item x="81"/>
        <item x="125"/>
        <item x="182"/>
        <item x="15"/>
        <item x="95"/>
        <item x="45"/>
        <item x="213"/>
        <item x="185"/>
        <item x="105"/>
        <item x="35"/>
        <item x="204"/>
        <item x="111"/>
        <item x="138"/>
        <item x="61"/>
        <item x="140"/>
        <item x="1"/>
        <item x="155"/>
        <item x="123"/>
        <item x="186"/>
        <item x="149"/>
        <item x="196"/>
        <item x="139"/>
        <item x="148"/>
        <item x="32"/>
        <item x="47"/>
        <item x="18"/>
        <item x="28"/>
        <item x="70"/>
        <item x="201"/>
        <item x="92"/>
        <item t="default"/>
      </items>
    </pivotField>
    <pivotField showAll="0"/>
    <pivotField axis="axisRow" showAll="0">
      <items count="5">
        <item x="3"/>
        <item x="1"/>
        <item x="0"/>
        <item x="2"/>
        <item t="default"/>
      </items>
    </pivotField>
    <pivotField axis="axisRow" showAll="0">
      <items count="6">
        <item x="0"/>
        <item x="1"/>
        <item x="2"/>
        <item x="3"/>
        <item x="4"/>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3"/>
    <field x="4"/>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Items count="1">
    <i/>
  </colItems>
  <dataFields count="1">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93669DB-6933-4441-9D6A-F94DCE6F8AAD}" sourceName="Region">
  <pivotTables>
    <pivotTable tabId="6" name="PivotTable5"/>
    <pivotTable tabId="6" name="PivotTable6"/>
    <pivotTable tabId="6" name="PivotTable7"/>
    <pivotTable tabId="6" name="PivotTable8"/>
  </pivotTables>
  <data>
    <tabular pivotCacheId="815365683">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1D6E38F-CD7B-4EC9-9590-652AFCA2023A}"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A6DD02-BF4E-4C6B-8662-2575650EFAD8}" name="Table1" displayName="Table1" ref="A1:L301" totalsRowShown="0" headerRowDxfId="10" headerRowBorderDxfId="9" tableBorderDxfId="8">
  <autoFilter ref="A1:L301" xr:uid="{B1A6DD02-BF4E-4C6B-8662-2575650EFAD8}"/>
  <tableColumns count="12">
    <tableColumn id="1" xr3:uid="{11BA9A0C-5ADC-48D5-AF4E-7019C8A10A34}" name="Employee ID"/>
    <tableColumn id="2" xr3:uid="{81C21EF5-929C-4619-9833-13BB667D54BF}" name="Name"/>
    <tableColumn id="3" xr3:uid="{6C2A1850-B589-4562-A944-6A560EAB0DA4}" name="Department"/>
    <tableColumn id="4" xr3:uid="{B9061DED-43A1-491F-89EA-EFCBE7255A68}" name="Location"/>
    <tableColumn id="5" xr3:uid="{EFE41982-8852-4BE6-AA42-D7D9DEDC6A6B}" name="Joining Date" dataDxfId="7"/>
    <tableColumn id="6" xr3:uid="{4991C217-67A2-4508-91E0-6D4321BF1D48}" name="Salary"/>
    <tableColumn id="7" xr3:uid="{6D30D388-4D13-4813-B72F-336B4BA36A4D}" name="Bonus %"/>
    <tableColumn id="8" xr3:uid="{D68FD435-529C-4775-8E1D-7802EC71A904}" name="Performance_Grade"/>
    <tableColumn id="9" xr3:uid="{EC3CF249-ACE7-41CB-A5D7-C8F60D38F53A}" name="Project Code"/>
    <tableColumn id="10" xr3:uid="{DF503732-B883-4515-A7E5-8736D94BBC37}" name="Leaves Taken"/>
    <tableColumn id="11" xr3:uid="{51F219E7-D115-40AC-9886-A7749240B442}" name="Compensation" dataDxfId="6">
      <calculatedColumnFormula>Table1[[#This Row],[Salary]]+(Table1[[#This Row],[Salary]]*(Table1[[#This Row],[Bonus %]]/100))</calculatedColumnFormula>
    </tableColumn>
    <tableColumn id="12" xr3:uid="{545BDD9E-578C-4B65-A3E8-6223A6F03885}" name="Emp Rank" dataDxfId="5">
      <calculatedColumnFormula>IF(OR(H2="A",H2="B"),"Pass","Fail")</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EA4113-F604-4ABC-B88C-AC7B05C2C0DC}" name="Table2" displayName="Table2" ref="A16:B19" totalsRowShown="0">
  <autoFilter ref="A16:B19" xr:uid="{AFEA4113-F604-4ABC-B88C-AC7B05C2C0DC}"/>
  <tableColumns count="2">
    <tableColumn id="2" xr3:uid="{FFF6EE0B-26C9-4FCA-9397-3CB84BC71667}" name="Project Code"/>
    <tableColumn id="1" xr3:uid="{E10675DA-7A52-4F0C-BF35-F6468EDDD7B9}" name="Project Code Descriptio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4F60053-66FF-48F9-A2EE-14230DBA5A8C}" name="Table3" displayName="Table3" ref="A1:J301" totalsRowShown="0" headerRowDxfId="4" headerRowBorderDxfId="3" tableBorderDxfId="2">
  <autoFilter ref="A1:J301" xr:uid="{A4F60053-66FF-48F9-A2EE-14230DBA5A8C}"/>
  <tableColumns count="10">
    <tableColumn id="1" xr3:uid="{AF323570-E9D6-4A8B-95E1-85554098E38F}" name="Order ID"/>
    <tableColumn id="2" xr3:uid="{D987B563-7857-4BC6-A8E2-815298B0C9A4}" name="Order Date" dataDxfId="1"/>
    <tableColumn id="3" xr3:uid="{410DB88D-6077-4AC1-B751-B067153E167F}" name="Customer Name"/>
    <tableColumn id="4" xr3:uid="{541A18EB-8A45-4FC9-99A3-8E218A39C1E8}" name="Region"/>
    <tableColumn id="5" xr3:uid="{C7CBF9E8-1C52-40C3-9921-6D17AC722973}" name="Product"/>
    <tableColumn id="6" xr3:uid="{D43D6E19-A07A-415F-A68B-3B8C5963CBCC}" name="Units Sold"/>
    <tableColumn id="7" xr3:uid="{F94C31AA-788B-4F3F-AE27-D5DF9737EAC2}" name="Unit Price"/>
    <tableColumn id="8" xr3:uid="{2599BDB6-BA68-4A51-805D-547575FAD291}" name="Total Sales"/>
    <tableColumn id="9" xr3:uid="{EA2278C3-3A09-4F19-9144-4EFA8BF3D707}" name="Discount %"/>
    <tableColumn id="10" xr3:uid="{BD192520-58BC-4510-AC0C-1340FB1D07BF}" name="Salespers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workbookViewId="0"/>
  </sheetViews>
  <sheetFormatPr defaultRowHeight="14.25" x14ac:dyDescent="0.45"/>
  <sheetData>
    <row r="1" spans="1:2" x14ac:dyDescent="0.45">
      <c r="A1" s="1" t="s">
        <v>0</v>
      </c>
      <c r="B1" s="1" t="s">
        <v>1</v>
      </c>
    </row>
    <row r="2" spans="1:2" x14ac:dyDescent="0.45">
      <c r="A2" t="s">
        <v>2</v>
      </c>
    </row>
    <row r="3" spans="1:2" x14ac:dyDescent="0.45">
      <c r="A3" t="s">
        <v>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01"/>
  <sheetViews>
    <sheetView topLeftCell="J13" zoomScale="125" workbookViewId="0">
      <selection activeCell="Q33" sqref="Q33"/>
    </sheetView>
  </sheetViews>
  <sheetFormatPr defaultRowHeight="14.25" x14ac:dyDescent="0.45"/>
  <cols>
    <col min="1" max="1" width="12.86328125" customWidth="1"/>
    <col min="3" max="3" width="12.46484375" customWidth="1"/>
    <col min="4" max="4" width="9.46484375" customWidth="1"/>
    <col min="5" max="5" width="12.59765625" customWidth="1"/>
    <col min="7" max="7" width="9.53125" customWidth="1"/>
    <col min="8" max="8" width="18.33203125" customWidth="1"/>
    <col min="9" max="9" width="12.86328125" customWidth="1"/>
    <col min="10" max="10" width="13.3984375" customWidth="1"/>
    <col min="11" max="11" width="16.9296875" bestFit="1" customWidth="1"/>
    <col min="14" max="14" width="6.19921875" customWidth="1"/>
    <col min="15" max="15" width="20.33203125" bestFit="1" customWidth="1"/>
    <col min="16" max="16" width="5.86328125" customWidth="1"/>
    <col min="17" max="17" width="35.33203125" bestFit="1" customWidth="1"/>
    <col min="18" max="18" width="7.1328125" customWidth="1"/>
    <col min="21" max="21" width="82.86328125" bestFit="1" customWidth="1"/>
  </cols>
  <sheetData>
    <row r="1" spans="1:21" x14ac:dyDescent="0.45">
      <c r="A1" s="3" t="s">
        <v>4</v>
      </c>
      <c r="B1" s="3" t="s">
        <v>5</v>
      </c>
      <c r="C1" s="3" t="s">
        <v>6</v>
      </c>
      <c r="D1" s="3" t="s">
        <v>7</v>
      </c>
      <c r="E1" s="3" t="s">
        <v>8</v>
      </c>
      <c r="F1" s="3" t="s">
        <v>9</v>
      </c>
      <c r="G1" s="3" t="s">
        <v>10</v>
      </c>
      <c r="H1" s="4" t="s">
        <v>1583</v>
      </c>
      <c r="I1" s="3" t="s">
        <v>11</v>
      </c>
      <c r="J1" s="3" t="s">
        <v>12</v>
      </c>
      <c r="K1" s="4" t="s">
        <v>1561</v>
      </c>
      <c r="L1" s="4" t="s">
        <v>1579</v>
      </c>
      <c r="M1" s="22"/>
    </row>
    <row r="2" spans="1:21" x14ac:dyDescent="0.45">
      <c r="A2" t="s">
        <v>13</v>
      </c>
      <c r="B2" t="s">
        <v>14</v>
      </c>
      <c r="C2" t="s">
        <v>15</v>
      </c>
      <c r="D2" t="s">
        <v>16</v>
      </c>
      <c r="E2" s="23">
        <v>44759</v>
      </c>
      <c r="F2">
        <v>33791</v>
      </c>
      <c r="G2">
        <v>10</v>
      </c>
      <c r="H2" t="s">
        <v>17</v>
      </c>
      <c r="I2" t="s">
        <v>18</v>
      </c>
      <c r="J2">
        <v>20</v>
      </c>
      <c r="K2">
        <f>Table1[[#This Row],[Salary]]+(Table1[[#This Row],[Salary]]*(Table1[[#This Row],[Bonus %]]/100))</f>
        <v>37170.1</v>
      </c>
      <c r="L2" t="str">
        <f t="shared" ref="L2:L65" si="0">IF(OR(H2="A",H2="B"),"Pass","Fail")</f>
        <v>Pass</v>
      </c>
    </row>
    <row r="3" spans="1:21" x14ac:dyDescent="0.45">
      <c r="A3" t="s">
        <v>19</v>
      </c>
      <c r="B3" t="s">
        <v>20</v>
      </c>
      <c r="C3" t="s">
        <v>15</v>
      </c>
      <c r="D3" t="s">
        <v>21</v>
      </c>
      <c r="E3" s="23">
        <v>44089</v>
      </c>
      <c r="F3">
        <v>40905</v>
      </c>
      <c r="G3">
        <v>20</v>
      </c>
      <c r="H3" t="s">
        <v>17</v>
      </c>
      <c r="I3" t="s">
        <v>22</v>
      </c>
      <c r="J3">
        <v>29</v>
      </c>
      <c r="K3">
        <f>Table1[[#This Row],[Salary]]+(Table1[[#This Row],[Salary]]*(Table1[[#This Row],[Bonus %]]/100))</f>
        <v>49086</v>
      </c>
      <c r="L3" t="str">
        <f t="shared" si="0"/>
        <v>Pass</v>
      </c>
      <c r="N3" s="5" t="s">
        <v>1576</v>
      </c>
      <c r="O3" s="5" t="s">
        <v>1573</v>
      </c>
      <c r="P3" s="5"/>
      <c r="Q3" s="5" t="s">
        <v>1574</v>
      </c>
      <c r="R3" s="5"/>
      <c r="S3" s="5" t="s">
        <v>1575</v>
      </c>
    </row>
    <row r="4" spans="1:21" ht="14.65" thickBot="1" x14ac:dyDescent="0.5">
      <c r="A4" t="s">
        <v>23</v>
      </c>
      <c r="B4" t="s">
        <v>24</v>
      </c>
      <c r="C4" t="s">
        <v>25</v>
      </c>
      <c r="D4" t="s">
        <v>26</v>
      </c>
      <c r="E4" s="23">
        <v>44090</v>
      </c>
      <c r="F4">
        <v>127230</v>
      </c>
      <c r="G4">
        <v>15</v>
      </c>
      <c r="H4" t="s">
        <v>17</v>
      </c>
      <c r="I4" t="s">
        <v>27</v>
      </c>
      <c r="J4">
        <v>6</v>
      </c>
      <c r="K4">
        <f>Table1[[#This Row],[Salary]]+(Table1[[#This Row],[Salary]]*(Table1[[#This Row],[Bonus %]]/100))</f>
        <v>146314.5</v>
      </c>
      <c r="L4" t="str">
        <f t="shared" si="0"/>
        <v>Pass</v>
      </c>
    </row>
    <row r="5" spans="1:21" ht="14.65" thickBot="1" x14ac:dyDescent="0.5">
      <c r="A5" t="s">
        <v>28</v>
      </c>
      <c r="B5" t="s">
        <v>29</v>
      </c>
      <c r="C5" t="s">
        <v>25</v>
      </c>
      <c r="D5" t="s">
        <v>21</v>
      </c>
      <c r="E5" s="23">
        <v>44091</v>
      </c>
      <c r="F5">
        <v>139693</v>
      </c>
      <c r="G5">
        <v>15</v>
      </c>
      <c r="H5" t="s">
        <v>30</v>
      </c>
      <c r="I5" t="s">
        <v>31</v>
      </c>
      <c r="J5">
        <v>30</v>
      </c>
      <c r="K5">
        <f>Table1[[#This Row],[Salary]]+(Table1[[#This Row],[Salary]]*(Table1[[#This Row],[Bonus %]]/100))</f>
        <v>160646.95000000001</v>
      </c>
      <c r="L5" t="str">
        <f t="shared" si="0"/>
        <v>Pass</v>
      </c>
      <c r="N5" s="6" t="s">
        <v>1563</v>
      </c>
      <c r="O5" s="7"/>
      <c r="P5" s="7"/>
      <c r="Q5" s="7" t="s">
        <v>1562</v>
      </c>
      <c r="R5" s="7"/>
      <c r="S5" s="8"/>
    </row>
    <row r="6" spans="1:21" ht="14.65" thickBot="1" x14ac:dyDescent="0.5">
      <c r="A6" t="s">
        <v>32</v>
      </c>
      <c r="B6" t="s">
        <v>33</v>
      </c>
      <c r="C6" t="s">
        <v>34</v>
      </c>
      <c r="D6" t="s">
        <v>16</v>
      </c>
      <c r="E6" s="23">
        <v>44092</v>
      </c>
      <c r="F6">
        <v>108989</v>
      </c>
      <c r="G6">
        <v>20</v>
      </c>
      <c r="H6" t="s">
        <v>35</v>
      </c>
      <c r="I6" t="s">
        <v>18</v>
      </c>
      <c r="J6">
        <v>22</v>
      </c>
      <c r="K6">
        <f>Table1[[#This Row],[Salary]]+(Table1[[#This Row],[Salary]]*(Table1[[#This Row],[Bonus %]]/100))</f>
        <v>130786.8</v>
      </c>
      <c r="L6" t="str">
        <f t="shared" si="0"/>
        <v>Fail</v>
      </c>
    </row>
    <row r="7" spans="1:21" x14ac:dyDescent="0.45">
      <c r="A7" t="s">
        <v>36</v>
      </c>
      <c r="B7" t="s">
        <v>37</v>
      </c>
      <c r="C7" t="s">
        <v>25</v>
      </c>
      <c r="D7" t="s">
        <v>38</v>
      </c>
      <c r="E7" s="23">
        <v>44093</v>
      </c>
      <c r="F7">
        <v>90381</v>
      </c>
      <c r="G7">
        <v>15</v>
      </c>
      <c r="H7" t="s">
        <v>17</v>
      </c>
      <c r="I7" t="s">
        <v>18</v>
      </c>
      <c r="J7">
        <v>22</v>
      </c>
      <c r="K7">
        <f>Table1[[#This Row],[Salary]]+(Table1[[#This Row],[Salary]]*(Table1[[#This Row],[Bonus %]]/100))</f>
        <v>103938.15</v>
      </c>
      <c r="L7" t="str">
        <f t="shared" si="0"/>
        <v>Pass</v>
      </c>
      <c r="N7" s="9" t="s">
        <v>1564</v>
      </c>
      <c r="O7" s="10">
        <f>COUNTIF(C2:C301,S7)</f>
        <v>58</v>
      </c>
      <c r="P7" s="10"/>
      <c r="Q7" s="10" t="s">
        <v>1565</v>
      </c>
      <c r="R7" s="10"/>
      <c r="S7" s="11" t="str" cm="1">
        <f t="array" ref="S7:S11">_xlfn.UNIQUE(C2:C301)</f>
        <v>Marketing</v>
      </c>
      <c r="U7" s="1" t="s">
        <v>630</v>
      </c>
    </row>
    <row r="8" spans="1:21" x14ac:dyDescent="0.45">
      <c r="A8" t="s">
        <v>39</v>
      </c>
      <c r="B8" t="s">
        <v>40</v>
      </c>
      <c r="C8" t="s">
        <v>25</v>
      </c>
      <c r="D8" t="s">
        <v>21</v>
      </c>
      <c r="E8" s="23">
        <v>44094</v>
      </c>
      <c r="F8">
        <v>66277</v>
      </c>
      <c r="G8">
        <v>20</v>
      </c>
      <c r="H8" t="s">
        <v>35</v>
      </c>
      <c r="I8" t="s">
        <v>22</v>
      </c>
      <c r="J8">
        <v>21</v>
      </c>
      <c r="K8">
        <f>Table1[[#This Row],[Salary]]+(Table1[[#This Row],[Salary]]*(Table1[[#This Row],[Bonus %]]/100))</f>
        <v>79532.399999999994</v>
      </c>
      <c r="L8" t="str">
        <f t="shared" si="0"/>
        <v>Fail</v>
      </c>
      <c r="N8" s="12"/>
      <c r="O8">
        <f>COUNTIF(C3:C302,S8)</f>
        <v>53</v>
      </c>
      <c r="S8" s="13" t="str">
        <v>IT</v>
      </c>
      <c r="U8" t="s">
        <v>631</v>
      </c>
    </row>
    <row r="9" spans="1:21" x14ac:dyDescent="0.45">
      <c r="A9" t="s">
        <v>41</v>
      </c>
      <c r="B9" t="s">
        <v>42</v>
      </c>
      <c r="C9" t="s">
        <v>25</v>
      </c>
      <c r="D9" t="s">
        <v>16</v>
      </c>
      <c r="E9" s="23">
        <v>44095</v>
      </c>
      <c r="F9">
        <v>39398</v>
      </c>
      <c r="G9">
        <v>5</v>
      </c>
      <c r="H9" t="s">
        <v>17</v>
      </c>
      <c r="I9" t="s">
        <v>27</v>
      </c>
      <c r="J9">
        <v>24</v>
      </c>
      <c r="K9">
        <f>Table1[[#This Row],[Salary]]+(Table1[[#This Row],[Salary]]*(Table1[[#This Row],[Bonus %]]/100))</f>
        <v>41367.9</v>
      </c>
      <c r="L9" t="str">
        <f t="shared" si="0"/>
        <v>Pass</v>
      </c>
      <c r="N9" s="12"/>
      <c r="O9">
        <f>COUNTIF(C4:C303,S9)</f>
        <v>62</v>
      </c>
      <c r="S9" s="13" t="str">
        <v>HR</v>
      </c>
      <c r="U9" t="s">
        <v>632</v>
      </c>
    </row>
    <row r="10" spans="1:21" x14ac:dyDescent="0.45">
      <c r="A10" t="s">
        <v>43</v>
      </c>
      <c r="B10" t="s">
        <v>44</v>
      </c>
      <c r="C10" t="s">
        <v>25</v>
      </c>
      <c r="D10" t="s">
        <v>45</v>
      </c>
      <c r="E10" s="23">
        <v>44096</v>
      </c>
      <c r="F10">
        <v>104458</v>
      </c>
      <c r="G10">
        <v>20</v>
      </c>
      <c r="H10" t="s">
        <v>35</v>
      </c>
      <c r="I10" t="s">
        <v>18</v>
      </c>
      <c r="J10">
        <v>15</v>
      </c>
      <c r="K10">
        <f>Table1[[#This Row],[Salary]]+(Table1[[#This Row],[Salary]]*(Table1[[#This Row],[Bonus %]]/100))</f>
        <v>125349.6</v>
      </c>
      <c r="L10" t="str">
        <f t="shared" si="0"/>
        <v>Fail</v>
      </c>
      <c r="N10" s="12"/>
      <c r="O10">
        <f>COUNTIF(C5:C304,S10)</f>
        <v>53</v>
      </c>
      <c r="S10" s="13" t="str">
        <v>Sales</v>
      </c>
      <c r="U10" t="s">
        <v>633</v>
      </c>
    </row>
    <row r="11" spans="1:21" ht="14.65" thickBot="1" x14ac:dyDescent="0.5">
      <c r="A11" t="s">
        <v>46</v>
      </c>
      <c r="B11" t="s">
        <v>47</v>
      </c>
      <c r="C11" t="s">
        <v>34</v>
      </c>
      <c r="D11" t="s">
        <v>21</v>
      </c>
      <c r="E11" s="23">
        <v>44097</v>
      </c>
      <c r="F11">
        <v>108067</v>
      </c>
      <c r="G11">
        <v>20</v>
      </c>
      <c r="H11" t="s">
        <v>17</v>
      </c>
      <c r="I11" t="s">
        <v>18</v>
      </c>
      <c r="J11">
        <v>15</v>
      </c>
      <c r="K11">
        <f>Table1[[#This Row],[Salary]]+(Table1[[#This Row],[Salary]]*(Table1[[#This Row],[Bonus %]]/100))</f>
        <v>129680.4</v>
      </c>
      <c r="L11" t="str">
        <f t="shared" si="0"/>
        <v>Pass</v>
      </c>
      <c r="N11" s="14"/>
      <c r="O11" s="15">
        <f>COUNTIF(C6:C305,S11)</f>
        <v>74</v>
      </c>
      <c r="P11" s="15"/>
      <c r="Q11" s="15"/>
      <c r="R11" s="15"/>
      <c r="S11" s="16" t="str">
        <v>Finance</v>
      </c>
      <c r="U11" t="s">
        <v>634</v>
      </c>
    </row>
    <row r="12" spans="1:21" ht="14.65" thickBot="1" x14ac:dyDescent="0.5">
      <c r="A12" t="s">
        <v>48</v>
      </c>
      <c r="B12" t="s">
        <v>49</v>
      </c>
      <c r="C12" t="s">
        <v>25</v>
      </c>
      <c r="D12" t="s">
        <v>21</v>
      </c>
      <c r="E12" s="23">
        <v>44098</v>
      </c>
      <c r="F12">
        <v>139589</v>
      </c>
      <c r="G12">
        <v>5</v>
      </c>
      <c r="H12" t="s">
        <v>30</v>
      </c>
      <c r="I12" t="s">
        <v>27</v>
      </c>
      <c r="J12">
        <v>27</v>
      </c>
      <c r="K12">
        <f>Table1[[#This Row],[Salary]]+(Table1[[#This Row],[Salary]]*(Table1[[#This Row],[Bonus %]]/100))</f>
        <v>146568.45000000001</v>
      </c>
      <c r="L12" t="str">
        <f t="shared" si="0"/>
        <v>Pass</v>
      </c>
      <c r="U12" t="s">
        <v>635</v>
      </c>
    </row>
    <row r="13" spans="1:21" x14ac:dyDescent="0.45">
      <c r="A13" t="s">
        <v>50</v>
      </c>
      <c r="B13" t="s">
        <v>51</v>
      </c>
      <c r="C13" t="s">
        <v>52</v>
      </c>
      <c r="D13" t="s">
        <v>26</v>
      </c>
      <c r="E13" s="23">
        <v>44099</v>
      </c>
      <c r="F13">
        <v>104563</v>
      </c>
      <c r="G13">
        <v>5</v>
      </c>
      <c r="H13" t="s">
        <v>35</v>
      </c>
      <c r="I13" t="s">
        <v>22</v>
      </c>
      <c r="J13">
        <v>20</v>
      </c>
      <c r="K13">
        <f>Table1[[#This Row],[Salary]]+(Table1[[#This Row],[Salary]]*(Table1[[#This Row],[Bonus %]]/100))</f>
        <v>109791.15</v>
      </c>
      <c r="L13" t="str">
        <f t="shared" si="0"/>
        <v>Fail</v>
      </c>
      <c r="N13" s="9" t="s">
        <v>1566</v>
      </c>
      <c r="O13" s="17">
        <f>AVERAGEIF(D2:D301,S13,F2:F301)</f>
        <v>84660.479999999996</v>
      </c>
      <c r="P13" s="10"/>
      <c r="Q13" s="10" t="s">
        <v>1567</v>
      </c>
      <c r="R13" s="10"/>
      <c r="S13" s="11" t="str" cm="1">
        <f t="array" ref="S13:S17">_xlfn.UNIQUE(Table1[Location])</f>
        <v>Chennai</v>
      </c>
      <c r="U13" t="s">
        <v>636</v>
      </c>
    </row>
    <row r="14" spans="1:21" x14ac:dyDescent="0.45">
      <c r="A14" t="s">
        <v>53</v>
      </c>
      <c r="B14" t="s">
        <v>54</v>
      </c>
      <c r="C14" t="s">
        <v>34</v>
      </c>
      <c r="D14" t="s">
        <v>21</v>
      </c>
      <c r="E14" s="23">
        <v>44100</v>
      </c>
      <c r="F14">
        <v>133629</v>
      </c>
      <c r="G14">
        <v>20</v>
      </c>
      <c r="H14" t="s">
        <v>35</v>
      </c>
      <c r="I14" t="s">
        <v>22</v>
      </c>
      <c r="J14">
        <v>28</v>
      </c>
      <c r="K14">
        <f>Table1[[#This Row],[Salary]]+(Table1[[#This Row],[Salary]]*(Table1[[#This Row],[Bonus %]]/100))</f>
        <v>160354.79999999999</v>
      </c>
      <c r="L14" t="str">
        <f t="shared" si="0"/>
        <v>Fail</v>
      </c>
      <c r="N14" s="12"/>
      <c r="O14" s="18">
        <f>AVERAGEIF(D3:D302,S14,F3:F302)</f>
        <v>85403.086206896551</v>
      </c>
      <c r="S14" s="13" t="str">
        <v>Mumbai</v>
      </c>
      <c r="U14" t="s">
        <v>637</v>
      </c>
    </row>
    <row r="15" spans="1:21" x14ac:dyDescent="0.45">
      <c r="A15" t="s">
        <v>55</v>
      </c>
      <c r="B15" t="s">
        <v>56</v>
      </c>
      <c r="C15" t="s">
        <v>25</v>
      </c>
      <c r="D15" t="s">
        <v>16</v>
      </c>
      <c r="E15" s="23">
        <v>44101</v>
      </c>
      <c r="F15">
        <v>36149</v>
      </c>
      <c r="G15">
        <v>5</v>
      </c>
      <c r="H15" t="s">
        <v>30</v>
      </c>
      <c r="I15" t="s">
        <v>22</v>
      </c>
      <c r="J15">
        <v>13</v>
      </c>
      <c r="K15">
        <f>Table1[[#This Row],[Salary]]+(Table1[[#This Row],[Salary]]*(Table1[[#This Row],[Bonus %]]/100))</f>
        <v>37956.449999999997</v>
      </c>
      <c r="L15" t="str">
        <f t="shared" si="0"/>
        <v>Pass</v>
      </c>
      <c r="N15" s="12"/>
      <c r="O15" s="18">
        <f>AVERAGEIF(D4:D303,S15,F4:F303)</f>
        <v>96435.329113924046</v>
      </c>
      <c r="S15" s="13" t="str">
        <v>Delhi</v>
      </c>
      <c r="U15" t="s">
        <v>638</v>
      </c>
    </row>
    <row r="16" spans="1:21" x14ac:dyDescent="0.45">
      <c r="A16" t="s">
        <v>57</v>
      </c>
      <c r="B16" t="s">
        <v>58</v>
      </c>
      <c r="C16" t="s">
        <v>59</v>
      </c>
      <c r="D16" t="s">
        <v>38</v>
      </c>
      <c r="E16" s="23">
        <v>44102</v>
      </c>
      <c r="F16">
        <v>47998</v>
      </c>
      <c r="G16">
        <v>10</v>
      </c>
      <c r="H16" t="s">
        <v>17</v>
      </c>
      <c r="I16" t="s">
        <v>31</v>
      </c>
      <c r="J16">
        <v>25</v>
      </c>
      <c r="K16">
        <f>Table1[[#This Row],[Salary]]+(Table1[[#This Row],[Salary]]*(Table1[[#This Row],[Bonus %]]/100))</f>
        <v>52797.8</v>
      </c>
      <c r="L16" t="str">
        <f t="shared" si="0"/>
        <v>Pass</v>
      </c>
      <c r="N16" s="12"/>
      <c r="O16" s="18">
        <f>AVERAGEIF(D5:D304,S16,F5:F304)</f>
        <v>93770.563636363629</v>
      </c>
      <c r="S16" s="13" t="str">
        <v>Bangalore</v>
      </c>
      <c r="U16" t="s">
        <v>639</v>
      </c>
    </row>
    <row r="17" spans="1:21" ht="14.65" thickBot="1" x14ac:dyDescent="0.5">
      <c r="A17" t="s">
        <v>60</v>
      </c>
      <c r="B17" t="s">
        <v>61</v>
      </c>
      <c r="C17" t="s">
        <v>25</v>
      </c>
      <c r="D17" t="s">
        <v>26</v>
      </c>
      <c r="E17" s="23">
        <v>44103</v>
      </c>
      <c r="F17">
        <v>109074</v>
      </c>
      <c r="G17">
        <v>5</v>
      </c>
      <c r="H17" t="s">
        <v>30</v>
      </c>
      <c r="I17" t="s">
        <v>22</v>
      </c>
      <c r="J17">
        <v>13</v>
      </c>
      <c r="K17">
        <f>Table1[[#This Row],[Salary]]+(Table1[[#This Row],[Salary]]*(Table1[[#This Row],[Bonus %]]/100))</f>
        <v>114527.7</v>
      </c>
      <c r="L17" t="str">
        <f t="shared" si="0"/>
        <v>Pass</v>
      </c>
      <c r="N17" s="14"/>
      <c r="O17" s="19">
        <f>AVERAGEIF(D6:D305,S17,F6:F305)</f>
        <v>83065.137931034478</v>
      </c>
      <c r="P17" s="15"/>
      <c r="Q17" s="15"/>
      <c r="R17" s="15"/>
      <c r="S17" s="16" t="str">
        <v>Hyderabad</v>
      </c>
      <c r="U17" t="s">
        <v>640</v>
      </c>
    </row>
    <row r="18" spans="1:21" ht="14.65" thickBot="1" x14ac:dyDescent="0.5">
      <c r="A18" t="s">
        <v>62</v>
      </c>
      <c r="B18" t="s">
        <v>63</v>
      </c>
      <c r="C18" t="s">
        <v>34</v>
      </c>
      <c r="D18" t="s">
        <v>26</v>
      </c>
      <c r="E18" s="23">
        <v>44104</v>
      </c>
      <c r="F18">
        <v>55138</v>
      </c>
      <c r="G18">
        <v>5</v>
      </c>
      <c r="H18" t="s">
        <v>35</v>
      </c>
      <c r="I18" t="s">
        <v>18</v>
      </c>
      <c r="J18">
        <v>5</v>
      </c>
      <c r="K18">
        <f>Table1[[#This Row],[Salary]]+(Table1[[#This Row],[Salary]]*(Table1[[#This Row],[Bonus %]]/100))</f>
        <v>57894.9</v>
      </c>
      <c r="L18" t="str">
        <f t="shared" si="0"/>
        <v>Fail</v>
      </c>
    </row>
    <row r="19" spans="1:21" ht="14.65" thickBot="1" x14ac:dyDescent="0.5">
      <c r="A19" t="s">
        <v>64</v>
      </c>
      <c r="B19" t="s">
        <v>65</v>
      </c>
      <c r="C19" t="s">
        <v>34</v>
      </c>
      <c r="D19" t="s">
        <v>16</v>
      </c>
      <c r="E19" s="23">
        <v>44105</v>
      </c>
      <c r="F19">
        <v>47451</v>
      </c>
      <c r="G19">
        <v>5</v>
      </c>
      <c r="H19" t="s">
        <v>30</v>
      </c>
      <c r="I19" t="s">
        <v>27</v>
      </c>
      <c r="J19">
        <v>21</v>
      </c>
      <c r="K19">
        <f>Table1[[#This Row],[Salary]]+(Table1[[#This Row],[Salary]]*(Table1[[#This Row],[Bonus %]]/100))</f>
        <v>49823.55</v>
      </c>
      <c r="L19" t="str">
        <f t="shared" si="0"/>
        <v>Pass</v>
      </c>
      <c r="N19" s="20" t="s">
        <v>1568</v>
      </c>
      <c r="O19" s="21" t="str">
        <f>VLOOKUP(I2,Table2[#All],2,0)</f>
        <v xml:space="preserve">SQl Retailmart Analytics </v>
      </c>
      <c r="P19" s="7"/>
      <c r="Q19" s="7" t="s">
        <v>1578</v>
      </c>
      <c r="R19" s="7"/>
      <c r="S19" s="8"/>
    </row>
    <row r="20" spans="1:21" ht="14.65" thickBot="1" x14ac:dyDescent="0.5">
      <c r="A20" t="s">
        <v>66</v>
      </c>
      <c r="B20" t="s">
        <v>67</v>
      </c>
      <c r="C20" t="s">
        <v>25</v>
      </c>
      <c r="D20" t="s">
        <v>38</v>
      </c>
      <c r="E20" s="23">
        <v>44106</v>
      </c>
      <c r="F20">
        <v>124265</v>
      </c>
      <c r="G20">
        <v>5</v>
      </c>
      <c r="H20" t="s">
        <v>30</v>
      </c>
      <c r="I20" t="s">
        <v>31</v>
      </c>
      <c r="J20">
        <v>30</v>
      </c>
      <c r="K20">
        <f>Table1[[#This Row],[Salary]]+(Table1[[#This Row],[Salary]]*(Table1[[#This Row],[Bonus %]]/100))</f>
        <v>130478.25</v>
      </c>
      <c r="L20" t="str">
        <f t="shared" si="0"/>
        <v>Pass</v>
      </c>
    </row>
    <row r="21" spans="1:21" ht="14.65" thickBot="1" x14ac:dyDescent="0.5">
      <c r="A21" t="s">
        <v>68</v>
      </c>
      <c r="B21" t="s">
        <v>69</v>
      </c>
      <c r="C21" t="s">
        <v>34</v>
      </c>
      <c r="D21" t="s">
        <v>38</v>
      </c>
      <c r="E21" s="23">
        <v>44107</v>
      </c>
      <c r="F21">
        <v>36940</v>
      </c>
      <c r="G21">
        <v>10</v>
      </c>
      <c r="H21" t="s">
        <v>35</v>
      </c>
      <c r="I21" t="s">
        <v>22</v>
      </c>
      <c r="J21">
        <v>19</v>
      </c>
      <c r="K21">
        <f>Table1[[#This Row],[Salary]]+(Table1[[#This Row],[Salary]]*(Table1[[#This Row],[Bonus %]]/100))</f>
        <v>40634</v>
      </c>
      <c r="L21" t="str">
        <f t="shared" si="0"/>
        <v>Fail</v>
      </c>
      <c r="N21" s="6" t="s">
        <v>1580</v>
      </c>
      <c r="O21" s="7">
        <f>COUNTIF(J2:J301,"&gt;20")</f>
        <v>91</v>
      </c>
      <c r="P21" s="7"/>
      <c r="Q21" s="7" t="s">
        <v>1581</v>
      </c>
      <c r="R21" s="7"/>
      <c r="S21" s="8"/>
    </row>
    <row r="22" spans="1:21" ht="14.65" thickBot="1" x14ac:dyDescent="0.5">
      <c r="A22" t="s">
        <v>70</v>
      </c>
      <c r="B22" t="s">
        <v>71</v>
      </c>
      <c r="C22" t="s">
        <v>15</v>
      </c>
      <c r="D22" t="s">
        <v>45</v>
      </c>
      <c r="E22" s="23">
        <v>44108</v>
      </c>
      <c r="F22">
        <v>70646</v>
      </c>
      <c r="G22">
        <v>20</v>
      </c>
      <c r="H22" t="s">
        <v>35</v>
      </c>
      <c r="I22" t="s">
        <v>22</v>
      </c>
      <c r="J22">
        <v>18</v>
      </c>
      <c r="K22">
        <f>Table1[[#This Row],[Salary]]+(Table1[[#This Row],[Salary]]*(Table1[[#This Row],[Bonus %]]/100))</f>
        <v>84775.2</v>
      </c>
      <c r="L22" t="str">
        <f t="shared" si="0"/>
        <v>Fail</v>
      </c>
      <c r="S22" s="13"/>
    </row>
    <row r="23" spans="1:21" ht="14.65" thickBot="1" x14ac:dyDescent="0.5">
      <c r="A23" t="s">
        <v>72</v>
      </c>
      <c r="B23" t="s">
        <v>73</v>
      </c>
      <c r="C23" t="s">
        <v>34</v>
      </c>
      <c r="D23" t="s">
        <v>21</v>
      </c>
      <c r="E23" s="23">
        <v>44109</v>
      </c>
      <c r="F23">
        <v>130820</v>
      </c>
      <c r="G23">
        <v>10</v>
      </c>
      <c r="H23" t="s">
        <v>17</v>
      </c>
      <c r="I23" t="s">
        <v>31</v>
      </c>
      <c r="J23">
        <v>12</v>
      </c>
      <c r="K23">
        <f>Table1[[#This Row],[Salary]]+(Table1[[#This Row],[Salary]]*(Table1[[#This Row],[Bonus %]]/100))</f>
        <v>143902</v>
      </c>
      <c r="L23" t="str">
        <f t="shared" si="0"/>
        <v>Pass</v>
      </c>
      <c r="N23" s="6" t="s">
        <v>1582</v>
      </c>
      <c r="O23" s="7" t="str">
        <f>IF(OR(H2="A",H2="B"),"Pass","Fail")</f>
        <v>Pass</v>
      </c>
      <c r="P23" s="7"/>
      <c r="Q23" s="7" t="s">
        <v>1584</v>
      </c>
      <c r="R23" s="7"/>
      <c r="S23" s="8"/>
    </row>
    <row r="24" spans="1:21" ht="14.65" thickBot="1" x14ac:dyDescent="0.5">
      <c r="A24" t="s">
        <v>74</v>
      </c>
      <c r="B24" t="s">
        <v>75</v>
      </c>
      <c r="C24" t="s">
        <v>25</v>
      </c>
      <c r="D24" t="s">
        <v>38</v>
      </c>
      <c r="E24" s="23">
        <v>44110</v>
      </c>
      <c r="F24">
        <v>145938</v>
      </c>
      <c r="G24">
        <v>20</v>
      </c>
      <c r="H24" t="s">
        <v>35</v>
      </c>
      <c r="I24" t="s">
        <v>27</v>
      </c>
      <c r="J24">
        <v>14</v>
      </c>
      <c r="K24">
        <f>Table1[[#This Row],[Salary]]+(Table1[[#This Row],[Salary]]*(Table1[[#This Row],[Bonus %]]/100))</f>
        <v>175125.6</v>
      </c>
      <c r="L24" t="str">
        <f t="shared" si="0"/>
        <v>Fail</v>
      </c>
      <c r="S24" s="13"/>
    </row>
    <row r="25" spans="1:21" ht="14.65" thickBot="1" x14ac:dyDescent="0.5">
      <c r="A25" t="s">
        <v>76</v>
      </c>
      <c r="B25" t="s">
        <v>77</v>
      </c>
      <c r="C25" t="s">
        <v>59</v>
      </c>
      <c r="D25" t="s">
        <v>45</v>
      </c>
      <c r="E25" s="23">
        <v>44111</v>
      </c>
      <c r="F25">
        <v>121406</v>
      </c>
      <c r="G25">
        <v>20</v>
      </c>
      <c r="H25" t="s">
        <v>17</v>
      </c>
      <c r="I25" t="s">
        <v>22</v>
      </c>
      <c r="J25">
        <v>7</v>
      </c>
      <c r="K25">
        <f>Table1[[#This Row],[Salary]]+(Table1[[#This Row],[Salary]]*(Table1[[#This Row],[Bonus %]]/100))</f>
        <v>145687.20000000001</v>
      </c>
      <c r="L25" t="str">
        <f t="shared" si="0"/>
        <v>Pass</v>
      </c>
      <c r="N25" s="9" t="s">
        <v>1585</v>
      </c>
      <c r="O25" s="10">
        <f>SUMIFS(F2:F301,C2:C301,S25,D2:D301,S26)</f>
        <v>886151</v>
      </c>
      <c r="P25" s="10"/>
      <c r="Q25" s="10" t="s">
        <v>1586</v>
      </c>
      <c r="R25" s="10"/>
      <c r="S25" s="8" t="s">
        <v>25</v>
      </c>
    </row>
    <row r="26" spans="1:21" ht="14.65" thickBot="1" x14ac:dyDescent="0.5">
      <c r="A26" t="s">
        <v>78</v>
      </c>
      <c r="B26" t="s">
        <v>79</v>
      </c>
      <c r="C26" t="s">
        <v>15</v>
      </c>
      <c r="D26" t="s">
        <v>45</v>
      </c>
      <c r="E26" s="23">
        <v>44112</v>
      </c>
      <c r="F26">
        <v>111581</v>
      </c>
      <c r="G26">
        <v>20</v>
      </c>
      <c r="H26" t="s">
        <v>17</v>
      </c>
      <c r="I26" t="s">
        <v>31</v>
      </c>
      <c r="J26">
        <v>26</v>
      </c>
      <c r="K26">
        <f>Table1[[#This Row],[Salary]]+(Table1[[#This Row],[Salary]]*(Table1[[#This Row],[Bonus %]]/100))</f>
        <v>133897.20000000001</v>
      </c>
      <c r="L26" t="str">
        <f t="shared" si="0"/>
        <v>Pass</v>
      </c>
      <c r="N26" s="14"/>
      <c r="O26" s="15"/>
      <c r="P26" s="15"/>
      <c r="Q26" s="15"/>
      <c r="R26" s="15"/>
      <c r="S26" s="16" t="s">
        <v>21</v>
      </c>
    </row>
    <row r="27" spans="1:21" ht="14.65" thickBot="1" x14ac:dyDescent="0.5">
      <c r="A27" t="s">
        <v>80</v>
      </c>
      <c r="B27" t="s">
        <v>81</v>
      </c>
      <c r="C27" t="s">
        <v>52</v>
      </c>
      <c r="D27" t="s">
        <v>45</v>
      </c>
      <c r="E27" s="23">
        <v>44113</v>
      </c>
      <c r="F27">
        <v>43194</v>
      </c>
      <c r="G27">
        <v>10</v>
      </c>
      <c r="H27" t="s">
        <v>17</v>
      </c>
      <c r="I27" t="s">
        <v>18</v>
      </c>
      <c r="J27">
        <v>12</v>
      </c>
      <c r="K27">
        <f>Table1[[#This Row],[Salary]]+(Table1[[#This Row],[Salary]]*(Table1[[#This Row],[Bonus %]]/100))</f>
        <v>47513.4</v>
      </c>
      <c r="L27" t="str">
        <f t="shared" si="0"/>
        <v>Pass</v>
      </c>
    </row>
    <row r="28" spans="1:21" ht="14.65" thickBot="1" x14ac:dyDescent="0.5">
      <c r="A28" t="s">
        <v>82</v>
      </c>
      <c r="B28" t="s">
        <v>83</v>
      </c>
      <c r="C28" t="s">
        <v>52</v>
      </c>
      <c r="D28" t="s">
        <v>21</v>
      </c>
      <c r="E28" s="23">
        <v>44114</v>
      </c>
      <c r="F28">
        <v>70732</v>
      </c>
      <c r="G28">
        <v>20</v>
      </c>
      <c r="H28" t="s">
        <v>17</v>
      </c>
      <c r="I28" t="s">
        <v>18</v>
      </c>
      <c r="J28">
        <v>23</v>
      </c>
      <c r="K28">
        <f>Table1[[#This Row],[Salary]]+(Table1[[#This Row],[Salary]]*(Table1[[#This Row],[Bonus %]]/100))</f>
        <v>84878.399999999994</v>
      </c>
      <c r="L28" t="str">
        <f t="shared" si="0"/>
        <v>Pass</v>
      </c>
      <c r="N28" s="6" t="s">
        <v>1587</v>
      </c>
      <c r="O28" s="7">
        <f>INDEX(G2:G301,MATCH(S28,B2:B301))</f>
        <v>15</v>
      </c>
      <c r="P28" s="7"/>
      <c r="Q28" s="7" t="s">
        <v>1588</v>
      </c>
      <c r="R28" s="7"/>
      <c r="S28" s="24" t="s">
        <v>14</v>
      </c>
    </row>
    <row r="29" spans="1:21" ht="14.65" thickBot="1" x14ac:dyDescent="0.5">
      <c r="A29" t="s">
        <v>84</v>
      </c>
      <c r="B29" t="s">
        <v>85</v>
      </c>
      <c r="C29" t="s">
        <v>59</v>
      </c>
      <c r="D29" t="s">
        <v>45</v>
      </c>
      <c r="E29" s="23">
        <v>44115</v>
      </c>
      <c r="F29">
        <v>34195</v>
      </c>
      <c r="G29">
        <v>10</v>
      </c>
      <c r="H29" t="s">
        <v>30</v>
      </c>
      <c r="I29" t="s">
        <v>31</v>
      </c>
      <c r="J29">
        <v>27</v>
      </c>
      <c r="K29">
        <f>Table1[[#This Row],[Salary]]+(Table1[[#This Row],[Salary]]*(Table1[[#This Row],[Bonus %]]/100))</f>
        <v>37614.5</v>
      </c>
      <c r="L29" t="str">
        <f t="shared" si="0"/>
        <v>Pass</v>
      </c>
    </row>
    <row r="30" spans="1:21" x14ac:dyDescent="0.45">
      <c r="A30" t="s">
        <v>86</v>
      </c>
      <c r="B30" t="s">
        <v>87</v>
      </c>
      <c r="C30" t="s">
        <v>15</v>
      </c>
      <c r="D30" t="s">
        <v>16</v>
      </c>
      <c r="E30" s="23">
        <v>44116</v>
      </c>
      <c r="F30">
        <v>100601</v>
      </c>
      <c r="G30">
        <v>5</v>
      </c>
      <c r="H30" t="s">
        <v>17</v>
      </c>
      <c r="I30" t="s">
        <v>22</v>
      </c>
      <c r="J30">
        <v>17</v>
      </c>
      <c r="K30">
        <f>Table1[[#This Row],[Salary]]+(Table1[[#This Row],[Salary]]*(Table1[[#This Row],[Bonus %]]/100))</f>
        <v>105631.05</v>
      </c>
      <c r="L30" t="str">
        <f t="shared" si="0"/>
        <v>Pass</v>
      </c>
      <c r="N30" s="9" t="s">
        <v>1589</v>
      </c>
      <c r="O30" s="10">
        <f ca="1">COUNTIFS(E2:E301, "&gt;=" &amp; DATE(YEAR(TODAY())-5, MONTH(TODAY()), DAY(TODAY())))</f>
        <v>144</v>
      </c>
      <c r="P30" s="10"/>
      <c r="Q30" s="10" t="s">
        <v>1590</v>
      </c>
      <c r="R30" s="10"/>
      <c r="S30" s="11"/>
    </row>
    <row r="31" spans="1:21" x14ac:dyDescent="0.45">
      <c r="A31" t="s">
        <v>88</v>
      </c>
      <c r="B31" t="s">
        <v>89</v>
      </c>
      <c r="C31" t="s">
        <v>15</v>
      </c>
      <c r="D31" t="s">
        <v>21</v>
      </c>
      <c r="E31" s="23">
        <v>44117</v>
      </c>
      <c r="F31">
        <v>103519</v>
      </c>
      <c r="G31">
        <v>10</v>
      </c>
      <c r="H31" t="s">
        <v>30</v>
      </c>
      <c r="I31" t="s">
        <v>18</v>
      </c>
      <c r="J31">
        <v>18</v>
      </c>
      <c r="K31">
        <f>Table1[[#This Row],[Salary]]+(Table1[[#This Row],[Salary]]*(Table1[[#This Row],[Bonus %]]/100))</f>
        <v>113870.9</v>
      </c>
      <c r="L31" t="str">
        <f t="shared" si="0"/>
        <v>Pass</v>
      </c>
      <c r="N31" s="12"/>
      <c r="Q31" t="s">
        <v>1591</v>
      </c>
      <c r="S31" s="13"/>
    </row>
    <row r="32" spans="1:21" ht="14.65" thickBot="1" x14ac:dyDescent="0.5">
      <c r="A32" t="s">
        <v>90</v>
      </c>
      <c r="B32" t="s">
        <v>91</v>
      </c>
      <c r="C32" t="s">
        <v>52</v>
      </c>
      <c r="D32" t="s">
        <v>38</v>
      </c>
      <c r="E32" s="23">
        <v>44118</v>
      </c>
      <c r="F32">
        <v>73958</v>
      </c>
      <c r="G32">
        <v>10</v>
      </c>
      <c r="H32" t="s">
        <v>17</v>
      </c>
      <c r="I32" t="s">
        <v>22</v>
      </c>
      <c r="J32">
        <v>2</v>
      </c>
      <c r="K32">
        <f>Table1[[#This Row],[Salary]]+(Table1[[#This Row],[Salary]]*(Table1[[#This Row],[Bonus %]]/100))</f>
        <v>81353.8</v>
      </c>
      <c r="L32" t="str">
        <f t="shared" si="0"/>
        <v>Pass</v>
      </c>
      <c r="N32" s="14"/>
      <c r="O32" s="25"/>
      <c r="P32" s="15"/>
      <c r="Q32" s="15" t="s">
        <v>1592</v>
      </c>
      <c r="R32" s="15"/>
      <c r="S32" s="16"/>
    </row>
    <row r="33" spans="1:12" x14ac:dyDescent="0.45">
      <c r="A33" t="s">
        <v>92</v>
      </c>
      <c r="B33" t="s">
        <v>93</v>
      </c>
      <c r="C33" t="s">
        <v>59</v>
      </c>
      <c r="D33" t="s">
        <v>16</v>
      </c>
      <c r="E33" s="23">
        <v>44119</v>
      </c>
      <c r="F33">
        <v>99648</v>
      </c>
      <c r="G33">
        <v>5</v>
      </c>
      <c r="H33" t="s">
        <v>35</v>
      </c>
      <c r="I33" t="s">
        <v>22</v>
      </c>
      <c r="J33">
        <v>24</v>
      </c>
      <c r="K33">
        <f>Table1[[#This Row],[Salary]]+(Table1[[#This Row],[Salary]]*(Table1[[#This Row],[Bonus %]]/100))</f>
        <v>104630.39999999999</v>
      </c>
      <c r="L33" t="str">
        <f t="shared" si="0"/>
        <v>Fail</v>
      </c>
    </row>
    <row r="34" spans="1:12" x14ac:dyDescent="0.45">
      <c r="A34" t="s">
        <v>94</v>
      </c>
      <c r="B34" t="s">
        <v>95</v>
      </c>
      <c r="C34" t="s">
        <v>15</v>
      </c>
      <c r="D34" t="s">
        <v>21</v>
      </c>
      <c r="E34" s="23">
        <v>44120</v>
      </c>
      <c r="F34">
        <v>129658</v>
      </c>
      <c r="G34">
        <v>10</v>
      </c>
      <c r="H34" t="s">
        <v>30</v>
      </c>
      <c r="I34" t="s">
        <v>22</v>
      </c>
      <c r="J34">
        <v>20</v>
      </c>
      <c r="K34">
        <f>Table1[[#This Row],[Salary]]+(Table1[[#This Row],[Salary]]*(Table1[[#This Row],[Bonus %]]/100))</f>
        <v>142623.79999999999</v>
      </c>
      <c r="L34" t="str">
        <f t="shared" si="0"/>
        <v>Pass</v>
      </c>
    </row>
    <row r="35" spans="1:12" x14ac:dyDescent="0.45">
      <c r="A35" t="s">
        <v>96</v>
      </c>
      <c r="B35" t="s">
        <v>97</v>
      </c>
      <c r="C35" t="s">
        <v>59</v>
      </c>
      <c r="D35" t="s">
        <v>45</v>
      </c>
      <c r="E35" s="23">
        <v>44121</v>
      </c>
      <c r="F35">
        <v>146825</v>
      </c>
      <c r="G35">
        <v>5</v>
      </c>
      <c r="H35" t="s">
        <v>35</v>
      </c>
      <c r="I35" t="s">
        <v>31</v>
      </c>
      <c r="J35">
        <v>2</v>
      </c>
      <c r="K35">
        <f>Table1[[#This Row],[Salary]]+(Table1[[#This Row],[Salary]]*(Table1[[#This Row],[Bonus %]]/100))</f>
        <v>154166.25</v>
      </c>
      <c r="L35" t="str">
        <f t="shared" si="0"/>
        <v>Fail</v>
      </c>
    </row>
    <row r="36" spans="1:12" x14ac:dyDescent="0.45">
      <c r="A36" t="s">
        <v>98</v>
      </c>
      <c r="B36" t="s">
        <v>99</v>
      </c>
      <c r="C36" t="s">
        <v>59</v>
      </c>
      <c r="D36" t="s">
        <v>26</v>
      </c>
      <c r="E36" s="23">
        <v>44122</v>
      </c>
      <c r="F36">
        <v>94242</v>
      </c>
      <c r="G36">
        <v>5</v>
      </c>
      <c r="H36" t="s">
        <v>30</v>
      </c>
      <c r="I36" t="s">
        <v>31</v>
      </c>
      <c r="J36">
        <v>19</v>
      </c>
      <c r="K36">
        <f>Table1[[#This Row],[Salary]]+(Table1[[#This Row],[Salary]]*(Table1[[#This Row],[Bonus %]]/100))</f>
        <v>98954.1</v>
      </c>
      <c r="L36" t="str">
        <f t="shared" si="0"/>
        <v>Pass</v>
      </c>
    </row>
    <row r="37" spans="1:12" x14ac:dyDescent="0.45">
      <c r="A37" t="s">
        <v>100</v>
      </c>
      <c r="B37" t="s">
        <v>101</v>
      </c>
      <c r="C37" t="s">
        <v>59</v>
      </c>
      <c r="D37" t="s">
        <v>26</v>
      </c>
      <c r="E37" s="23">
        <v>44123</v>
      </c>
      <c r="F37">
        <v>139418</v>
      </c>
      <c r="G37">
        <v>15</v>
      </c>
      <c r="H37" t="s">
        <v>35</v>
      </c>
      <c r="I37" t="s">
        <v>18</v>
      </c>
      <c r="J37">
        <v>12</v>
      </c>
      <c r="K37">
        <f>Table1[[#This Row],[Salary]]+(Table1[[#This Row],[Salary]]*(Table1[[#This Row],[Bonus %]]/100))</f>
        <v>160330.70000000001</v>
      </c>
      <c r="L37" t="str">
        <f t="shared" si="0"/>
        <v>Fail</v>
      </c>
    </row>
    <row r="38" spans="1:12" x14ac:dyDescent="0.45">
      <c r="A38" t="s">
        <v>102</v>
      </c>
      <c r="B38" t="s">
        <v>103</v>
      </c>
      <c r="C38" t="s">
        <v>15</v>
      </c>
      <c r="D38" t="s">
        <v>38</v>
      </c>
      <c r="E38" s="23">
        <v>44124</v>
      </c>
      <c r="F38">
        <v>137876</v>
      </c>
      <c r="G38">
        <v>5</v>
      </c>
      <c r="H38" t="s">
        <v>30</v>
      </c>
      <c r="I38" t="s">
        <v>18</v>
      </c>
      <c r="J38">
        <v>21</v>
      </c>
      <c r="K38">
        <f>Table1[[#This Row],[Salary]]+(Table1[[#This Row],[Salary]]*(Table1[[#This Row],[Bonus %]]/100))</f>
        <v>144769.79999999999</v>
      </c>
      <c r="L38" t="str">
        <f t="shared" si="0"/>
        <v>Pass</v>
      </c>
    </row>
    <row r="39" spans="1:12" x14ac:dyDescent="0.45">
      <c r="A39" t="s">
        <v>104</v>
      </c>
      <c r="B39" t="s">
        <v>105</v>
      </c>
      <c r="C39" t="s">
        <v>52</v>
      </c>
      <c r="D39" t="s">
        <v>21</v>
      </c>
      <c r="E39" s="23">
        <v>44125</v>
      </c>
      <c r="F39">
        <v>40831</v>
      </c>
      <c r="G39">
        <v>15</v>
      </c>
      <c r="H39" t="s">
        <v>17</v>
      </c>
      <c r="I39" t="s">
        <v>27</v>
      </c>
      <c r="J39">
        <v>6</v>
      </c>
      <c r="K39">
        <f>Table1[[#This Row],[Salary]]+(Table1[[#This Row],[Salary]]*(Table1[[#This Row],[Bonus %]]/100))</f>
        <v>46955.65</v>
      </c>
      <c r="L39" t="str">
        <f t="shared" si="0"/>
        <v>Pass</v>
      </c>
    </row>
    <row r="40" spans="1:12" x14ac:dyDescent="0.45">
      <c r="A40" t="s">
        <v>106</v>
      </c>
      <c r="B40" t="s">
        <v>107</v>
      </c>
      <c r="C40" t="s">
        <v>59</v>
      </c>
      <c r="D40" t="s">
        <v>38</v>
      </c>
      <c r="E40" s="23">
        <v>44126</v>
      </c>
      <c r="F40">
        <v>50390</v>
      </c>
      <c r="G40">
        <v>15</v>
      </c>
      <c r="H40" t="s">
        <v>17</v>
      </c>
      <c r="I40" t="s">
        <v>22</v>
      </c>
      <c r="J40">
        <v>26</v>
      </c>
      <c r="K40">
        <f>Table1[[#This Row],[Salary]]+(Table1[[#This Row],[Salary]]*(Table1[[#This Row],[Bonus %]]/100))</f>
        <v>57948.5</v>
      </c>
      <c r="L40" t="str">
        <f t="shared" si="0"/>
        <v>Pass</v>
      </c>
    </row>
    <row r="41" spans="1:12" x14ac:dyDescent="0.45">
      <c r="A41" t="s">
        <v>108</v>
      </c>
      <c r="B41" t="s">
        <v>109</v>
      </c>
      <c r="C41" t="s">
        <v>59</v>
      </c>
      <c r="D41" t="s">
        <v>21</v>
      </c>
      <c r="E41" s="23">
        <v>44127</v>
      </c>
      <c r="F41">
        <v>34004</v>
      </c>
      <c r="G41">
        <v>15</v>
      </c>
      <c r="H41" t="s">
        <v>35</v>
      </c>
      <c r="I41" t="s">
        <v>27</v>
      </c>
      <c r="J41">
        <v>7</v>
      </c>
      <c r="K41">
        <f>Table1[[#This Row],[Salary]]+(Table1[[#This Row],[Salary]]*(Table1[[#This Row],[Bonus %]]/100))</f>
        <v>39104.6</v>
      </c>
      <c r="L41" t="str">
        <f t="shared" si="0"/>
        <v>Fail</v>
      </c>
    </row>
    <row r="42" spans="1:12" x14ac:dyDescent="0.45">
      <c r="A42" t="s">
        <v>110</v>
      </c>
      <c r="B42" t="s">
        <v>111</v>
      </c>
      <c r="C42" t="s">
        <v>34</v>
      </c>
      <c r="D42" t="s">
        <v>26</v>
      </c>
      <c r="E42" s="23">
        <v>44128</v>
      </c>
      <c r="F42">
        <v>132402</v>
      </c>
      <c r="G42">
        <v>10</v>
      </c>
      <c r="H42" t="s">
        <v>35</v>
      </c>
      <c r="I42" t="s">
        <v>18</v>
      </c>
      <c r="J42">
        <v>6</v>
      </c>
      <c r="K42">
        <f>Table1[[#This Row],[Salary]]+(Table1[[#This Row],[Salary]]*(Table1[[#This Row],[Bonus %]]/100))</f>
        <v>145642.20000000001</v>
      </c>
      <c r="L42" t="str">
        <f t="shared" si="0"/>
        <v>Fail</v>
      </c>
    </row>
    <row r="43" spans="1:12" x14ac:dyDescent="0.45">
      <c r="A43" t="s">
        <v>112</v>
      </c>
      <c r="B43" t="s">
        <v>113</v>
      </c>
      <c r="C43" t="s">
        <v>34</v>
      </c>
      <c r="D43" t="s">
        <v>38</v>
      </c>
      <c r="E43" s="23">
        <v>44129</v>
      </c>
      <c r="F43">
        <v>125941</v>
      </c>
      <c r="G43">
        <v>10</v>
      </c>
      <c r="H43" t="s">
        <v>30</v>
      </c>
      <c r="I43" t="s">
        <v>27</v>
      </c>
      <c r="J43">
        <v>9</v>
      </c>
      <c r="K43">
        <f>Table1[[#This Row],[Salary]]+(Table1[[#This Row],[Salary]]*(Table1[[#This Row],[Bonus %]]/100))</f>
        <v>138535.1</v>
      </c>
      <c r="L43" t="str">
        <f t="shared" si="0"/>
        <v>Pass</v>
      </c>
    </row>
    <row r="44" spans="1:12" x14ac:dyDescent="0.45">
      <c r="A44" t="s">
        <v>114</v>
      </c>
      <c r="B44" t="s">
        <v>115</v>
      </c>
      <c r="C44" t="s">
        <v>15</v>
      </c>
      <c r="D44" t="s">
        <v>21</v>
      </c>
      <c r="E44" s="23">
        <v>44130</v>
      </c>
      <c r="F44">
        <v>33582</v>
      </c>
      <c r="G44">
        <v>15</v>
      </c>
      <c r="H44" t="s">
        <v>17</v>
      </c>
      <c r="I44" t="s">
        <v>18</v>
      </c>
      <c r="J44">
        <v>11</v>
      </c>
      <c r="K44">
        <f>Table1[[#This Row],[Salary]]+(Table1[[#This Row],[Salary]]*(Table1[[#This Row],[Bonus %]]/100))</f>
        <v>38619.300000000003</v>
      </c>
      <c r="L44" t="str">
        <f t="shared" si="0"/>
        <v>Pass</v>
      </c>
    </row>
    <row r="45" spans="1:12" x14ac:dyDescent="0.45">
      <c r="A45" t="s">
        <v>116</v>
      </c>
      <c r="B45" t="s">
        <v>117</v>
      </c>
      <c r="C45" t="s">
        <v>52</v>
      </c>
      <c r="D45" t="s">
        <v>45</v>
      </c>
      <c r="E45" s="23">
        <v>44131</v>
      </c>
      <c r="F45">
        <v>146376</v>
      </c>
      <c r="G45">
        <v>15</v>
      </c>
      <c r="H45" t="s">
        <v>17</v>
      </c>
      <c r="I45" t="s">
        <v>31</v>
      </c>
      <c r="J45">
        <v>10</v>
      </c>
      <c r="K45">
        <f>Table1[[#This Row],[Salary]]+(Table1[[#This Row],[Salary]]*(Table1[[#This Row],[Bonus %]]/100))</f>
        <v>168332.4</v>
      </c>
      <c r="L45" t="str">
        <f t="shared" si="0"/>
        <v>Pass</v>
      </c>
    </row>
    <row r="46" spans="1:12" x14ac:dyDescent="0.45">
      <c r="A46" t="s">
        <v>118</v>
      </c>
      <c r="B46" t="s">
        <v>119</v>
      </c>
      <c r="C46" t="s">
        <v>25</v>
      </c>
      <c r="D46" t="s">
        <v>16</v>
      </c>
      <c r="E46" s="23">
        <v>44132</v>
      </c>
      <c r="F46">
        <v>69232</v>
      </c>
      <c r="G46">
        <v>15</v>
      </c>
      <c r="H46" t="s">
        <v>17</v>
      </c>
      <c r="I46" t="s">
        <v>18</v>
      </c>
      <c r="J46">
        <v>14</v>
      </c>
      <c r="K46">
        <f>Table1[[#This Row],[Salary]]+(Table1[[#This Row],[Salary]]*(Table1[[#This Row],[Bonus %]]/100))</f>
        <v>79616.800000000003</v>
      </c>
      <c r="L46" t="str">
        <f t="shared" si="0"/>
        <v>Pass</v>
      </c>
    </row>
    <row r="47" spans="1:12" x14ac:dyDescent="0.45">
      <c r="A47" t="s">
        <v>120</v>
      </c>
      <c r="B47" t="s">
        <v>121</v>
      </c>
      <c r="C47" t="s">
        <v>52</v>
      </c>
      <c r="D47" t="s">
        <v>16</v>
      </c>
      <c r="E47" s="23">
        <v>44133</v>
      </c>
      <c r="F47">
        <v>136539</v>
      </c>
      <c r="G47">
        <v>15</v>
      </c>
      <c r="H47" t="s">
        <v>30</v>
      </c>
      <c r="I47" t="s">
        <v>18</v>
      </c>
      <c r="J47">
        <v>2</v>
      </c>
      <c r="K47">
        <f>Table1[[#This Row],[Salary]]+(Table1[[#This Row],[Salary]]*(Table1[[#This Row],[Bonus %]]/100))</f>
        <v>157019.85</v>
      </c>
      <c r="L47" t="str">
        <f t="shared" si="0"/>
        <v>Pass</v>
      </c>
    </row>
    <row r="48" spans="1:12" x14ac:dyDescent="0.45">
      <c r="A48" t="s">
        <v>122</v>
      </c>
      <c r="B48" t="s">
        <v>123</v>
      </c>
      <c r="C48" t="s">
        <v>25</v>
      </c>
      <c r="D48" t="s">
        <v>45</v>
      </c>
      <c r="E48" s="23">
        <v>44134</v>
      </c>
      <c r="F48">
        <v>108588</v>
      </c>
      <c r="G48">
        <v>15</v>
      </c>
      <c r="H48" t="s">
        <v>30</v>
      </c>
      <c r="I48" t="s">
        <v>31</v>
      </c>
      <c r="J48">
        <v>15</v>
      </c>
      <c r="K48">
        <f>Table1[[#This Row],[Salary]]+(Table1[[#This Row],[Salary]]*(Table1[[#This Row],[Bonus %]]/100))</f>
        <v>124876.2</v>
      </c>
      <c r="L48" t="str">
        <f t="shared" si="0"/>
        <v>Pass</v>
      </c>
    </row>
    <row r="49" spans="1:12" x14ac:dyDescent="0.45">
      <c r="A49" t="s">
        <v>124</v>
      </c>
      <c r="B49" t="s">
        <v>125</v>
      </c>
      <c r="C49" t="s">
        <v>15</v>
      </c>
      <c r="D49" t="s">
        <v>38</v>
      </c>
      <c r="E49" s="23">
        <v>44135</v>
      </c>
      <c r="F49">
        <v>37671</v>
      </c>
      <c r="G49">
        <v>15</v>
      </c>
      <c r="H49" t="s">
        <v>17</v>
      </c>
      <c r="I49" t="s">
        <v>27</v>
      </c>
      <c r="J49">
        <v>13</v>
      </c>
      <c r="K49">
        <f>Table1[[#This Row],[Salary]]+(Table1[[#This Row],[Salary]]*(Table1[[#This Row],[Bonus %]]/100))</f>
        <v>43321.65</v>
      </c>
      <c r="L49" t="str">
        <f t="shared" si="0"/>
        <v>Pass</v>
      </c>
    </row>
    <row r="50" spans="1:12" x14ac:dyDescent="0.45">
      <c r="A50" t="s">
        <v>126</v>
      </c>
      <c r="B50" t="s">
        <v>127</v>
      </c>
      <c r="C50" t="s">
        <v>59</v>
      </c>
      <c r="D50" t="s">
        <v>21</v>
      </c>
      <c r="E50" s="23">
        <v>44136</v>
      </c>
      <c r="F50">
        <v>74322</v>
      </c>
      <c r="G50">
        <v>5</v>
      </c>
      <c r="H50" t="s">
        <v>35</v>
      </c>
      <c r="I50" t="s">
        <v>27</v>
      </c>
      <c r="J50">
        <v>2</v>
      </c>
      <c r="K50">
        <f>Table1[[#This Row],[Salary]]+(Table1[[#This Row],[Salary]]*(Table1[[#This Row],[Bonus %]]/100))</f>
        <v>78038.100000000006</v>
      </c>
      <c r="L50" t="str">
        <f t="shared" si="0"/>
        <v>Fail</v>
      </c>
    </row>
    <row r="51" spans="1:12" x14ac:dyDescent="0.45">
      <c r="A51" t="s">
        <v>128</v>
      </c>
      <c r="B51" t="s">
        <v>129</v>
      </c>
      <c r="C51" t="s">
        <v>34</v>
      </c>
      <c r="D51" t="s">
        <v>26</v>
      </c>
      <c r="E51" s="23">
        <v>44137</v>
      </c>
      <c r="F51">
        <v>82226</v>
      </c>
      <c r="G51">
        <v>15</v>
      </c>
      <c r="H51" t="s">
        <v>17</v>
      </c>
      <c r="I51" t="s">
        <v>27</v>
      </c>
      <c r="J51">
        <v>16</v>
      </c>
      <c r="K51">
        <f>Table1[[#This Row],[Salary]]+(Table1[[#This Row],[Salary]]*(Table1[[#This Row],[Bonus %]]/100))</f>
        <v>94559.9</v>
      </c>
      <c r="L51" t="str">
        <f t="shared" si="0"/>
        <v>Pass</v>
      </c>
    </row>
    <row r="52" spans="1:12" x14ac:dyDescent="0.45">
      <c r="A52" t="s">
        <v>130</v>
      </c>
      <c r="B52" t="s">
        <v>131</v>
      </c>
      <c r="C52" t="s">
        <v>59</v>
      </c>
      <c r="D52" t="s">
        <v>38</v>
      </c>
      <c r="E52" s="23">
        <v>44138</v>
      </c>
      <c r="F52">
        <v>52000</v>
      </c>
      <c r="G52">
        <v>5</v>
      </c>
      <c r="H52" t="s">
        <v>30</v>
      </c>
      <c r="I52" t="s">
        <v>27</v>
      </c>
      <c r="J52">
        <v>27</v>
      </c>
      <c r="K52">
        <f>Table1[[#This Row],[Salary]]+(Table1[[#This Row],[Salary]]*(Table1[[#This Row],[Bonus %]]/100))</f>
        <v>54600</v>
      </c>
      <c r="L52" t="str">
        <f t="shared" si="0"/>
        <v>Pass</v>
      </c>
    </row>
    <row r="53" spans="1:12" x14ac:dyDescent="0.45">
      <c r="A53" t="s">
        <v>132</v>
      </c>
      <c r="B53" t="s">
        <v>133</v>
      </c>
      <c r="C53" t="s">
        <v>15</v>
      </c>
      <c r="D53" t="s">
        <v>26</v>
      </c>
      <c r="E53" s="23">
        <v>44139</v>
      </c>
      <c r="F53">
        <v>73473</v>
      </c>
      <c r="G53">
        <v>5</v>
      </c>
      <c r="H53" t="s">
        <v>17</v>
      </c>
      <c r="I53" t="s">
        <v>31</v>
      </c>
      <c r="J53">
        <v>14</v>
      </c>
      <c r="K53">
        <f>Table1[[#This Row],[Salary]]+(Table1[[#This Row],[Salary]]*(Table1[[#This Row],[Bonus %]]/100))</f>
        <v>77146.649999999994</v>
      </c>
      <c r="L53" t="str">
        <f t="shared" si="0"/>
        <v>Pass</v>
      </c>
    </row>
    <row r="54" spans="1:12" x14ac:dyDescent="0.45">
      <c r="A54" t="s">
        <v>134</v>
      </c>
      <c r="B54" t="s">
        <v>135</v>
      </c>
      <c r="C54" t="s">
        <v>15</v>
      </c>
      <c r="D54" t="s">
        <v>21</v>
      </c>
      <c r="E54" s="23">
        <v>44140</v>
      </c>
      <c r="F54">
        <v>49726</v>
      </c>
      <c r="G54">
        <v>10</v>
      </c>
      <c r="H54" t="s">
        <v>30</v>
      </c>
      <c r="I54" t="s">
        <v>18</v>
      </c>
      <c r="J54">
        <v>22</v>
      </c>
      <c r="K54">
        <f>Table1[[#This Row],[Salary]]+(Table1[[#This Row],[Salary]]*(Table1[[#This Row],[Bonus %]]/100))</f>
        <v>54698.6</v>
      </c>
      <c r="L54" t="str">
        <f t="shared" si="0"/>
        <v>Pass</v>
      </c>
    </row>
    <row r="55" spans="1:12" x14ac:dyDescent="0.45">
      <c r="A55" t="s">
        <v>136</v>
      </c>
      <c r="B55" t="s">
        <v>137</v>
      </c>
      <c r="C55" t="s">
        <v>52</v>
      </c>
      <c r="D55" t="s">
        <v>38</v>
      </c>
      <c r="E55" s="23">
        <v>44141</v>
      </c>
      <c r="F55">
        <v>125332</v>
      </c>
      <c r="G55">
        <v>10</v>
      </c>
      <c r="H55" t="s">
        <v>35</v>
      </c>
      <c r="I55" t="s">
        <v>22</v>
      </c>
      <c r="J55">
        <v>14</v>
      </c>
      <c r="K55">
        <f>Table1[[#This Row],[Salary]]+(Table1[[#This Row],[Salary]]*(Table1[[#This Row],[Bonus %]]/100))</f>
        <v>137865.20000000001</v>
      </c>
      <c r="L55" t="str">
        <f t="shared" si="0"/>
        <v>Fail</v>
      </c>
    </row>
    <row r="56" spans="1:12" x14ac:dyDescent="0.45">
      <c r="A56" t="s">
        <v>138</v>
      </c>
      <c r="B56" t="s">
        <v>139</v>
      </c>
      <c r="C56" t="s">
        <v>15</v>
      </c>
      <c r="D56" t="s">
        <v>38</v>
      </c>
      <c r="E56" s="23">
        <v>44142</v>
      </c>
      <c r="F56">
        <v>55500</v>
      </c>
      <c r="G56">
        <v>10</v>
      </c>
      <c r="H56" t="s">
        <v>30</v>
      </c>
      <c r="I56" t="s">
        <v>31</v>
      </c>
      <c r="J56">
        <v>24</v>
      </c>
      <c r="K56">
        <f>Table1[[#This Row],[Salary]]+(Table1[[#This Row],[Salary]]*(Table1[[#This Row],[Bonus %]]/100))</f>
        <v>61050</v>
      </c>
      <c r="L56" t="str">
        <f t="shared" si="0"/>
        <v>Pass</v>
      </c>
    </row>
    <row r="57" spans="1:12" x14ac:dyDescent="0.45">
      <c r="A57" t="s">
        <v>140</v>
      </c>
      <c r="B57" t="s">
        <v>141</v>
      </c>
      <c r="C57" t="s">
        <v>34</v>
      </c>
      <c r="D57" t="s">
        <v>38</v>
      </c>
      <c r="E57" s="23">
        <v>44143</v>
      </c>
      <c r="F57">
        <v>47125</v>
      </c>
      <c r="G57">
        <v>10</v>
      </c>
      <c r="H57" t="s">
        <v>17</v>
      </c>
      <c r="I57" t="s">
        <v>22</v>
      </c>
      <c r="J57">
        <v>2</v>
      </c>
      <c r="K57">
        <f>Table1[[#This Row],[Salary]]+(Table1[[#This Row],[Salary]]*(Table1[[#This Row],[Bonus %]]/100))</f>
        <v>51837.5</v>
      </c>
      <c r="L57" t="str">
        <f t="shared" si="0"/>
        <v>Pass</v>
      </c>
    </row>
    <row r="58" spans="1:12" x14ac:dyDescent="0.45">
      <c r="A58" t="s">
        <v>142</v>
      </c>
      <c r="B58" t="s">
        <v>143</v>
      </c>
      <c r="C58" t="s">
        <v>34</v>
      </c>
      <c r="D58" t="s">
        <v>16</v>
      </c>
      <c r="E58" s="23">
        <v>44144</v>
      </c>
      <c r="F58">
        <v>48732</v>
      </c>
      <c r="G58">
        <v>20</v>
      </c>
      <c r="H58" t="s">
        <v>30</v>
      </c>
      <c r="I58" t="s">
        <v>22</v>
      </c>
      <c r="J58">
        <v>24</v>
      </c>
      <c r="K58">
        <f>Table1[[#This Row],[Salary]]+(Table1[[#This Row],[Salary]]*(Table1[[#This Row],[Bonus %]]/100))</f>
        <v>58478.400000000001</v>
      </c>
      <c r="L58" t="str">
        <f t="shared" si="0"/>
        <v>Pass</v>
      </c>
    </row>
    <row r="59" spans="1:12" x14ac:dyDescent="0.45">
      <c r="A59" t="s">
        <v>144</v>
      </c>
      <c r="B59" t="s">
        <v>145</v>
      </c>
      <c r="C59" t="s">
        <v>52</v>
      </c>
      <c r="D59" t="s">
        <v>26</v>
      </c>
      <c r="E59" s="23">
        <v>44145</v>
      </c>
      <c r="F59">
        <v>79871</v>
      </c>
      <c r="G59">
        <v>15</v>
      </c>
      <c r="H59" t="s">
        <v>17</v>
      </c>
      <c r="I59" t="s">
        <v>18</v>
      </c>
      <c r="J59">
        <v>27</v>
      </c>
      <c r="K59">
        <f>Table1[[#This Row],[Salary]]+(Table1[[#This Row],[Salary]]*(Table1[[#This Row],[Bonus %]]/100))</f>
        <v>91851.65</v>
      </c>
      <c r="L59" t="str">
        <f t="shared" si="0"/>
        <v>Pass</v>
      </c>
    </row>
    <row r="60" spans="1:12" x14ac:dyDescent="0.45">
      <c r="A60" t="s">
        <v>146</v>
      </c>
      <c r="B60" t="s">
        <v>147</v>
      </c>
      <c r="C60" t="s">
        <v>15</v>
      </c>
      <c r="D60" t="s">
        <v>38</v>
      </c>
      <c r="E60" s="23">
        <v>44146</v>
      </c>
      <c r="F60">
        <v>114353</v>
      </c>
      <c r="G60">
        <v>20</v>
      </c>
      <c r="H60" t="s">
        <v>35</v>
      </c>
      <c r="I60" t="s">
        <v>31</v>
      </c>
      <c r="J60">
        <v>16</v>
      </c>
      <c r="K60">
        <f>Table1[[#This Row],[Salary]]+(Table1[[#This Row],[Salary]]*(Table1[[#This Row],[Bonus %]]/100))</f>
        <v>137223.6</v>
      </c>
      <c r="L60" t="str">
        <f t="shared" si="0"/>
        <v>Fail</v>
      </c>
    </row>
    <row r="61" spans="1:12" x14ac:dyDescent="0.45">
      <c r="A61" t="s">
        <v>148</v>
      </c>
      <c r="B61" t="s">
        <v>149</v>
      </c>
      <c r="C61" t="s">
        <v>15</v>
      </c>
      <c r="D61" t="s">
        <v>38</v>
      </c>
      <c r="E61" s="23">
        <v>44147</v>
      </c>
      <c r="F61">
        <v>126723</v>
      </c>
      <c r="G61">
        <v>20</v>
      </c>
      <c r="H61" t="s">
        <v>17</v>
      </c>
      <c r="I61" t="s">
        <v>31</v>
      </c>
      <c r="J61">
        <v>24</v>
      </c>
      <c r="K61">
        <f>Table1[[#This Row],[Salary]]+(Table1[[#This Row],[Salary]]*(Table1[[#This Row],[Bonus %]]/100))</f>
        <v>152067.6</v>
      </c>
      <c r="L61" t="str">
        <f t="shared" si="0"/>
        <v>Pass</v>
      </c>
    </row>
    <row r="62" spans="1:12" x14ac:dyDescent="0.45">
      <c r="A62" t="s">
        <v>150</v>
      </c>
      <c r="B62" t="s">
        <v>151</v>
      </c>
      <c r="C62" t="s">
        <v>34</v>
      </c>
      <c r="D62" t="s">
        <v>16</v>
      </c>
      <c r="E62" s="23">
        <v>44148</v>
      </c>
      <c r="F62">
        <v>77761</v>
      </c>
      <c r="G62">
        <v>5</v>
      </c>
      <c r="H62" t="s">
        <v>35</v>
      </c>
      <c r="I62" t="s">
        <v>27</v>
      </c>
      <c r="J62">
        <v>3</v>
      </c>
      <c r="K62">
        <f>Table1[[#This Row],[Salary]]+(Table1[[#This Row],[Salary]]*(Table1[[#This Row],[Bonus %]]/100))</f>
        <v>81649.05</v>
      </c>
      <c r="L62" t="str">
        <f t="shared" si="0"/>
        <v>Fail</v>
      </c>
    </row>
    <row r="63" spans="1:12" x14ac:dyDescent="0.45">
      <c r="A63" t="s">
        <v>152</v>
      </c>
      <c r="B63" t="s">
        <v>153</v>
      </c>
      <c r="C63" t="s">
        <v>59</v>
      </c>
      <c r="D63" t="s">
        <v>38</v>
      </c>
      <c r="E63" s="23">
        <v>44149</v>
      </c>
      <c r="F63">
        <v>143990</v>
      </c>
      <c r="G63">
        <v>5</v>
      </c>
      <c r="H63" t="s">
        <v>35</v>
      </c>
      <c r="I63" t="s">
        <v>27</v>
      </c>
      <c r="J63">
        <v>30</v>
      </c>
      <c r="K63">
        <f>Table1[[#This Row],[Salary]]+(Table1[[#This Row],[Salary]]*(Table1[[#This Row],[Bonus %]]/100))</f>
        <v>151189.5</v>
      </c>
      <c r="L63" t="str">
        <f t="shared" si="0"/>
        <v>Fail</v>
      </c>
    </row>
    <row r="64" spans="1:12" x14ac:dyDescent="0.45">
      <c r="A64" t="s">
        <v>154</v>
      </c>
      <c r="B64" t="s">
        <v>155</v>
      </c>
      <c r="C64" t="s">
        <v>59</v>
      </c>
      <c r="D64" t="s">
        <v>16</v>
      </c>
      <c r="E64" s="23">
        <v>44150</v>
      </c>
      <c r="F64">
        <v>118648</v>
      </c>
      <c r="G64">
        <v>10</v>
      </c>
      <c r="H64" t="s">
        <v>30</v>
      </c>
      <c r="I64" t="s">
        <v>27</v>
      </c>
      <c r="J64">
        <v>5</v>
      </c>
      <c r="K64">
        <f>Table1[[#This Row],[Salary]]+(Table1[[#This Row],[Salary]]*(Table1[[#This Row],[Bonus %]]/100))</f>
        <v>130512.8</v>
      </c>
      <c r="L64" t="str">
        <f t="shared" si="0"/>
        <v>Pass</v>
      </c>
    </row>
    <row r="65" spans="1:12" x14ac:dyDescent="0.45">
      <c r="A65" t="s">
        <v>156</v>
      </c>
      <c r="B65" t="s">
        <v>157</v>
      </c>
      <c r="C65" t="s">
        <v>34</v>
      </c>
      <c r="D65" t="s">
        <v>16</v>
      </c>
      <c r="E65" s="23">
        <v>44151</v>
      </c>
      <c r="F65">
        <v>30355</v>
      </c>
      <c r="G65">
        <v>10</v>
      </c>
      <c r="H65" t="s">
        <v>30</v>
      </c>
      <c r="I65" t="s">
        <v>18</v>
      </c>
      <c r="J65">
        <v>26</v>
      </c>
      <c r="K65">
        <f>Table1[[#This Row],[Salary]]+(Table1[[#This Row],[Salary]]*(Table1[[#This Row],[Bonus %]]/100))</f>
        <v>33390.5</v>
      </c>
      <c r="L65" t="str">
        <f t="shared" si="0"/>
        <v>Pass</v>
      </c>
    </row>
    <row r="66" spans="1:12" x14ac:dyDescent="0.45">
      <c r="A66" t="s">
        <v>158</v>
      </c>
      <c r="B66" t="s">
        <v>159</v>
      </c>
      <c r="C66" t="s">
        <v>25</v>
      </c>
      <c r="D66" t="s">
        <v>38</v>
      </c>
      <c r="E66" s="23">
        <v>44152</v>
      </c>
      <c r="F66">
        <v>72295</v>
      </c>
      <c r="G66">
        <v>20</v>
      </c>
      <c r="H66" t="s">
        <v>35</v>
      </c>
      <c r="I66" t="s">
        <v>27</v>
      </c>
      <c r="J66">
        <v>1</v>
      </c>
      <c r="K66">
        <f>Table1[[#This Row],[Salary]]+(Table1[[#This Row],[Salary]]*(Table1[[#This Row],[Bonus %]]/100))</f>
        <v>86754</v>
      </c>
      <c r="L66" t="str">
        <f t="shared" ref="L66:L129" si="1">IF(OR(H66="A",H66="B"),"Pass","Fail")</f>
        <v>Fail</v>
      </c>
    </row>
    <row r="67" spans="1:12" x14ac:dyDescent="0.45">
      <c r="A67" t="s">
        <v>160</v>
      </c>
      <c r="B67" t="s">
        <v>161</v>
      </c>
      <c r="C67" t="s">
        <v>34</v>
      </c>
      <c r="D67" t="s">
        <v>45</v>
      </c>
      <c r="E67" s="23">
        <v>44153</v>
      </c>
      <c r="F67">
        <v>31201</v>
      </c>
      <c r="G67">
        <v>10</v>
      </c>
      <c r="H67" t="s">
        <v>17</v>
      </c>
      <c r="I67" t="s">
        <v>27</v>
      </c>
      <c r="J67">
        <v>24</v>
      </c>
      <c r="K67">
        <f>Table1[[#This Row],[Salary]]+(Table1[[#This Row],[Salary]]*(Table1[[#This Row],[Bonus %]]/100))</f>
        <v>34321.1</v>
      </c>
      <c r="L67" t="str">
        <f t="shared" si="1"/>
        <v>Pass</v>
      </c>
    </row>
    <row r="68" spans="1:12" x14ac:dyDescent="0.45">
      <c r="A68" t="s">
        <v>162</v>
      </c>
      <c r="B68" t="s">
        <v>163</v>
      </c>
      <c r="C68" t="s">
        <v>59</v>
      </c>
      <c r="D68" t="s">
        <v>38</v>
      </c>
      <c r="E68" s="23">
        <v>44154</v>
      </c>
      <c r="F68">
        <v>33123</v>
      </c>
      <c r="G68">
        <v>10</v>
      </c>
      <c r="H68" t="s">
        <v>17</v>
      </c>
      <c r="I68" t="s">
        <v>31</v>
      </c>
      <c r="J68">
        <v>8</v>
      </c>
      <c r="K68">
        <f>Table1[[#This Row],[Salary]]+(Table1[[#This Row],[Salary]]*(Table1[[#This Row],[Bonus %]]/100))</f>
        <v>36435.300000000003</v>
      </c>
      <c r="L68" t="str">
        <f t="shared" si="1"/>
        <v>Pass</v>
      </c>
    </row>
    <row r="69" spans="1:12" x14ac:dyDescent="0.45">
      <c r="A69" t="s">
        <v>164</v>
      </c>
      <c r="B69" t="s">
        <v>165</v>
      </c>
      <c r="C69" t="s">
        <v>15</v>
      </c>
      <c r="D69" t="s">
        <v>16</v>
      </c>
      <c r="E69" s="23">
        <v>44155</v>
      </c>
      <c r="F69">
        <v>65553</v>
      </c>
      <c r="G69">
        <v>10</v>
      </c>
      <c r="H69" t="s">
        <v>35</v>
      </c>
      <c r="I69" t="s">
        <v>22</v>
      </c>
      <c r="J69">
        <v>4</v>
      </c>
      <c r="K69">
        <f>Table1[[#This Row],[Salary]]+(Table1[[#This Row],[Salary]]*(Table1[[#This Row],[Bonus %]]/100))</f>
        <v>72108.3</v>
      </c>
      <c r="L69" t="str">
        <f t="shared" si="1"/>
        <v>Fail</v>
      </c>
    </row>
    <row r="70" spans="1:12" x14ac:dyDescent="0.45">
      <c r="A70" t="s">
        <v>166</v>
      </c>
      <c r="B70" t="s">
        <v>167</v>
      </c>
      <c r="C70" t="s">
        <v>52</v>
      </c>
      <c r="D70" t="s">
        <v>21</v>
      </c>
      <c r="E70" s="23">
        <v>44156</v>
      </c>
      <c r="F70">
        <v>138900</v>
      </c>
      <c r="G70">
        <v>20</v>
      </c>
      <c r="H70" t="s">
        <v>17</v>
      </c>
      <c r="I70" t="s">
        <v>18</v>
      </c>
      <c r="J70">
        <v>2</v>
      </c>
      <c r="K70">
        <f>Table1[[#This Row],[Salary]]+(Table1[[#This Row],[Salary]]*(Table1[[#This Row],[Bonus %]]/100))</f>
        <v>166680</v>
      </c>
      <c r="L70" t="str">
        <f t="shared" si="1"/>
        <v>Pass</v>
      </c>
    </row>
    <row r="71" spans="1:12" x14ac:dyDescent="0.45">
      <c r="A71" t="s">
        <v>168</v>
      </c>
      <c r="B71" t="s">
        <v>169</v>
      </c>
      <c r="C71" t="s">
        <v>59</v>
      </c>
      <c r="D71" t="s">
        <v>21</v>
      </c>
      <c r="E71" s="23">
        <v>44157</v>
      </c>
      <c r="F71">
        <v>38192</v>
      </c>
      <c r="G71">
        <v>20</v>
      </c>
      <c r="H71" t="s">
        <v>35</v>
      </c>
      <c r="I71" t="s">
        <v>31</v>
      </c>
      <c r="J71">
        <v>14</v>
      </c>
      <c r="K71">
        <f>Table1[[#This Row],[Salary]]+(Table1[[#This Row],[Salary]]*(Table1[[#This Row],[Bonus %]]/100))</f>
        <v>45830.400000000001</v>
      </c>
      <c r="L71" t="str">
        <f t="shared" si="1"/>
        <v>Fail</v>
      </c>
    </row>
    <row r="72" spans="1:12" x14ac:dyDescent="0.45">
      <c r="A72" t="s">
        <v>170</v>
      </c>
      <c r="B72" t="s">
        <v>171</v>
      </c>
      <c r="C72" t="s">
        <v>59</v>
      </c>
      <c r="D72" t="s">
        <v>38</v>
      </c>
      <c r="E72" s="23">
        <v>44158</v>
      </c>
      <c r="F72">
        <v>54026</v>
      </c>
      <c r="G72">
        <v>20</v>
      </c>
      <c r="H72" t="s">
        <v>35</v>
      </c>
      <c r="I72" t="s">
        <v>31</v>
      </c>
      <c r="J72">
        <v>1</v>
      </c>
      <c r="K72">
        <f>Table1[[#This Row],[Salary]]+(Table1[[#This Row],[Salary]]*(Table1[[#This Row],[Bonus %]]/100))</f>
        <v>64831.199999999997</v>
      </c>
      <c r="L72" t="str">
        <f t="shared" si="1"/>
        <v>Fail</v>
      </c>
    </row>
    <row r="73" spans="1:12" x14ac:dyDescent="0.45">
      <c r="A73" t="s">
        <v>172</v>
      </c>
      <c r="B73" t="s">
        <v>173</v>
      </c>
      <c r="C73" t="s">
        <v>59</v>
      </c>
      <c r="D73" t="s">
        <v>16</v>
      </c>
      <c r="E73" s="23">
        <v>44159</v>
      </c>
      <c r="F73">
        <v>89987</v>
      </c>
      <c r="G73">
        <v>10</v>
      </c>
      <c r="H73" t="s">
        <v>17</v>
      </c>
      <c r="I73" t="s">
        <v>31</v>
      </c>
      <c r="J73">
        <v>7</v>
      </c>
      <c r="K73">
        <f>Table1[[#This Row],[Salary]]+(Table1[[#This Row],[Salary]]*(Table1[[#This Row],[Bonus %]]/100))</f>
        <v>98985.7</v>
      </c>
      <c r="L73" t="str">
        <f t="shared" si="1"/>
        <v>Pass</v>
      </c>
    </row>
    <row r="74" spans="1:12" x14ac:dyDescent="0.45">
      <c r="A74" t="s">
        <v>174</v>
      </c>
      <c r="B74" t="s">
        <v>175</v>
      </c>
      <c r="C74" t="s">
        <v>59</v>
      </c>
      <c r="D74" t="s">
        <v>26</v>
      </c>
      <c r="E74" s="23">
        <v>44160</v>
      </c>
      <c r="F74">
        <v>62624</v>
      </c>
      <c r="G74">
        <v>20</v>
      </c>
      <c r="H74" t="s">
        <v>17</v>
      </c>
      <c r="I74" t="s">
        <v>27</v>
      </c>
      <c r="J74">
        <v>16</v>
      </c>
      <c r="K74">
        <f>Table1[[#This Row],[Salary]]+(Table1[[#This Row],[Salary]]*(Table1[[#This Row],[Bonus %]]/100))</f>
        <v>75148.800000000003</v>
      </c>
      <c r="L74" t="str">
        <f t="shared" si="1"/>
        <v>Pass</v>
      </c>
    </row>
    <row r="75" spans="1:12" x14ac:dyDescent="0.45">
      <c r="A75" t="s">
        <v>176</v>
      </c>
      <c r="B75" t="s">
        <v>177</v>
      </c>
      <c r="C75" t="s">
        <v>59</v>
      </c>
      <c r="D75" t="s">
        <v>38</v>
      </c>
      <c r="E75" s="23">
        <v>44161</v>
      </c>
      <c r="F75">
        <v>128534</v>
      </c>
      <c r="G75">
        <v>15</v>
      </c>
      <c r="H75" t="s">
        <v>35</v>
      </c>
      <c r="I75" t="s">
        <v>31</v>
      </c>
      <c r="J75">
        <v>11</v>
      </c>
      <c r="K75">
        <f>Table1[[#This Row],[Salary]]+(Table1[[#This Row],[Salary]]*(Table1[[#This Row],[Bonus %]]/100))</f>
        <v>147814.1</v>
      </c>
      <c r="L75" t="str">
        <f t="shared" si="1"/>
        <v>Fail</v>
      </c>
    </row>
    <row r="76" spans="1:12" x14ac:dyDescent="0.45">
      <c r="A76" t="s">
        <v>178</v>
      </c>
      <c r="B76" t="s">
        <v>179</v>
      </c>
      <c r="C76" t="s">
        <v>25</v>
      </c>
      <c r="D76" t="s">
        <v>16</v>
      </c>
      <c r="E76" s="23">
        <v>44162</v>
      </c>
      <c r="F76">
        <v>78890</v>
      </c>
      <c r="G76">
        <v>15</v>
      </c>
      <c r="H76" t="s">
        <v>35</v>
      </c>
      <c r="I76" t="s">
        <v>18</v>
      </c>
      <c r="J76">
        <v>19</v>
      </c>
      <c r="K76">
        <f>Table1[[#This Row],[Salary]]+(Table1[[#This Row],[Salary]]*(Table1[[#This Row],[Bonus %]]/100))</f>
        <v>90723.5</v>
      </c>
      <c r="L76" t="str">
        <f t="shared" si="1"/>
        <v>Fail</v>
      </c>
    </row>
    <row r="77" spans="1:12" x14ac:dyDescent="0.45">
      <c r="A77" t="s">
        <v>180</v>
      </c>
      <c r="B77" t="s">
        <v>181</v>
      </c>
      <c r="C77" t="s">
        <v>15</v>
      </c>
      <c r="D77" t="s">
        <v>26</v>
      </c>
      <c r="E77" s="23">
        <v>44163</v>
      </c>
      <c r="F77">
        <v>39250</v>
      </c>
      <c r="G77">
        <v>5</v>
      </c>
      <c r="H77" t="s">
        <v>30</v>
      </c>
      <c r="I77" t="s">
        <v>18</v>
      </c>
      <c r="J77">
        <v>0</v>
      </c>
      <c r="K77">
        <f>Table1[[#This Row],[Salary]]+(Table1[[#This Row],[Salary]]*(Table1[[#This Row],[Bonus %]]/100))</f>
        <v>41212.5</v>
      </c>
      <c r="L77" t="str">
        <f t="shared" si="1"/>
        <v>Pass</v>
      </c>
    </row>
    <row r="78" spans="1:12" x14ac:dyDescent="0.45">
      <c r="A78" t="s">
        <v>182</v>
      </c>
      <c r="B78" t="s">
        <v>183</v>
      </c>
      <c r="C78" t="s">
        <v>15</v>
      </c>
      <c r="D78" t="s">
        <v>38</v>
      </c>
      <c r="E78" s="23">
        <v>44164</v>
      </c>
      <c r="F78">
        <v>140408</v>
      </c>
      <c r="G78">
        <v>20</v>
      </c>
      <c r="H78" t="s">
        <v>35</v>
      </c>
      <c r="I78" t="s">
        <v>27</v>
      </c>
      <c r="J78">
        <v>0</v>
      </c>
      <c r="K78">
        <f>Table1[[#This Row],[Salary]]+(Table1[[#This Row],[Salary]]*(Table1[[#This Row],[Bonus %]]/100))</f>
        <v>168489.60000000001</v>
      </c>
      <c r="L78" t="str">
        <f t="shared" si="1"/>
        <v>Fail</v>
      </c>
    </row>
    <row r="79" spans="1:12" x14ac:dyDescent="0.45">
      <c r="A79" t="s">
        <v>184</v>
      </c>
      <c r="B79" t="s">
        <v>185</v>
      </c>
      <c r="C79" t="s">
        <v>59</v>
      </c>
      <c r="D79" t="s">
        <v>26</v>
      </c>
      <c r="E79" s="23">
        <v>44165</v>
      </c>
      <c r="F79">
        <v>35838</v>
      </c>
      <c r="G79">
        <v>10</v>
      </c>
      <c r="H79" t="s">
        <v>17</v>
      </c>
      <c r="I79" t="s">
        <v>27</v>
      </c>
      <c r="J79">
        <v>24</v>
      </c>
      <c r="K79">
        <f>Table1[[#This Row],[Salary]]+(Table1[[#This Row],[Salary]]*(Table1[[#This Row],[Bonus %]]/100))</f>
        <v>39421.800000000003</v>
      </c>
      <c r="L79" t="str">
        <f t="shared" si="1"/>
        <v>Pass</v>
      </c>
    </row>
    <row r="80" spans="1:12" x14ac:dyDescent="0.45">
      <c r="A80" t="s">
        <v>186</v>
      </c>
      <c r="B80" t="s">
        <v>187</v>
      </c>
      <c r="C80" t="s">
        <v>52</v>
      </c>
      <c r="D80" t="s">
        <v>26</v>
      </c>
      <c r="E80" s="23">
        <v>44166</v>
      </c>
      <c r="F80">
        <v>34292</v>
      </c>
      <c r="G80">
        <v>10</v>
      </c>
      <c r="H80" t="s">
        <v>35</v>
      </c>
      <c r="I80" t="s">
        <v>27</v>
      </c>
      <c r="J80">
        <v>7</v>
      </c>
      <c r="K80">
        <f>Table1[[#This Row],[Salary]]+(Table1[[#This Row],[Salary]]*(Table1[[#This Row],[Bonus %]]/100))</f>
        <v>37721.199999999997</v>
      </c>
      <c r="L80" t="str">
        <f t="shared" si="1"/>
        <v>Fail</v>
      </c>
    </row>
    <row r="81" spans="1:12" x14ac:dyDescent="0.45">
      <c r="A81" t="s">
        <v>188</v>
      </c>
      <c r="B81" t="s">
        <v>189</v>
      </c>
      <c r="C81" t="s">
        <v>59</v>
      </c>
      <c r="D81" t="s">
        <v>26</v>
      </c>
      <c r="E81" s="23">
        <v>44167</v>
      </c>
      <c r="F81">
        <v>129873</v>
      </c>
      <c r="G81">
        <v>5</v>
      </c>
      <c r="H81" t="s">
        <v>17</v>
      </c>
      <c r="I81" t="s">
        <v>18</v>
      </c>
      <c r="J81">
        <v>22</v>
      </c>
      <c r="K81">
        <f>Table1[[#This Row],[Salary]]+(Table1[[#This Row],[Salary]]*(Table1[[#This Row],[Bonus %]]/100))</f>
        <v>136366.65</v>
      </c>
      <c r="L81" t="str">
        <f t="shared" si="1"/>
        <v>Pass</v>
      </c>
    </row>
    <row r="82" spans="1:12" x14ac:dyDescent="0.45">
      <c r="A82" t="s">
        <v>190</v>
      </c>
      <c r="B82" t="s">
        <v>191</v>
      </c>
      <c r="C82" t="s">
        <v>59</v>
      </c>
      <c r="D82" t="s">
        <v>45</v>
      </c>
      <c r="E82" s="23">
        <v>44168</v>
      </c>
      <c r="F82">
        <v>109958</v>
      </c>
      <c r="G82">
        <v>10</v>
      </c>
      <c r="H82" t="s">
        <v>30</v>
      </c>
      <c r="I82" t="s">
        <v>18</v>
      </c>
      <c r="J82">
        <v>22</v>
      </c>
      <c r="K82">
        <f>Table1[[#This Row],[Salary]]+(Table1[[#This Row],[Salary]]*(Table1[[#This Row],[Bonus %]]/100))</f>
        <v>120953.8</v>
      </c>
      <c r="L82" t="str">
        <f t="shared" si="1"/>
        <v>Pass</v>
      </c>
    </row>
    <row r="83" spans="1:12" x14ac:dyDescent="0.45">
      <c r="A83" t="s">
        <v>192</v>
      </c>
      <c r="B83" t="s">
        <v>193</v>
      </c>
      <c r="C83" t="s">
        <v>34</v>
      </c>
      <c r="D83" t="s">
        <v>45</v>
      </c>
      <c r="E83" s="23">
        <v>44169</v>
      </c>
      <c r="F83">
        <v>77711</v>
      </c>
      <c r="G83">
        <v>10</v>
      </c>
      <c r="H83" t="s">
        <v>17</v>
      </c>
      <c r="I83" t="s">
        <v>22</v>
      </c>
      <c r="J83">
        <v>12</v>
      </c>
      <c r="K83">
        <f>Table1[[#This Row],[Salary]]+(Table1[[#This Row],[Salary]]*(Table1[[#This Row],[Bonus %]]/100))</f>
        <v>85482.1</v>
      </c>
      <c r="L83" t="str">
        <f t="shared" si="1"/>
        <v>Pass</v>
      </c>
    </row>
    <row r="84" spans="1:12" x14ac:dyDescent="0.45">
      <c r="A84" t="s">
        <v>194</v>
      </c>
      <c r="B84" t="s">
        <v>195</v>
      </c>
      <c r="C84" t="s">
        <v>15</v>
      </c>
      <c r="D84" t="s">
        <v>26</v>
      </c>
      <c r="E84" s="23">
        <v>44170</v>
      </c>
      <c r="F84">
        <v>61434</v>
      </c>
      <c r="G84">
        <v>5</v>
      </c>
      <c r="H84" t="s">
        <v>35</v>
      </c>
      <c r="I84" t="s">
        <v>31</v>
      </c>
      <c r="J84">
        <v>22</v>
      </c>
      <c r="K84">
        <f>Table1[[#This Row],[Salary]]+(Table1[[#This Row],[Salary]]*(Table1[[#This Row],[Bonus %]]/100))</f>
        <v>64505.7</v>
      </c>
      <c r="L84" t="str">
        <f t="shared" si="1"/>
        <v>Fail</v>
      </c>
    </row>
    <row r="85" spans="1:12" x14ac:dyDescent="0.45">
      <c r="A85" t="s">
        <v>196</v>
      </c>
      <c r="B85" t="s">
        <v>197</v>
      </c>
      <c r="C85" t="s">
        <v>34</v>
      </c>
      <c r="D85" t="s">
        <v>45</v>
      </c>
      <c r="E85" s="23">
        <v>44171</v>
      </c>
      <c r="F85">
        <v>60100</v>
      </c>
      <c r="G85">
        <v>15</v>
      </c>
      <c r="H85" t="s">
        <v>30</v>
      </c>
      <c r="I85" t="s">
        <v>31</v>
      </c>
      <c r="J85">
        <v>15</v>
      </c>
      <c r="K85">
        <f>Table1[[#This Row],[Salary]]+(Table1[[#This Row],[Salary]]*(Table1[[#This Row],[Bonus %]]/100))</f>
        <v>69115</v>
      </c>
      <c r="L85" t="str">
        <f t="shared" si="1"/>
        <v>Pass</v>
      </c>
    </row>
    <row r="86" spans="1:12" x14ac:dyDescent="0.45">
      <c r="A86" t="s">
        <v>198</v>
      </c>
      <c r="B86" t="s">
        <v>199</v>
      </c>
      <c r="C86" t="s">
        <v>52</v>
      </c>
      <c r="D86" t="s">
        <v>26</v>
      </c>
      <c r="E86" s="23">
        <v>44172</v>
      </c>
      <c r="F86">
        <v>112001</v>
      </c>
      <c r="G86">
        <v>20</v>
      </c>
      <c r="H86" t="s">
        <v>17</v>
      </c>
      <c r="I86" t="s">
        <v>18</v>
      </c>
      <c r="J86">
        <v>2</v>
      </c>
      <c r="K86">
        <f>Table1[[#This Row],[Salary]]+(Table1[[#This Row],[Salary]]*(Table1[[#This Row],[Bonus %]]/100))</f>
        <v>134401.20000000001</v>
      </c>
      <c r="L86" t="str">
        <f t="shared" si="1"/>
        <v>Pass</v>
      </c>
    </row>
    <row r="87" spans="1:12" x14ac:dyDescent="0.45">
      <c r="A87" t="s">
        <v>200</v>
      </c>
      <c r="B87" t="s">
        <v>201</v>
      </c>
      <c r="C87" t="s">
        <v>25</v>
      </c>
      <c r="D87" t="s">
        <v>26</v>
      </c>
      <c r="E87" s="23">
        <v>44173</v>
      </c>
      <c r="F87">
        <v>119658</v>
      </c>
      <c r="G87">
        <v>20</v>
      </c>
      <c r="H87" t="s">
        <v>30</v>
      </c>
      <c r="I87" t="s">
        <v>22</v>
      </c>
      <c r="J87">
        <v>16</v>
      </c>
      <c r="K87">
        <f>Table1[[#This Row],[Salary]]+(Table1[[#This Row],[Salary]]*(Table1[[#This Row],[Bonus %]]/100))</f>
        <v>143589.6</v>
      </c>
      <c r="L87" t="str">
        <f t="shared" si="1"/>
        <v>Pass</v>
      </c>
    </row>
    <row r="88" spans="1:12" x14ac:dyDescent="0.45">
      <c r="A88" t="s">
        <v>202</v>
      </c>
      <c r="B88" t="s">
        <v>203</v>
      </c>
      <c r="C88" t="s">
        <v>52</v>
      </c>
      <c r="D88" t="s">
        <v>45</v>
      </c>
      <c r="E88" s="23">
        <v>44174</v>
      </c>
      <c r="F88">
        <v>108908</v>
      </c>
      <c r="G88">
        <v>5</v>
      </c>
      <c r="H88" t="s">
        <v>35</v>
      </c>
      <c r="I88" t="s">
        <v>31</v>
      </c>
      <c r="J88">
        <v>25</v>
      </c>
      <c r="K88">
        <f>Table1[[#This Row],[Salary]]+(Table1[[#This Row],[Salary]]*(Table1[[#This Row],[Bonus %]]/100))</f>
        <v>114353.4</v>
      </c>
      <c r="L88" t="str">
        <f t="shared" si="1"/>
        <v>Fail</v>
      </c>
    </row>
    <row r="89" spans="1:12" x14ac:dyDescent="0.45">
      <c r="A89" t="s">
        <v>204</v>
      </c>
      <c r="B89" t="s">
        <v>205</v>
      </c>
      <c r="C89" t="s">
        <v>59</v>
      </c>
      <c r="D89" t="s">
        <v>26</v>
      </c>
      <c r="E89" s="23">
        <v>44175</v>
      </c>
      <c r="F89">
        <v>143234</v>
      </c>
      <c r="G89">
        <v>5</v>
      </c>
      <c r="H89" t="s">
        <v>17</v>
      </c>
      <c r="I89" t="s">
        <v>18</v>
      </c>
      <c r="J89">
        <v>15</v>
      </c>
      <c r="K89">
        <f>Table1[[#This Row],[Salary]]+(Table1[[#This Row],[Salary]]*(Table1[[#This Row],[Bonus %]]/100))</f>
        <v>150395.70000000001</v>
      </c>
      <c r="L89" t="str">
        <f t="shared" si="1"/>
        <v>Pass</v>
      </c>
    </row>
    <row r="90" spans="1:12" x14ac:dyDescent="0.45">
      <c r="A90" t="s">
        <v>206</v>
      </c>
      <c r="B90" t="s">
        <v>207</v>
      </c>
      <c r="C90" t="s">
        <v>59</v>
      </c>
      <c r="D90" t="s">
        <v>45</v>
      </c>
      <c r="E90" s="23">
        <v>44176</v>
      </c>
      <c r="F90">
        <v>112899</v>
      </c>
      <c r="G90">
        <v>5</v>
      </c>
      <c r="H90" t="s">
        <v>35</v>
      </c>
      <c r="I90" t="s">
        <v>31</v>
      </c>
      <c r="J90">
        <v>6</v>
      </c>
      <c r="K90">
        <f>Table1[[#This Row],[Salary]]+(Table1[[#This Row],[Salary]]*(Table1[[#This Row],[Bonus %]]/100))</f>
        <v>118543.95</v>
      </c>
      <c r="L90" t="str">
        <f t="shared" si="1"/>
        <v>Fail</v>
      </c>
    </row>
    <row r="91" spans="1:12" x14ac:dyDescent="0.45">
      <c r="A91" t="s">
        <v>208</v>
      </c>
      <c r="B91" t="s">
        <v>209</v>
      </c>
      <c r="C91" t="s">
        <v>59</v>
      </c>
      <c r="D91" t="s">
        <v>26</v>
      </c>
      <c r="E91" s="23">
        <v>44177</v>
      </c>
      <c r="F91">
        <v>100040</v>
      </c>
      <c r="G91">
        <v>20</v>
      </c>
      <c r="H91" t="s">
        <v>35</v>
      </c>
      <c r="I91" t="s">
        <v>27</v>
      </c>
      <c r="J91">
        <v>2</v>
      </c>
      <c r="K91">
        <f>Table1[[#This Row],[Salary]]+(Table1[[#This Row],[Salary]]*(Table1[[#This Row],[Bonus %]]/100))</f>
        <v>120048</v>
      </c>
      <c r="L91" t="str">
        <f t="shared" si="1"/>
        <v>Fail</v>
      </c>
    </row>
    <row r="92" spans="1:12" x14ac:dyDescent="0.45">
      <c r="A92" t="s">
        <v>210</v>
      </c>
      <c r="B92" t="s">
        <v>211</v>
      </c>
      <c r="C92" t="s">
        <v>34</v>
      </c>
      <c r="D92" t="s">
        <v>45</v>
      </c>
      <c r="E92" s="23">
        <v>44178</v>
      </c>
      <c r="F92">
        <v>135372</v>
      </c>
      <c r="G92">
        <v>5</v>
      </c>
      <c r="H92" t="s">
        <v>35</v>
      </c>
      <c r="I92" t="s">
        <v>31</v>
      </c>
      <c r="J92">
        <v>22</v>
      </c>
      <c r="K92">
        <f>Table1[[#This Row],[Salary]]+(Table1[[#This Row],[Salary]]*(Table1[[#This Row],[Bonus %]]/100))</f>
        <v>142140.6</v>
      </c>
      <c r="L92" t="str">
        <f t="shared" si="1"/>
        <v>Fail</v>
      </c>
    </row>
    <row r="93" spans="1:12" x14ac:dyDescent="0.45">
      <c r="A93" t="s">
        <v>212</v>
      </c>
      <c r="B93" t="s">
        <v>213</v>
      </c>
      <c r="C93" t="s">
        <v>15</v>
      </c>
      <c r="D93" t="s">
        <v>21</v>
      </c>
      <c r="E93" s="23">
        <v>44179</v>
      </c>
      <c r="F93">
        <v>142661</v>
      </c>
      <c r="G93">
        <v>5</v>
      </c>
      <c r="H93" t="s">
        <v>17</v>
      </c>
      <c r="I93" t="s">
        <v>18</v>
      </c>
      <c r="J93">
        <v>17</v>
      </c>
      <c r="K93">
        <f>Table1[[#This Row],[Salary]]+(Table1[[#This Row],[Salary]]*(Table1[[#This Row],[Bonus %]]/100))</f>
        <v>149794.04999999999</v>
      </c>
      <c r="L93" t="str">
        <f t="shared" si="1"/>
        <v>Pass</v>
      </c>
    </row>
    <row r="94" spans="1:12" x14ac:dyDescent="0.45">
      <c r="A94" t="s">
        <v>214</v>
      </c>
      <c r="B94" t="s">
        <v>215</v>
      </c>
      <c r="C94" t="s">
        <v>59</v>
      </c>
      <c r="D94" t="s">
        <v>38</v>
      </c>
      <c r="E94" s="23">
        <v>44180</v>
      </c>
      <c r="F94">
        <v>92119</v>
      </c>
      <c r="G94">
        <v>5</v>
      </c>
      <c r="H94" t="s">
        <v>30</v>
      </c>
      <c r="I94" t="s">
        <v>22</v>
      </c>
      <c r="J94">
        <v>15</v>
      </c>
      <c r="K94">
        <f>Table1[[#This Row],[Salary]]+(Table1[[#This Row],[Salary]]*(Table1[[#This Row],[Bonus %]]/100))</f>
        <v>96724.95</v>
      </c>
      <c r="L94" t="str">
        <f t="shared" si="1"/>
        <v>Pass</v>
      </c>
    </row>
    <row r="95" spans="1:12" x14ac:dyDescent="0.45">
      <c r="A95" t="s">
        <v>216</v>
      </c>
      <c r="B95" t="s">
        <v>217</v>
      </c>
      <c r="C95" t="s">
        <v>15</v>
      </c>
      <c r="D95" t="s">
        <v>38</v>
      </c>
      <c r="E95" s="23">
        <v>44181</v>
      </c>
      <c r="F95">
        <v>56824</v>
      </c>
      <c r="G95">
        <v>20</v>
      </c>
      <c r="H95" t="s">
        <v>17</v>
      </c>
      <c r="I95" t="s">
        <v>27</v>
      </c>
      <c r="J95">
        <v>20</v>
      </c>
      <c r="K95">
        <f>Table1[[#This Row],[Salary]]+(Table1[[#This Row],[Salary]]*(Table1[[#This Row],[Bonus %]]/100))</f>
        <v>68188.800000000003</v>
      </c>
      <c r="L95" t="str">
        <f t="shared" si="1"/>
        <v>Pass</v>
      </c>
    </row>
    <row r="96" spans="1:12" x14ac:dyDescent="0.45">
      <c r="A96" t="s">
        <v>218</v>
      </c>
      <c r="B96" t="s">
        <v>219</v>
      </c>
      <c r="C96" t="s">
        <v>52</v>
      </c>
      <c r="D96" t="s">
        <v>45</v>
      </c>
      <c r="E96" s="23">
        <v>44182</v>
      </c>
      <c r="F96">
        <v>89272</v>
      </c>
      <c r="G96">
        <v>15</v>
      </c>
      <c r="H96" t="s">
        <v>17</v>
      </c>
      <c r="I96" t="s">
        <v>31</v>
      </c>
      <c r="J96">
        <v>21</v>
      </c>
      <c r="K96">
        <f>Table1[[#This Row],[Salary]]+(Table1[[#This Row],[Salary]]*(Table1[[#This Row],[Bonus %]]/100))</f>
        <v>102662.8</v>
      </c>
      <c r="L96" t="str">
        <f t="shared" si="1"/>
        <v>Pass</v>
      </c>
    </row>
    <row r="97" spans="1:12" x14ac:dyDescent="0.45">
      <c r="A97" t="s">
        <v>220</v>
      </c>
      <c r="B97" t="s">
        <v>221</v>
      </c>
      <c r="C97" t="s">
        <v>25</v>
      </c>
      <c r="D97" t="s">
        <v>38</v>
      </c>
      <c r="E97" s="23">
        <v>44183</v>
      </c>
      <c r="F97">
        <v>89481</v>
      </c>
      <c r="G97">
        <v>20</v>
      </c>
      <c r="H97" t="s">
        <v>30</v>
      </c>
      <c r="I97" t="s">
        <v>31</v>
      </c>
      <c r="J97">
        <v>17</v>
      </c>
      <c r="K97">
        <f>Table1[[#This Row],[Salary]]+(Table1[[#This Row],[Salary]]*(Table1[[#This Row],[Bonus %]]/100))</f>
        <v>107377.2</v>
      </c>
      <c r="L97" t="str">
        <f t="shared" si="1"/>
        <v>Pass</v>
      </c>
    </row>
    <row r="98" spans="1:12" x14ac:dyDescent="0.45">
      <c r="A98" t="s">
        <v>222</v>
      </c>
      <c r="B98" t="s">
        <v>223</v>
      </c>
      <c r="C98" t="s">
        <v>15</v>
      </c>
      <c r="D98" t="s">
        <v>26</v>
      </c>
      <c r="E98" s="23">
        <v>44184</v>
      </c>
      <c r="F98">
        <v>103167</v>
      </c>
      <c r="G98">
        <v>5</v>
      </c>
      <c r="H98" t="s">
        <v>30</v>
      </c>
      <c r="I98" t="s">
        <v>27</v>
      </c>
      <c r="J98">
        <v>23</v>
      </c>
      <c r="K98">
        <f>Table1[[#This Row],[Salary]]+(Table1[[#This Row],[Salary]]*(Table1[[#This Row],[Bonus %]]/100))</f>
        <v>108325.35</v>
      </c>
      <c r="L98" t="str">
        <f t="shared" si="1"/>
        <v>Pass</v>
      </c>
    </row>
    <row r="99" spans="1:12" x14ac:dyDescent="0.45">
      <c r="A99" t="s">
        <v>224</v>
      </c>
      <c r="B99" t="s">
        <v>225</v>
      </c>
      <c r="C99" t="s">
        <v>59</v>
      </c>
      <c r="D99" t="s">
        <v>26</v>
      </c>
      <c r="E99" s="23">
        <v>44185</v>
      </c>
      <c r="F99">
        <v>66650</v>
      </c>
      <c r="G99">
        <v>15</v>
      </c>
      <c r="H99" t="s">
        <v>35</v>
      </c>
      <c r="I99" t="s">
        <v>22</v>
      </c>
      <c r="J99">
        <v>7</v>
      </c>
      <c r="K99">
        <f>Table1[[#This Row],[Salary]]+(Table1[[#This Row],[Salary]]*(Table1[[#This Row],[Bonus %]]/100))</f>
        <v>76647.5</v>
      </c>
      <c r="L99" t="str">
        <f t="shared" si="1"/>
        <v>Fail</v>
      </c>
    </row>
    <row r="100" spans="1:12" x14ac:dyDescent="0.45">
      <c r="A100" t="s">
        <v>226</v>
      </c>
      <c r="B100" t="s">
        <v>227</v>
      </c>
      <c r="C100" t="s">
        <v>15</v>
      </c>
      <c r="D100" t="s">
        <v>38</v>
      </c>
      <c r="E100" s="23">
        <v>44186</v>
      </c>
      <c r="F100">
        <v>130895</v>
      </c>
      <c r="G100">
        <v>5</v>
      </c>
      <c r="H100" t="s">
        <v>35</v>
      </c>
      <c r="I100" t="s">
        <v>27</v>
      </c>
      <c r="J100">
        <v>4</v>
      </c>
      <c r="K100">
        <f>Table1[[#This Row],[Salary]]+(Table1[[#This Row],[Salary]]*(Table1[[#This Row],[Bonus %]]/100))</f>
        <v>137439.75</v>
      </c>
      <c r="L100" t="str">
        <f t="shared" si="1"/>
        <v>Fail</v>
      </c>
    </row>
    <row r="101" spans="1:12" x14ac:dyDescent="0.45">
      <c r="A101" t="s">
        <v>228</v>
      </c>
      <c r="B101" t="s">
        <v>229</v>
      </c>
      <c r="C101" t="s">
        <v>15</v>
      </c>
      <c r="D101" t="s">
        <v>16</v>
      </c>
      <c r="E101" s="23">
        <v>44187</v>
      </c>
      <c r="F101">
        <v>116498</v>
      </c>
      <c r="G101">
        <v>5</v>
      </c>
      <c r="H101" t="s">
        <v>30</v>
      </c>
      <c r="I101" t="s">
        <v>27</v>
      </c>
      <c r="J101">
        <v>13</v>
      </c>
      <c r="K101">
        <f>Table1[[#This Row],[Salary]]+(Table1[[#This Row],[Salary]]*(Table1[[#This Row],[Bonus %]]/100))</f>
        <v>122322.9</v>
      </c>
      <c r="L101" t="str">
        <f t="shared" si="1"/>
        <v>Pass</v>
      </c>
    </row>
    <row r="102" spans="1:12" x14ac:dyDescent="0.45">
      <c r="A102" t="s">
        <v>230</v>
      </c>
      <c r="B102" t="s">
        <v>231</v>
      </c>
      <c r="C102" t="s">
        <v>59</v>
      </c>
      <c r="D102" t="s">
        <v>26</v>
      </c>
      <c r="E102" s="23">
        <v>44188</v>
      </c>
      <c r="F102">
        <v>149650</v>
      </c>
      <c r="G102">
        <v>20</v>
      </c>
      <c r="H102" t="s">
        <v>30</v>
      </c>
      <c r="I102" t="s">
        <v>18</v>
      </c>
      <c r="J102">
        <v>9</v>
      </c>
      <c r="K102">
        <f>Table1[[#This Row],[Salary]]+(Table1[[#This Row],[Salary]]*(Table1[[#This Row],[Bonus %]]/100))</f>
        <v>179580</v>
      </c>
      <c r="L102" t="str">
        <f t="shared" si="1"/>
        <v>Pass</v>
      </c>
    </row>
    <row r="103" spans="1:12" x14ac:dyDescent="0.45">
      <c r="A103" t="s">
        <v>232</v>
      </c>
      <c r="B103" t="s">
        <v>233</v>
      </c>
      <c r="C103" t="s">
        <v>59</v>
      </c>
      <c r="D103" t="s">
        <v>38</v>
      </c>
      <c r="E103" s="23">
        <v>44189</v>
      </c>
      <c r="F103">
        <v>88755</v>
      </c>
      <c r="G103">
        <v>15</v>
      </c>
      <c r="H103" t="s">
        <v>30</v>
      </c>
      <c r="I103" t="s">
        <v>18</v>
      </c>
      <c r="J103">
        <v>20</v>
      </c>
      <c r="K103">
        <f>Table1[[#This Row],[Salary]]+(Table1[[#This Row],[Salary]]*(Table1[[#This Row],[Bonus %]]/100))</f>
        <v>102068.25</v>
      </c>
      <c r="L103" t="str">
        <f t="shared" si="1"/>
        <v>Pass</v>
      </c>
    </row>
    <row r="104" spans="1:12" x14ac:dyDescent="0.45">
      <c r="A104" t="s">
        <v>234</v>
      </c>
      <c r="B104" t="s">
        <v>235</v>
      </c>
      <c r="C104" t="s">
        <v>25</v>
      </c>
      <c r="D104" t="s">
        <v>26</v>
      </c>
      <c r="E104" s="23">
        <v>44190</v>
      </c>
      <c r="F104">
        <v>106621</v>
      </c>
      <c r="G104">
        <v>10</v>
      </c>
      <c r="H104" t="s">
        <v>30</v>
      </c>
      <c r="I104" t="s">
        <v>31</v>
      </c>
      <c r="J104">
        <v>30</v>
      </c>
      <c r="K104">
        <f>Table1[[#This Row],[Salary]]+(Table1[[#This Row],[Salary]]*(Table1[[#This Row],[Bonus %]]/100))</f>
        <v>117283.1</v>
      </c>
      <c r="L104" t="str">
        <f t="shared" si="1"/>
        <v>Pass</v>
      </c>
    </row>
    <row r="105" spans="1:12" x14ac:dyDescent="0.45">
      <c r="A105" t="s">
        <v>236</v>
      </c>
      <c r="B105" t="s">
        <v>237</v>
      </c>
      <c r="C105" t="s">
        <v>59</v>
      </c>
      <c r="D105" t="s">
        <v>21</v>
      </c>
      <c r="E105" s="23">
        <v>44191</v>
      </c>
      <c r="F105">
        <v>147598</v>
      </c>
      <c r="G105">
        <v>15</v>
      </c>
      <c r="H105" t="s">
        <v>17</v>
      </c>
      <c r="I105" t="s">
        <v>18</v>
      </c>
      <c r="J105">
        <v>4</v>
      </c>
      <c r="K105">
        <f>Table1[[#This Row],[Salary]]+(Table1[[#This Row],[Salary]]*(Table1[[#This Row],[Bonus %]]/100))</f>
        <v>169737.7</v>
      </c>
      <c r="L105" t="str">
        <f t="shared" si="1"/>
        <v>Pass</v>
      </c>
    </row>
    <row r="106" spans="1:12" x14ac:dyDescent="0.45">
      <c r="A106" t="s">
        <v>238</v>
      </c>
      <c r="B106" t="s">
        <v>239</v>
      </c>
      <c r="C106" t="s">
        <v>25</v>
      </c>
      <c r="D106" t="s">
        <v>38</v>
      </c>
      <c r="E106" s="23">
        <v>44192</v>
      </c>
      <c r="F106">
        <v>122185</v>
      </c>
      <c r="G106">
        <v>5</v>
      </c>
      <c r="H106" t="s">
        <v>17</v>
      </c>
      <c r="I106" t="s">
        <v>31</v>
      </c>
      <c r="J106">
        <v>15</v>
      </c>
      <c r="K106">
        <f>Table1[[#This Row],[Salary]]+(Table1[[#This Row],[Salary]]*(Table1[[#This Row],[Bonus %]]/100))</f>
        <v>128294.25</v>
      </c>
      <c r="L106" t="str">
        <f t="shared" si="1"/>
        <v>Pass</v>
      </c>
    </row>
    <row r="107" spans="1:12" x14ac:dyDescent="0.45">
      <c r="A107" t="s">
        <v>240</v>
      </c>
      <c r="B107" t="s">
        <v>241</v>
      </c>
      <c r="C107" t="s">
        <v>25</v>
      </c>
      <c r="D107" t="s">
        <v>21</v>
      </c>
      <c r="E107" s="23">
        <v>44193</v>
      </c>
      <c r="F107">
        <v>84761</v>
      </c>
      <c r="G107">
        <v>5</v>
      </c>
      <c r="H107" t="s">
        <v>35</v>
      </c>
      <c r="I107" t="s">
        <v>27</v>
      </c>
      <c r="J107">
        <v>16</v>
      </c>
      <c r="K107">
        <f>Table1[[#This Row],[Salary]]+(Table1[[#This Row],[Salary]]*(Table1[[#This Row],[Bonus %]]/100))</f>
        <v>88999.05</v>
      </c>
      <c r="L107" t="str">
        <f t="shared" si="1"/>
        <v>Fail</v>
      </c>
    </row>
    <row r="108" spans="1:12" x14ac:dyDescent="0.45">
      <c r="A108" t="s">
        <v>242</v>
      </c>
      <c r="B108" t="s">
        <v>243</v>
      </c>
      <c r="C108" t="s">
        <v>34</v>
      </c>
      <c r="D108" t="s">
        <v>38</v>
      </c>
      <c r="E108" s="23">
        <v>44194</v>
      </c>
      <c r="F108">
        <v>116257</v>
      </c>
      <c r="G108">
        <v>20</v>
      </c>
      <c r="H108" t="s">
        <v>30</v>
      </c>
      <c r="I108" t="s">
        <v>31</v>
      </c>
      <c r="J108">
        <v>6</v>
      </c>
      <c r="K108">
        <f>Table1[[#This Row],[Salary]]+(Table1[[#This Row],[Salary]]*(Table1[[#This Row],[Bonus %]]/100))</f>
        <v>139508.4</v>
      </c>
      <c r="L108" t="str">
        <f t="shared" si="1"/>
        <v>Pass</v>
      </c>
    </row>
    <row r="109" spans="1:12" x14ac:dyDescent="0.45">
      <c r="A109" t="s">
        <v>244</v>
      </c>
      <c r="B109" t="s">
        <v>245</v>
      </c>
      <c r="C109" t="s">
        <v>59</v>
      </c>
      <c r="D109" t="s">
        <v>26</v>
      </c>
      <c r="E109" s="23">
        <v>44195</v>
      </c>
      <c r="F109">
        <v>109273</v>
      </c>
      <c r="G109">
        <v>5</v>
      </c>
      <c r="H109" t="s">
        <v>30</v>
      </c>
      <c r="I109" t="s">
        <v>22</v>
      </c>
      <c r="J109">
        <v>11</v>
      </c>
      <c r="K109">
        <f>Table1[[#This Row],[Salary]]+(Table1[[#This Row],[Salary]]*(Table1[[#This Row],[Bonus %]]/100))</f>
        <v>114736.65</v>
      </c>
      <c r="L109" t="str">
        <f t="shared" si="1"/>
        <v>Pass</v>
      </c>
    </row>
    <row r="110" spans="1:12" x14ac:dyDescent="0.45">
      <c r="A110" t="s">
        <v>246</v>
      </c>
      <c r="B110" t="s">
        <v>247</v>
      </c>
      <c r="C110" t="s">
        <v>52</v>
      </c>
      <c r="D110" t="s">
        <v>21</v>
      </c>
      <c r="E110" s="23">
        <v>44196</v>
      </c>
      <c r="F110">
        <v>57259</v>
      </c>
      <c r="G110">
        <v>10</v>
      </c>
      <c r="H110" t="s">
        <v>30</v>
      </c>
      <c r="I110" t="s">
        <v>27</v>
      </c>
      <c r="J110">
        <v>15</v>
      </c>
      <c r="K110">
        <f>Table1[[#This Row],[Salary]]+(Table1[[#This Row],[Salary]]*(Table1[[#This Row],[Bonus %]]/100))</f>
        <v>62984.9</v>
      </c>
      <c r="L110" t="str">
        <f t="shared" si="1"/>
        <v>Pass</v>
      </c>
    </row>
    <row r="111" spans="1:12" x14ac:dyDescent="0.45">
      <c r="A111" t="s">
        <v>248</v>
      </c>
      <c r="B111" t="s">
        <v>249</v>
      </c>
      <c r="C111" t="s">
        <v>59</v>
      </c>
      <c r="D111" t="s">
        <v>21</v>
      </c>
      <c r="E111" s="23">
        <v>44197</v>
      </c>
      <c r="F111">
        <v>101486</v>
      </c>
      <c r="G111">
        <v>15</v>
      </c>
      <c r="H111" t="s">
        <v>35</v>
      </c>
      <c r="I111" t="s">
        <v>18</v>
      </c>
      <c r="J111">
        <v>19</v>
      </c>
      <c r="K111">
        <f>Table1[[#This Row],[Salary]]+(Table1[[#This Row],[Salary]]*(Table1[[#This Row],[Bonus %]]/100))</f>
        <v>116708.9</v>
      </c>
      <c r="L111" t="str">
        <f t="shared" si="1"/>
        <v>Fail</v>
      </c>
    </row>
    <row r="112" spans="1:12" x14ac:dyDescent="0.45">
      <c r="A112" t="s">
        <v>250</v>
      </c>
      <c r="B112" t="s">
        <v>251</v>
      </c>
      <c r="C112" t="s">
        <v>59</v>
      </c>
      <c r="D112" t="s">
        <v>26</v>
      </c>
      <c r="E112" s="23">
        <v>44198</v>
      </c>
      <c r="F112">
        <v>128401</v>
      </c>
      <c r="G112">
        <v>10</v>
      </c>
      <c r="H112" t="s">
        <v>17</v>
      </c>
      <c r="I112" t="s">
        <v>31</v>
      </c>
      <c r="J112">
        <v>15</v>
      </c>
      <c r="K112">
        <f>Table1[[#This Row],[Salary]]+(Table1[[#This Row],[Salary]]*(Table1[[#This Row],[Bonus %]]/100))</f>
        <v>141241.1</v>
      </c>
      <c r="L112" t="str">
        <f t="shared" si="1"/>
        <v>Pass</v>
      </c>
    </row>
    <row r="113" spans="1:12" x14ac:dyDescent="0.45">
      <c r="A113" t="s">
        <v>252</v>
      </c>
      <c r="B113" t="s">
        <v>253</v>
      </c>
      <c r="C113" t="s">
        <v>59</v>
      </c>
      <c r="D113" t="s">
        <v>26</v>
      </c>
      <c r="E113" s="23">
        <v>44199</v>
      </c>
      <c r="F113">
        <v>98299</v>
      </c>
      <c r="G113">
        <v>5</v>
      </c>
      <c r="H113" t="s">
        <v>35</v>
      </c>
      <c r="I113" t="s">
        <v>18</v>
      </c>
      <c r="J113">
        <v>2</v>
      </c>
      <c r="K113">
        <f>Table1[[#This Row],[Salary]]+(Table1[[#This Row],[Salary]]*(Table1[[#This Row],[Bonus %]]/100))</f>
        <v>103213.95</v>
      </c>
      <c r="L113" t="str">
        <f t="shared" si="1"/>
        <v>Fail</v>
      </c>
    </row>
    <row r="114" spans="1:12" x14ac:dyDescent="0.45">
      <c r="A114" t="s">
        <v>254</v>
      </c>
      <c r="B114" t="s">
        <v>255</v>
      </c>
      <c r="C114" t="s">
        <v>34</v>
      </c>
      <c r="D114" t="s">
        <v>26</v>
      </c>
      <c r="E114" s="23">
        <v>44200</v>
      </c>
      <c r="F114">
        <v>72896</v>
      </c>
      <c r="G114">
        <v>5</v>
      </c>
      <c r="H114" t="s">
        <v>17</v>
      </c>
      <c r="I114" t="s">
        <v>22</v>
      </c>
      <c r="J114">
        <v>15</v>
      </c>
      <c r="K114">
        <f>Table1[[#This Row],[Salary]]+(Table1[[#This Row],[Salary]]*(Table1[[#This Row],[Bonus %]]/100))</f>
        <v>76540.800000000003</v>
      </c>
      <c r="L114" t="str">
        <f t="shared" si="1"/>
        <v>Pass</v>
      </c>
    </row>
    <row r="115" spans="1:12" x14ac:dyDescent="0.45">
      <c r="A115" t="s">
        <v>256</v>
      </c>
      <c r="B115" t="s">
        <v>257</v>
      </c>
      <c r="C115" t="s">
        <v>34</v>
      </c>
      <c r="D115" t="s">
        <v>26</v>
      </c>
      <c r="E115" s="23">
        <v>44201</v>
      </c>
      <c r="F115">
        <v>33670</v>
      </c>
      <c r="G115">
        <v>10</v>
      </c>
      <c r="H115" t="s">
        <v>30</v>
      </c>
      <c r="I115" t="s">
        <v>22</v>
      </c>
      <c r="J115">
        <v>6</v>
      </c>
      <c r="K115">
        <f>Table1[[#This Row],[Salary]]+(Table1[[#This Row],[Salary]]*(Table1[[#This Row],[Bonus %]]/100))</f>
        <v>37037</v>
      </c>
      <c r="L115" t="str">
        <f t="shared" si="1"/>
        <v>Pass</v>
      </c>
    </row>
    <row r="116" spans="1:12" x14ac:dyDescent="0.45">
      <c r="A116" t="s">
        <v>258</v>
      </c>
      <c r="B116" t="s">
        <v>259</v>
      </c>
      <c r="C116" t="s">
        <v>52</v>
      </c>
      <c r="D116" t="s">
        <v>26</v>
      </c>
      <c r="E116" s="23">
        <v>44202</v>
      </c>
      <c r="F116">
        <v>52801</v>
      </c>
      <c r="G116">
        <v>15</v>
      </c>
      <c r="H116" t="s">
        <v>17</v>
      </c>
      <c r="I116" t="s">
        <v>18</v>
      </c>
      <c r="J116">
        <v>3</v>
      </c>
      <c r="K116">
        <f>Table1[[#This Row],[Salary]]+(Table1[[#This Row],[Salary]]*(Table1[[#This Row],[Bonus %]]/100))</f>
        <v>60721.15</v>
      </c>
      <c r="L116" t="str">
        <f t="shared" si="1"/>
        <v>Pass</v>
      </c>
    </row>
    <row r="117" spans="1:12" x14ac:dyDescent="0.45">
      <c r="A117" t="s">
        <v>260</v>
      </c>
      <c r="B117" t="s">
        <v>261</v>
      </c>
      <c r="C117" t="s">
        <v>59</v>
      </c>
      <c r="D117" t="s">
        <v>45</v>
      </c>
      <c r="E117" s="23">
        <v>44203</v>
      </c>
      <c r="F117">
        <v>112065</v>
      </c>
      <c r="G117">
        <v>10</v>
      </c>
      <c r="H117" t="s">
        <v>35</v>
      </c>
      <c r="I117" t="s">
        <v>22</v>
      </c>
      <c r="J117">
        <v>6</v>
      </c>
      <c r="K117">
        <f>Table1[[#This Row],[Salary]]+(Table1[[#This Row],[Salary]]*(Table1[[#This Row],[Bonus %]]/100))</f>
        <v>123271.5</v>
      </c>
      <c r="L117" t="str">
        <f t="shared" si="1"/>
        <v>Fail</v>
      </c>
    </row>
    <row r="118" spans="1:12" x14ac:dyDescent="0.45">
      <c r="A118" t="s">
        <v>262</v>
      </c>
      <c r="B118" t="s">
        <v>263</v>
      </c>
      <c r="C118" t="s">
        <v>52</v>
      </c>
      <c r="D118" t="s">
        <v>26</v>
      </c>
      <c r="E118" s="23">
        <v>44204</v>
      </c>
      <c r="F118">
        <v>106354</v>
      </c>
      <c r="G118">
        <v>10</v>
      </c>
      <c r="H118" t="s">
        <v>35</v>
      </c>
      <c r="I118" t="s">
        <v>18</v>
      </c>
      <c r="J118">
        <v>17</v>
      </c>
      <c r="K118">
        <f>Table1[[#This Row],[Salary]]+(Table1[[#This Row],[Salary]]*(Table1[[#This Row],[Bonus %]]/100))</f>
        <v>116989.4</v>
      </c>
      <c r="L118" t="str">
        <f t="shared" si="1"/>
        <v>Fail</v>
      </c>
    </row>
    <row r="119" spans="1:12" x14ac:dyDescent="0.45">
      <c r="A119" t="s">
        <v>264</v>
      </c>
      <c r="B119" t="s">
        <v>265</v>
      </c>
      <c r="C119" t="s">
        <v>59</v>
      </c>
      <c r="D119" t="s">
        <v>45</v>
      </c>
      <c r="E119" s="23">
        <v>44205</v>
      </c>
      <c r="F119">
        <v>59486</v>
      </c>
      <c r="G119">
        <v>10</v>
      </c>
      <c r="H119" t="s">
        <v>35</v>
      </c>
      <c r="I119" t="s">
        <v>22</v>
      </c>
      <c r="J119">
        <v>6</v>
      </c>
      <c r="K119">
        <f>Table1[[#This Row],[Salary]]+(Table1[[#This Row],[Salary]]*(Table1[[#This Row],[Bonus %]]/100))</f>
        <v>65434.6</v>
      </c>
      <c r="L119" t="str">
        <f t="shared" si="1"/>
        <v>Fail</v>
      </c>
    </row>
    <row r="120" spans="1:12" x14ac:dyDescent="0.45">
      <c r="A120" t="s">
        <v>266</v>
      </c>
      <c r="B120" t="s">
        <v>267</v>
      </c>
      <c r="C120" t="s">
        <v>59</v>
      </c>
      <c r="D120" t="s">
        <v>45</v>
      </c>
      <c r="E120" s="23">
        <v>44206</v>
      </c>
      <c r="F120">
        <v>56196</v>
      </c>
      <c r="G120">
        <v>20</v>
      </c>
      <c r="H120" t="s">
        <v>30</v>
      </c>
      <c r="I120" t="s">
        <v>31</v>
      </c>
      <c r="J120">
        <v>21</v>
      </c>
      <c r="K120">
        <f>Table1[[#This Row],[Salary]]+(Table1[[#This Row],[Salary]]*(Table1[[#This Row],[Bonus %]]/100))</f>
        <v>67435.199999999997</v>
      </c>
      <c r="L120" t="str">
        <f t="shared" si="1"/>
        <v>Pass</v>
      </c>
    </row>
    <row r="121" spans="1:12" x14ac:dyDescent="0.45">
      <c r="A121" t="s">
        <v>268</v>
      </c>
      <c r="B121" t="s">
        <v>269</v>
      </c>
      <c r="C121" t="s">
        <v>52</v>
      </c>
      <c r="D121" t="s">
        <v>21</v>
      </c>
      <c r="E121" s="23">
        <v>44207</v>
      </c>
      <c r="F121">
        <v>50543</v>
      </c>
      <c r="G121">
        <v>5</v>
      </c>
      <c r="H121" t="s">
        <v>35</v>
      </c>
      <c r="I121" t="s">
        <v>31</v>
      </c>
      <c r="J121">
        <v>17</v>
      </c>
      <c r="K121">
        <f>Table1[[#This Row],[Salary]]+(Table1[[#This Row],[Salary]]*(Table1[[#This Row],[Bonus %]]/100))</f>
        <v>53070.15</v>
      </c>
      <c r="L121" t="str">
        <f t="shared" si="1"/>
        <v>Fail</v>
      </c>
    </row>
    <row r="122" spans="1:12" x14ac:dyDescent="0.45">
      <c r="A122" t="s">
        <v>270</v>
      </c>
      <c r="B122" t="s">
        <v>271</v>
      </c>
      <c r="C122" t="s">
        <v>15</v>
      </c>
      <c r="D122" t="s">
        <v>21</v>
      </c>
      <c r="E122" s="23">
        <v>44208</v>
      </c>
      <c r="F122">
        <v>140889</v>
      </c>
      <c r="G122">
        <v>20</v>
      </c>
      <c r="H122" t="s">
        <v>17</v>
      </c>
      <c r="I122" t="s">
        <v>18</v>
      </c>
      <c r="J122">
        <v>26</v>
      </c>
      <c r="K122">
        <f>Table1[[#This Row],[Salary]]+(Table1[[#This Row],[Salary]]*(Table1[[#This Row],[Bonus %]]/100))</f>
        <v>169066.8</v>
      </c>
      <c r="L122" t="str">
        <f t="shared" si="1"/>
        <v>Pass</v>
      </c>
    </row>
    <row r="123" spans="1:12" x14ac:dyDescent="0.45">
      <c r="A123" t="s">
        <v>272</v>
      </c>
      <c r="B123" t="s">
        <v>273</v>
      </c>
      <c r="C123" t="s">
        <v>59</v>
      </c>
      <c r="D123" t="s">
        <v>26</v>
      </c>
      <c r="E123" s="23">
        <v>44209</v>
      </c>
      <c r="F123">
        <v>132845</v>
      </c>
      <c r="G123">
        <v>20</v>
      </c>
      <c r="H123" t="s">
        <v>35</v>
      </c>
      <c r="I123" t="s">
        <v>31</v>
      </c>
      <c r="J123">
        <v>25</v>
      </c>
      <c r="K123">
        <f>Table1[[#This Row],[Salary]]+(Table1[[#This Row],[Salary]]*(Table1[[#This Row],[Bonus %]]/100))</f>
        <v>159414</v>
      </c>
      <c r="L123" t="str">
        <f t="shared" si="1"/>
        <v>Fail</v>
      </c>
    </row>
    <row r="124" spans="1:12" x14ac:dyDescent="0.45">
      <c r="A124" t="s">
        <v>274</v>
      </c>
      <c r="B124" t="s">
        <v>275</v>
      </c>
      <c r="C124" t="s">
        <v>25</v>
      </c>
      <c r="D124" t="s">
        <v>16</v>
      </c>
      <c r="E124" s="23">
        <v>44210</v>
      </c>
      <c r="F124">
        <v>124172</v>
      </c>
      <c r="G124">
        <v>5</v>
      </c>
      <c r="H124" t="s">
        <v>30</v>
      </c>
      <c r="I124" t="s">
        <v>22</v>
      </c>
      <c r="J124">
        <v>6</v>
      </c>
      <c r="K124">
        <f>Table1[[#This Row],[Salary]]+(Table1[[#This Row],[Salary]]*(Table1[[#This Row],[Bonus %]]/100))</f>
        <v>130380.6</v>
      </c>
      <c r="L124" t="str">
        <f t="shared" si="1"/>
        <v>Pass</v>
      </c>
    </row>
    <row r="125" spans="1:12" x14ac:dyDescent="0.45">
      <c r="A125" t="s">
        <v>276</v>
      </c>
      <c r="B125" t="s">
        <v>277</v>
      </c>
      <c r="C125" t="s">
        <v>34</v>
      </c>
      <c r="D125" t="s">
        <v>26</v>
      </c>
      <c r="E125" s="23">
        <v>44211</v>
      </c>
      <c r="F125">
        <v>112635</v>
      </c>
      <c r="G125">
        <v>20</v>
      </c>
      <c r="H125" t="s">
        <v>17</v>
      </c>
      <c r="I125" t="s">
        <v>22</v>
      </c>
      <c r="J125">
        <v>10</v>
      </c>
      <c r="K125">
        <f>Table1[[#This Row],[Salary]]+(Table1[[#This Row],[Salary]]*(Table1[[#This Row],[Bonus %]]/100))</f>
        <v>135162</v>
      </c>
      <c r="L125" t="str">
        <f t="shared" si="1"/>
        <v>Pass</v>
      </c>
    </row>
    <row r="126" spans="1:12" x14ac:dyDescent="0.45">
      <c r="A126" t="s">
        <v>278</v>
      </c>
      <c r="B126" t="s">
        <v>279</v>
      </c>
      <c r="C126" t="s">
        <v>34</v>
      </c>
      <c r="D126" t="s">
        <v>16</v>
      </c>
      <c r="E126" s="23">
        <v>44212</v>
      </c>
      <c r="F126">
        <v>136898</v>
      </c>
      <c r="G126">
        <v>5</v>
      </c>
      <c r="H126" t="s">
        <v>17</v>
      </c>
      <c r="I126" t="s">
        <v>27</v>
      </c>
      <c r="J126">
        <v>27</v>
      </c>
      <c r="K126">
        <f>Table1[[#This Row],[Salary]]+(Table1[[#This Row],[Salary]]*(Table1[[#This Row],[Bonus %]]/100))</f>
        <v>143742.9</v>
      </c>
      <c r="L126" t="str">
        <f t="shared" si="1"/>
        <v>Pass</v>
      </c>
    </row>
    <row r="127" spans="1:12" x14ac:dyDescent="0.45">
      <c r="A127" t="s">
        <v>280</v>
      </c>
      <c r="B127" t="s">
        <v>281</v>
      </c>
      <c r="C127" t="s">
        <v>34</v>
      </c>
      <c r="D127" t="s">
        <v>26</v>
      </c>
      <c r="E127" s="23">
        <v>44213</v>
      </c>
      <c r="F127">
        <v>48345</v>
      </c>
      <c r="G127">
        <v>5</v>
      </c>
      <c r="H127" t="s">
        <v>35</v>
      </c>
      <c r="I127" t="s">
        <v>18</v>
      </c>
      <c r="J127">
        <v>2</v>
      </c>
      <c r="K127">
        <f>Table1[[#This Row],[Salary]]+(Table1[[#This Row],[Salary]]*(Table1[[#This Row],[Bonus %]]/100))</f>
        <v>50762.25</v>
      </c>
      <c r="L127" t="str">
        <f t="shared" si="1"/>
        <v>Fail</v>
      </c>
    </row>
    <row r="128" spans="1:12" x14ac:dyDescent="0.45">
      <c r="A128" t="s">
        <v>282</v>
      </c>
      <c r="B128" t="s">
        <v>283</v>
      </c>
      <c r="C128" t="s">
        <v>59</v>
      </c>
      <c r="D128" t="s">
        <v>16</v>
      </c>
      <c r="E128" s="23">
        <v>44214</v>
      </c>
      <c r="F128">
        <v>101073</v>
      </c>
      <c r="G128">
        <v>20</v>
      </c>
      <c r="H128" t="s">
        <v>30</v>
      </c>
      <c r="I128" t="s">
        <v>31</v>
      </c>
      <c r="J128">
        <v>14</v>
      </c>
      <c r="K128">
        <f>Table1[[#This Row],[Salary]]+(Table1[[#This Row],[Salary]]*(Table1[[#This Row],[Bonus %]]/100))</f>
        <v>121287.6</v>
      </c>
      <c r="L128" t="str">
        <f t="shared" si="1"/>
        <v>Pass</v>
      </c>
    </row>
    <row r="129" spans="1:12" x14ac:dyDescent="0.45">
      <c r="A129" t="s">
        <v>284</v>
      </c>
      <c r="B129" t="s">
        <v>285</v>
      </c>
      <c r="C129" t="s">
        <v>25</v>
      </c>
      <c r="D129" t="s">
        <v>45</v>
      </c>
      <c r="E129" s="23">
        <v>44215</v>
      </c>
      <c r="F129">
        <v>87753</v>
      </c>
      <c r="G129">
        <v>10</v>
      </c>
      <c r="H129" t="s">
        <v>30</v>
      </c>
      <c r="I129" t="s">
        <v>27</v>
      </c>
      <c r="J129">
        <v>29</v>
      </c>
      <c r="K129">
        <f>Table1[[#This Row],[Salary]]+(Table1[[#This Row],[Salary]]*(Table1[[#This Row],[Bonus %]]/100))</f>
        <v>96528.3</v>
      </c>
      <c r="L129" t="str">
        <f t="shared" si="1"/>
        <v>Pass</v>
      </c>
    </row>
    <row r="130" spans="1:12" x14ac:dyDescent="0.45">
      <c r="A130" t="s">
        <v>286</v>
      </c>
      <c r="B130" t="s">
        <v>287</v>
      </c>
      <c r="C130" t="s">
        <v>52</v>
      </c>
      <c r="D130" t="s">
        <v>21</v>
      </c>
      <c r="E130" s="23">
        <v>44216</v>
      </c>
      <c r="F130">
        <v>129256</v>
      </c>
      <c r="G130">
        <v>20</v>
      </c>
      <c r="H130" t="s">
        <v>30</v>
      </c>
      <c r="I130" t="s">
        <v>22</v>
      </c>
      <c r="J130">
        <v>1</v>
      </c>
      <c r="K130">
        <f>Table1[[#This Row],[Salary]]+(Table1[[#This Row],[Salary]]*(Table1[[#This Row],[Bonus %]]/100))</f>
        <v>155107.20000000001</v>
      </c>
      <c r="L130" t="str">
        <f t="shared" ref="L130:L193" si="2">IF(OR(H130="A",H130="B"),"Pass","Fail")</f>
        <v>Pass</v>
      </c>
    </row>
    <row r="131" spans="1:12" x14ac:dyDescent="0.45">
      <c r="A131" t="s">
        <v>288</v>
      </c>
      <c r="B131" t="s">
        <v>289</v>
      </c>
      <c r="C131" t="s">
        <v>34</v>
      </c>
      <c r="D131" t="s">
        <v>38</v>
      </c>
      <c r="E131" s="23">
        <v>44217</v>
      </c>
      <c r="F131">
        <v>106961</v>
      </c>
      <c r="G131">
        <v>5</v>
      </c>
      <c r="H131" t="s">
        <v>17</v>
      </c>
      <c r="I131" t="s">
        <v>27</v>
      </c>
      <c r="J131">
        <v>3</v>
      </c>
      <c r="K131">
        <f>Table1[[#This Row],[Salary]]+(Table1[[#This Row],[Salary]]*(Table1[[#This Row],[Bonus %]]/100))</f>
        <v>112309.05</v>
      </c>
      <c r="L131" t="str">
        <f t="shared" si="2"/>
        <v>Pass</v>
      </c>
    </row>
    <row r="132" spans="1:12" x14ac:dyDescent="0.45">
      <c r="A132" t="s">
        <v>290</v>
      </c>
      <c r="B132" t="s">
        <v>291</v>
      </c>
      <c r="C132" t="s">
        <v>25</v>
      </c>
      <c r="D132" t="s">
        <v>45</v>
      </c>
      <c r="E132" s="23">
        <v>44218</v>
      </c>
      <c r="F132">
        <v>140787</v>
      </c>
      <c r="G132">
        <v>5</v>
      </c>
      <c r="H132" t="s">
        <v>30</v>
      </c>
      <c r="I132" t="s">
        <v>18</v>
      </c>
      <c r="J132">
        <v>21</v>
      </c>
      <c r="K132">
        <f>Table1[[#This Row],[Salary]]+(Table1[[#This Row],[Salary]]*(Table1[[#This Row],[Bonus %]]/100))</f>
        <v>147826.35</v>
      </c>
      <c r="L132" t="str">
        <f t="shared" si="2"/>
        <v>Pass</v>
      </c>
    </row>
    <row r="133" spans="1:12" x14ac:dyDescent="0.45">
      <c r="A133" t="s">
        <v>292</v>
      </c>
      <c r="B133" t="s">
        <v>293</v>
      </c>
      <c r="C133" t="s">
        <v>15</v>
      </c>
      <c r="D133" t="s">
        <v>38</v>
      </c>
      <c r="E133" s="23">
        <v>44219</v>
      </c>
      <c r="F133">
        <v>59146</v>
      </c>
      <c r="G133">
        <v>15</v>
      </c>
      <c r="H133" t="s">
        <v>30</v>
      </c>
      <c r="I133" t="s">
        <v>18</v>
      </c>
      <c r="J133">
        <v>4</v>
      </c>
      <c r="K133">
        <f>Table1[[#This Row],[Salary]]+(Table1[[#This Row],[Salary]]*(Table1[[#This Row],[Bonus %]]/100))</f>
        <v>68017.899999999994</v>
      </c>
      <c r="L133" t="str">
        <f t="shared" si="2"/>
        <v>Pass</v>
      </c>
    </row>
    <row r="134" spans="1:12" x14ac:dyDescent="0.45">
      <c r="A134" t="s">
        <v>294</v>
      </c>
      <c r="B134" t="s">
        <v>295</v>
      </c>
      <c r="C134" t="s">
        <v>25</v>
      </c>
      <c r="D134" t="s">
        <v>16</v>
      </c>
      <c r="E134" s="23">
        <v>44220</v>
      </c>
      <c r="F134">
        <v>141649</v>
      </c>
      <c r="G134">
        <v>20</v>
      </c>
      <c r="H134" t="s">
        <v>17</v>
      </c>
      <c r="I134" t="s">
        <v>31</v>
      </c>
      <c r="J134">
        <v>22</v>
      </c>
      <c r="K134">
        <f>Table1[[#This Row],[Salary]]+(Table1[[#This Row],[Salary]]*(Table1[[#This Row],[Bonus %]]/100))</f>
        <v>169978.8</v>
      </c>
      <c r="L134" t="str">
        <f t="shared" si="2"/>
        <v>Pass</v>
      </c>
    </row>
    <row r="135" spans="1:12" x14ac:dyDescent="0.45">
      <c r="A135" t="s">
        <v>296</v>
      </c>
      <c r="B135" t="s">
        <v>297</v>
      </c>
      <c r="C135" t="s">
        <v>59</v>
      </c>
      <c r="D135" t="s">
        <v>16</v>
      </c>
      <c r="E135" s="23">
        <v>44221</v>
      </c>
      <c r="F135">
        <v>85999</v>
      </c>
      <c r="G135">
        <v>5</v>
      </c>
      <c r="H135" t="s">
        <v>30</v>
      </c>
      <c r="I135" t="s">
        <v>31</v>
      </c>
      <c r="J135">
        <v>11</v>
      </c>
      <c r="K135">
        <f>Table1[[#This Row],[Salary]]+(Table1[[#This Row],[Salary]]*(Table1[[#This Row],[Bonus %]]/100))</f>
        <v>90298.95</v>
      </c>
      <c r="L135" t="str">
        <f t="shared" si="2"/>
        <v>Pass</v>
      </c>
    </row>
    <row r="136" spans="1:12" x14ac:dyDescent="0.45">
      <c r="A136" t="s">
        <v>298</v>
      </c>
      <c r="B136" t="s">
        <v>299</v>
      </c>
      <c r="C136" t="s">
        <v>34</v>
      </c>
      <c r="D136" t="s">
        <v>45</v>
      </c>
      <c r="E136" s="23">
        <v>44222</v>
      </c>
      <c r="F136">
        <v>147148</v>
      </c>
      <c r="G136">
        <v>5</v>
      </c>
      <c r="H136" t="s">
        <v>30</v>
      </c>
      <c r="I136" t="s">
        <v>31</v>
      </c>
      <c r="J136">
        <v>28</v>
      </c>
      <c r="K136">
        <f>Table1[[#This Row],[Salary]]+(Table1[[#This Row],[Salary]]*(Table1[[#This Row],[Bonus %]]/100))</f>
        <v>154505.4</v>
      </c>
      <c r="L136" t="str">
        <f t="shared" si="2"/>
        <v>Pass</v>
      </c>
    </row>
    <row r="137" spans="1:12" x14ac:dyDescent="0.45">
      <c r="A137" t="s">
        <v>300</v>
      </c>
      <c r="B137" t="s">
        <v>301</v>
      </c>
      <c r="C137" t="s">
        <v>34</v>
      </c>
      <c r="D137" t="s">
        <v>21</v>
      </c>
      <c r="E137" s="23">
        <v>44223</v>
      </c>
      <c r="F137">
        <v>66549</v>
      </c>
      <c r="G137">
        <v>10</v>
      </c>
      <c r="H137" t="s">
        <v>17</v>
      </c>
      <c r="I137" t="s">
        <v>31</v>
      </c>
      <c r="J137">
        <v>1</v>
      </c>
      <c r="K137">
        <f>Table1[[#This Row],[Salary]]+(Table1[[#This Row],[Salary]]*(Table1[[#This Row],[Bonus %]]/100))</f>
        <v>73203.899999999994</v>
      </c>
      <c r="L137" t="str">
        <f t="shared" si="2"/>
        <v>Pass</v>
      </c>
    </row>
    <row r="138" spans="1:12" x14ac:dyDescent="0.45">
      <c r="A138" t="s">
        <v>302</v>
      </c>
      <c r="B138" t="s">
        <v>303</v>
      </c>
      <c r="C138" t="s">
        <v>15</v>
      </c>
      <c r="D138" t="s">
        <v>21</v>
      </c>
      <c r="E138" s="23">
        <v>44224</v>
      </c>
      <c r="F138">
        <v>114122</v>
      </c>
      <c r="G138">
        <v>15</v>
      </c>
      <c r="H138" t="s">
        <v>30</v>
      </c>
      <c r="I138" t="s">
        <v>27</v>
      </c>
      <c r="J138">
        <v>26</v>
      </c>
      <c r="K138">
        <f>Table1[[#This Row],[Salary]]+(Table1[[#This Row],[Salary]]*(Table1[[#This Row],[Bonus %]]/100))</f>
        <v>131240.29999999999</v>
      </c>
      <c r="L138" t="str">
        <f t="shared" si="2"/>
        <v>Pass</v>
      </c>
    </row>
    <row r="139" spans="1:12" x14ac:dyDescent="0.45">
      <c r="A139" t="s">
        <v>304</v>
      </c>
      <c r="B139" t="s">
        <v>305</v>
      </c>
      <c r="C139" t="s">
        <v>59</v>
      </c>
      <c r="D139" t="s">
        <v>26</v>
      </c>
      <c r="E139" s="23">
        <v>44225</v>
      </c>
      <c r="F139">
        <v>121168</v>
      </c>
      <c r="G139">
        <v>20</v>
      </c>
      <c r="H139" t="s">
        <v>30</v>
      </c>
      <c r="I139" t="s">
        <v>27</v>
      </c>
      <c r="J139">
        <v>23</v>
      </c>
      <c r="K139">
        <f>Table1[[#This Row],[Salary]]+(Table1[[#This Row],[Salary]]*(Table1[[#This Row],[Bonus %]]/100))</f>
        <v>145401.60000000001</v>
      </c>
      <c r="L139" t="str">
        <f t="shared" si="2"/>
        <v>Pass</v>
      </c>
    </row>
    <row r="140" spans="1:12" x14ac:dyDescent="0.45">
      <c r="A140" t="s">
        <v>306</v>
      </c>
      <c r="B140" t="s">
        <v>307</v>
      </c>
      <c r="C140" t="s">
        <v>15</v>
      </c>
      <c r="D140" t="s">
        <v>26</v>
      </c>
      <c r="E140" s="23">
        <v>44226</v>
      </c>
      <c r="F140">
        <v>79940</v>
      </c>
      <c r="G140">
        <v>20</v>
      </c>
      <c r="H140" t="s">
        <v>17</v>
      </c>
      <c r="I140" t="s">
        <v>31</v>
      </c>
      <c r="J140">
        <v>3</v>
      </c>
      <c r="K140">
        <f>Table1[[#This Row],[Salary]]+(Table1[[#This Row],[Salary]]*(Table1[[#This Row],[Bonus %]]/100))</f>
        <v>95928</v>
      </c>
      <c r="L140" t="str">
        <f t="shared" si="2"/>
        <v>Pass</v>
      </c>
    </row>
    <row r="141" spans="1:12" x14ac:dyDescent="0.45">
      <c r="A141" t="s">
        <v>308</v>
      </c>
      <c r="B141" t="s">
        <v>309</v>
      </c>
      <c r="C141" t="s">
        <v>59</v>
      </c>
      <c r="D141" t="s">
        <v>26</v>
      </c>
      <c r="E141" s="23">
        <v>44227</v>
      </c>
      <c r="F141">
        <v>118469</v>
      </c>
      <c r="G141">
        <v>5</v>
      </c>
      <c r="H141" t="s">
        <v>17</v>
      </c>
      <c r="I141" t="s">
        <v>27</v>
      </c>
      <c r="J141">
        <v>12</v>
      </c>
      <c r="K141">
        <f>Table1[[#This Row],[Salary]]+(Table1[[#This Row],[Salary]]*(Table1[[#This Row],[Bonus %]]/100))</f>
        <v>124392.45</v>
      </c>
      <c r="L141" t="str">
        <f t="shared" si="2"/>
        <v>Pass</v>
      </c>
    </row>
    <row r="142" spans="1:12" x14ac:dyDescent="0.45">
      <c r="A142" t="s">
        <v>310</v>
      </c>
      <c r="B142" t="s">
        <v>311</v>
      </c>
      <c r="C142" t="s">
        <v>52</v>
      </c>
      <c r="D142" t="s">
        <v>45</v>
      </c>
      <c r="E142" s="23">
        <v>44228</v>
      </c>
      <c r="F142">
        <v>72123</v>
      </c>
      <c r="G142">
        <v>10</v>
      </c>
      <c r="H142" t="s">
        <v>35</v>
      </c>
      <c r="I142" t="s">
        <v>18</v>
      </c>
      <c r="J142">
        <v>7</v>
      </c>
      <c r="K142">
        <f>Table1[[#This Row],[Salary]]+(Table1[[#This Row],[Salary]]*(Table1[[#This Row],[Bonus %]]/100))</f>
        <v>79335.3</v>
      </c>
      <c r="L142" t="str">
        <f t="shared" si="2"/>
        <v>Fail</v>
      </c>
    </row>
    <row r="143" spans="1:12" x14ac:dyDescent="0.45">
      <c r="A143" t="s">
        <v>312</v>
      </c>
      <c r="B143" t="s">
        <v>313</v>
      </c>
      <c r="C143" t="s">
        <v>34</v>
      </c>
      <c r="D143" t="s">
        <v>38</v>
      </c>
      <c r="E143" s="23">
        <v>44229</v>
      </c>
      <c r="F143">
        <v>141537</v>
      </c>
      <c r="G143">
        <v>15</v>
      </c>
      <c r="H143" t="s">
        <v>35</v>
      </c>
      <c r="I143" t="s">
        <v>31</v>
      </c>
      <c r="J143">
        <v>0</v>
      </c>
      <c r="K143">
        <f>Table1[[#This Row],[Salary]]+(Table1[[#This Row],[Salary]]*(Table1[[#This Row],[Bonus %]]/100))</f>
        <v>162767.54999999999</v>
      </c>
      <c r="L143" t="str">
        <f t="shared" si="2"/>
        <v>Fail</v>
      </c>
    </row>
    <row r="144" spans="1:12" x14ac:dyDescent="0.45">
      <c r="A144" t="s">
        <v>314</v>
      </c>
      <c r="B144" t="s">
        <v>315</v>
      </c>
      <c r="C144" t="s">
        <v>25</v>
      </c>
      <c r="D144" t="s">
        <v>21</v>
      </c>
      <c r="E144" s="23">
        <v>44230</v>
      </c>
      <c r="F144">
        <v>139394</v>
      </c>
      <c r="G144">
        <v>15</v>
      </c>
      <c r="H144" t="s">
        <v>35</v>
      </c>
      <c r="I144" t="s">
        <v>27</v>
      </c>
      <c r="J144">
        <v>3</v>
      </c>
      <c r="K144">
        <f>Table1[[#This Row],[Salary]]+(Table1[[#This Row],[Salary]]*(Table1[[#This Row],[Bonus %]]/100))</f>
        <v>160303.1</v>
      </c>
      <c r="L144" t="str">
        <f t="shared" si="2"/>
        <v>Fail</v>
      </c>
    </row>
    <row r="145" spans="1:12" x14ac:dyDescent="0.45">
      <c r="A145" t="s">
        <v>316</v>
      </c>
      <c r="B145" t="s">
        <v>317</v>
      </c>
      <c r="C145" t="s">
        <v>25</v>
      </c>
      <c r="D145" t="s">
        <v>45</v>
      </c>
      <c r="E145" s="23">
        <v>44231</v>
      </c>
      <c r="F145">
        <v>77602</v>
      </c>
      <c r="G145">
        <v>15</v>
      </c>
      <c r="H145" t="s">
        <v>30</v>
      </c>
      <c r="I145" t="s">
        <v>18</v>
      </c>
      <c r="J145">
        <v>3</v>
      </c>
      <c r="K145">
        <f>Table1[[#This Row],[Salary]]+(Table1[[#This Row],[Salary]]*(Table1[[#This Row],[Bonus %]]/100))</f>
        <v>89242.3</v>
      </c>
      <c r="L145" t="str">
        <f t="shared" si="2"/>
        <v>Pass</v>
      </c>
    </row>
    <row r="146" spans="1:12" x14ac:dyDescent="0.45">
      <c r="A146" t="s">
        <v>318</v>
      </c>
      <c r="B146" t="s">
        <v>319</v>
      </c>
      <c r="C146" t="s">
        <v>59</v>
      </c>
      <c r="D146" t="s">
        <v>45</v>
      </c>
      <c r="E146" s="23">
        <v>44232</v>
      </c>
      <c r="F146">
        <v>147524</v>
      </c>
      <c r="G146">
        <v>15</v>
      </c>
      <c r="H146" t="s">
        <v>35</v>
      </c>
      <c r="I146" t="s">
        <v>31</v>
      </c>
      <c r="J146">
        <v>27</v>
      </c>
      <c r="K146">
        <f>Table1[[#This Row],[Salary]]+(Table1[[#This Row],[Salary]]*(Table1[[#This Row],[Bonus %]]/100))</f>
        <v>169652.6</v>
      </c>
      <c r="L146" t="str">
        <f t="shared" si="2"/>
        <v>Fail</v>
      </c>
    </row>
    <row r="147" spans="1:12" x14ac:dyDescent="0.45">
      <c r="A147" t="s">
        <v>320</v>
      </c>
      <c r="B147" t="s">
        <v>321</v>
      </c>
      <c r="C147" t="s">
        <v>34</v>
      </c>
      <c r="D147" t="s">
        <v>26</v>
      </c>
      <c r="E147" s="23">
        <v>44233</v>
      </c>
      <c r="F147">
        <v>98320</v>
      </c>
      <c r="G147">
        <v>5</v>
      </c>
      <c r="H147" t="s">
        <v>30</v>
      </c>
      <c r="I147" t="s">
        <v>22</v>
      </c>
      <c r="J147">
        <v>23</v>
      </c>
      <c r="K147">
        <f>Table1[[#This Row],[Salary]]+(Table1[[#This Row],[Salary]]*(Table1[[#This Row],[Bonus %]]/100))</f>
        <v>103236</v>
      </c>
      <c r="L147" t="str">
        <f t="shared" si="2"/>
        <v>Pass</v>
      </c>
    </row>
    <row r="148" spans="1:12" x14ac:dyDescent="0.45">
      <c r="A148" t="s">
        <v>322</v>
      </c>
      <c r="B148" t="s">
        <v>323</v>
      </c>
      <c r="C148" t="s">
        <v>25</v>
      </c>
      <c r="D148" t="s">
        <v>45</v>
      </c>
      <c r="E148" s="23">
        <v>44234</v>
      </c>
      <c r="F148">
        <v>134661</v>
      </c>
      <c r="G148">
        <v>15</v>
      </c>
      <c r="H148" t="s">
        <v>30</v>
      </c>
      <c r="I148" t="s">
        <v>22</v>
      </c>
      <c r="J148">
        <v>12</v>
      </c>
      <c r="K148">
        <f>Table1[[#This Row],[Salary]]+(Table1[[#This Row],[Salary]]*(Table1[[#This Row],[Bonus %]]/100))</f>
        <v>154860.15</v>
      </c>
      <c r="L148" t="str">
        <f t="shared" si="2"/>
        <v>Pass</v>
      </c>
    </row>
    <row r="149" spans="1:12" x14ac:dyDescent="0.45">
      <c r="A149" t="s">
        <v>324</v>
      </c>
      <c r="B149" t="s">
        <v>325</v>
      </c>
      <c r="C149" t="s">
        <v>34</v>
      </c>
      <c r="D149" t="s">
        <v>21</v>
      </c>
      <c r="E149" s="23">
        <v>44235</v>
      </c>
      <c r="F149">
        <v>30243</v>
      </c>
      <c r="G149">
        <v>15</v>
      </c>
      <c r="H149" t="s">
        <v>17</v>
      </c>
      <c r="I149" t="s">
        <v>22</v>
      </c>
      <c r="J149">
        <v>28</v>
      </c>
      <c r="K149">
        <f>Table1[[#This Row],[Salary]]+(Table1[[#This Row],[Salary]]*(Table1[[#This Row],[Bonus %]]/100))</f>
        <v>34779.449999999997</v>
      </c>
      <c r="L149" t="str">
        <f t="shared" si="2"/>
        <v>Pass</v>
      </c>
    </row>
    <row r="150" spans="1:12" x14ac:dyDescent="0.45">
      <c r="A150" t="s">
        <v>326</v>
      </c>
      <c r="B150" t="s">
        <v>327</v>
      </c>
      <c r="C150" t="s">
        <v>15</v>
      </c>
      <c r="D150" t="s">
        <v>26</v>
      </c>
      <c r="E150" s="23">
        <v>44236</v>
      </c>
      <c r="F150">
        <v>135830</v>
      </c>
      <c r="G150">
        <v>20</v>
      </c>
      <c r="H150" t="s">
        <v>35</v>
      </c>
      <c r="I150" t="s">
        <v>31</v>
      </c>
      <c r="J150">
        <v>19</v>
      </c>
      <c r="K150">
        <f>Table1[[#This Row],[Salary]]+(Table1[[#This Row],[Salary]]*(Table1[[#This Row],[Bonus %]]/100))</f>
        <v>162996</v>
      </c>
      <c r="L150" t="str">
        <f t="shared" si="2"/>
        <v>Fail</v>
      </c>
    </row>
    <row r="151" spans="1:12" x14ac:dyDescent="0.45">
      <c r="A151" t="s">
        <v>328</v>
      </c>
      <c r="B151" t="s">
        <v>329</v>
      </c>
      <c r="C151" t="s">
        <v>52</v>
      </c>
      <c r="D151" t="s">
        <v>26</v>
      </c>
      <c r="E151" s="23">
        <v>44237</v>
      </c>
      <c r="F151">
        <v>134736</v>
      </c>
      <c r="G151">
        <v>15</v>
      </c>
      <c r="H151" t="s">
        <v>35</v>
      </c>
      <c r="I151" t="s">
        <v>18</v>
      </c>
      <c r="J151">
        <v>17</v>
      </c>
      <c r="K151">
        <f>Table1[[#This Row],[Salary]]+(Table1[[#This Row],[Salary]]*(Table1[[#This Row],[Bonus %]]/100))</f>
        <v>154946.4</v>
      </c>
      <c r="L151" t="str">
        <f t="shared" si="2"/>
        <v>Fail</v>
      </c>
    </row>
    <row r="152" spans="1:12" x14ac:dyDescent="0.45">
      <c r="A152" t="s">
        <v>330</v>
      </c>
      <c r="B152" t="s">
        <v>331</v>
      </c>
      <c r="C152" t="s">
        <v>15</v>
      </c>
      <c r="D152" t="s">
        <v>26</v>
      </c>
      <c r="E152" s="23">
        <v>44238</v>
      </c>
      <c r="F152">
        <v>131072</v>
      </c>
      <c r="G152">
        <v>20</v>
      </c>
      <c r="H152" t="s">
        <v>35</v>
      </c>
      <c r="I152" t="s">
        <v>18</v>
      </c>
      <c r="J152">
        <v>21</v>
      </c>
      <c r="K152">
        <f>Table1[[#This Row],[Salary]]+(Table1[[#This Row],[Salary]]*(Table1[[#This Row],[Bonus %]]/100))</f>
        <v>157286.39999999999</v>
      </c>
      <c r="L152" t="str">
        <f t="shared" si="2"/>
        <v>Fail</v>
      </c>
    </row>
    <row r="153" spans="1:12" x14ac:dyDescent="0.45">
      <c r="A153" t="s">
        <v>332</v>
      </c>
      <c r="B153" t="s">
        <v>333</v>
      </c>
      <c r="C153" t="s">
        <v>59</v>
      </c>
      <c r="D153" t="s">
        <v>21</v>
      </c>
      <c r="E153" s="23">
        <v>44239</v>
      </c>
      <c r="F153">
        <v>36471</v>
      </c>
      <c r="G153">
        <v>15</v>
      </c>
      <c r="H153" t="s">
        <v>35</v>
      </c>
      <c r="I153" t="s">
        <v>22</v>
      </c>
      <c r="J153">
        <v>21</v>
      </c>
      <c r="K153">
        <f>Table1[[#This Row],[Salary]]+(Table1[[#This Row],[Salary]]*(Table1[[#This Row],[Bonus %]]/100))</f>
        <v>41941.65</v>
      </c>
      <c r="L153" t="str">
        <f t="shared" si="2"/>
        <v>Fail</v>
      </c>
    </row>
    <row r="154" spans="1:12" x14ac:dyDescent="0.45">
      <c r="A154" t="s">
        <v>334</v>
      </c>
      <c r="B154" t="s">
        <v>335</v>
      </c>
      <c r="C154" t="s">
        <v>52</v>
      </c>
      <c r="D154" t="s">
        <v>16</v>
      </c>
      <c r="E154" s="23">
        <v>44240</v>
      </c>
      <c r="F154">
        <v>102141</v>
      </c>
      <c r="G154">
        <v>5</v>
      </c>
      <c r="H154" t="s">
        <v>35</v>
      </c>
      <c r="I154" t="s">
        <v>22</v>
      </c>
      <c r="J154">
        <v>7</v>
      </c>
      <c r="K154">
        <f>Table1[[#This Row],[Salary]]+(Table1[[#This Row],[Salary]]*(Table1[[#This Row],[Bonus %]]/100))</f>
        <v>107248.05</v>
      </c>
      <c r="L154" t="str">
        <f t="shared" si="2"/>
        <v>Fail</v>
      </c>
    </row>
    <row r="155" spans="1:12" x14ac:dyDescent="0.45">
      <c r="A155" t="s">
        <v>336</v>
      </c>
      <c r="B155" t="s">
        <v>337</v>
      </c>
      <c r="C155" t="s">
        <v>59</v>
      </c>
      <c r="D155" t="s">
        <v>16</v>
      </c>
      <c r="E155" s="23">
        <v>44241</v>
      </c>
      <c r="F155">
        <v>71843</v>
      </c>
      <c r="G155">
        <v>5</v>
      </c>
      <c r="H155" t="s">
        <v>30</v>
      </c>
      <c r="I155" t="s">
        <v>22</v>
      </c>
      <c r="J155">
        <v>0</v>
      </c>
      <c r="K155">
        <f>Table1[[#This Row],[Salary]]+(Table1[[#This Row],[Salary]]*(Table1[[#This Row],[Bonus %]]/100))</f>
        <v>75435.149999999994</v>
      </c>
      <c r="L155" t="str">
        <f t="shared" si="2"/>
        <v>Pass</v>
      </c>
    </row>
    <row r="156" spans="1:12" x14ac:dyDescent="0.45">
      <c r="A156" t="s">
        <v>338</v>
      </c>
      <c r="B156" t="s">
        <v>339</v>
      </c>
      <c r="C156" t="s">
        <v>25</v>
      </c>
      <c r="D156" t="s">
        <v>45</v>
      </c>
      <c r="E156" s="23">
        <v>44242</v>
      </c>
      <c r="F156">
        <v>37258</v>
      </c>
      <c r="G156">
        <v>15</v>
      </c>
      <c r="H156" t="s">
        <v>17</v>
      </c>
      <c r="I156" t="s">
        <v>18</v>
      </c>
      <c r="J156">
        <v>1</v>
      </c>
      <c r="K156">
        <f>Table1[[#This Row],[Salary]]+(Table1[[#This Row],[Salary]]*(Table1[[#This Row],[Bonus %]]/100))</f>
        <v>42846.7</v>
      </c>
      <c r="L156" t="str">
        <f t="shared" si="2"/>
        <v>Pass</v>
      </c>
    </row>
    <row r="157" spans="1:12" x14ac:dyDescent="0.45">
      <c r="A157" t="s">
        <v>340</v>
      </c>
      <c r="B157" t="s">
        <v>341</v>
      </c>
      <c r="C157" t="s">
        <v>59</v>
      </c>
      <c r="D157" t="s">
        <v>26</v>
      </c>
      <c r="E157" s="23">
        <v>44243</v>
      </c>
      <c r="F157">
        <v>133824</v>
      </c>
      <c r="G157">
        <v>10</v>
      </c>
      <c r="H157" t="s">
        <v>35</v>
      </c>
      <c r="I157" t="s">
        <v>27</v>
      </c>
      <c r="J157">
        <v>0</v>
      </c>
      <c r="K157">
        <f>Table1[[#This Row],[Salary]]+(Table1[[#This Row],[Salary]]*(Table1[[#This Row],[Bonus %]]/100))</f>
        <v>147206.39999999999</v>
      </c>
      <c r="L157" t="str">
        <f t="shared" si="2"/>
        <v>Fail</v>
      </c>
    </row>
    <row r="158" spans="1:12" x14ac:dyDescent="0.45">
      <c r="A158" t="s">
        <v>342</v>
      </c>
      <c r="B158" t="s">
        <v>343</v>
      </c>
      <c r="C158" t="s">
        <v>15</v>
      </c>
      <c r="D158" t="s">
        <v>45</v>
      </c>
      <c r="E158" s="23">
        <v>44244</v>
      </c>
      <c r="F158">
        <v>120881</v>
      </c>
      <c r="G158">
        <v>20</v>
      </c>
      <c r="H158" t="s">
        <v>30</v>
      </c>
      <c r="I158" t="s">
        <v>22</v>
      </c>
      <c r="J158">
        <v>30</v>
      </c>
      <c r="K158">
        <f>Table1[[#This Row],[Salary]]+(Table1[[#This Row],[Salary]]*(Table1[[#This Row],[Bonus %]]/100))</f>
        <v>145057.20000000001</v>
      </c>
      <c r="L158" t="str">
        <f t="shared" si="2"/>
        <v>Pass</v>
      </c>
    </row>
    <row r="159" spans="1:12" x14ac:dyDescent="0.45">
      <c r="A159" t="s">
        <v>344</v>
      </c>
      <c r="B159" t="s">
        <v>345</v>
      </c>
      <c r="C159" t="s">
        <v>25</v>
      </c>
      <c r="D159" t="s">
        <v>45</v>
      </c>
      <c r="E159" s="23">
        <v>44245</v>
      </c>
      <c r="F159">
        <v>86174</v>
      </c>
      <c r="G159">
        <v>10</v>
      </c>
      <c r="H159" t="s">
        <v>30</v>
      </c>
      <c r="I159" t="s">
        <v>31</v>
      </c>
      <c r="J159">
        <v>28</v>
      </c>
      <c r="K159">
        <f>Table1[[#This Row],[Salary]]+(Table1[[#This Row],[Salary]]*(Table1[[#This Row],[Bonus %]]/100))</f>
        <v>94791.4</v>
      </c>
      <c r="L159" t="str">
        <f t="shared" si="2"/>
        <v>Pass</v>
      </c>
    </row>
    <row r="160" spans="1:12" x14ac:dyDescent="0.45">
      <c r="A160" t="s">
        <v>346</v>
      </c>
      <c r="B160" t="s">
        <v>347</v>
      </c>
      <c r="C160" t="s">
        <v>59</v>
      </c>
      <c r="D160" t="s">
        <v>16</v>
      </c>
      <c r="E160" s="23">
        <v>44246</v>
      </c>
      <c r="F160">
        <v>74008</v>
      </c>
      <c r="G160">
        <v>20</v>
      </c>
      <c r="H160" t="s">
        <v>17</v>
      </c>
      <c r="I160" t="s">
        <v>18</v>
      </c>
      <c r="J160">
        <v>3</v>
      </c>
      <c r="K160">
        <f>Table1[[#This Row],[Salary]]+(Table1[[#This Row],[Salary]]*(Table1[[#This Row],[Bonus %]]/100))</f>
        <v>88809.600000000006</v>
      </c>
      <c r="L160" t="str">
        <f t="shared" si="2"/>
        <v>Pass</v>
      </c>
    </row>
    <row r="161" spans="1:12" x14ac:dyDescent="0.45">
      <c r="A161" t="s">
        <v>348</v>
      </c>
      <c r="B161" t="s">
        <v>349</v>
      </c>
      <c r="C161" t="s">
        <v>15</v>
      </c>
      <c r="D161" t="s">
        <v>21</v>
      </c>
      <c r="E161" s="23">
        <v>44247</v>
      </c>
      <c r="F161">
        <v>36614</v>
      </c>
      <c r="G161">
        <v>10</v>
      </c>
      <c r="H161" t="s">
        <v>17</v>
      </c>
      <c r="I161" t="s">
        <v>31</v>
      </c>
      <c r="J161">
        <v>28</v>
      </c>
      <c r="K161">
        <f>Table1[[#This Row],[Salary]]+(Table1[[#This Row],[Salary]]*(Table1[[#This Row],[Bonus %]]/100))</f>
        <v>40275.4</v>
      </c>
      <c r="L161" t="str">
        <f t="shared" si="2"/>
        <v>Pass</v>
      </c>
    </row>
    <row r="162" spans="1:12" x14ac:dyDescent="0.45">
      <c r="A162" t="s">
        <v>350</v>
      </c>
      <c r="B162" t="s">
        <v>351</v>
      </c>
      <c r="C162" t="s">
        <v>34</v>
      </c>
      <c r="D162" t="s">
        <v>45</v>
      </c>
      <c r="E162" s="23">
        <v>44248</v>
      </c>
      <c r="F162">
        <v>75248</v>
      </c>
      <c r="G162">
        <v>15</v>
      </c>
      <c r="H162" t="s">
        <v>30</v>
      </c>
      <c r="I162" t="s">
        <v>31</v>
      </c>
      <c r="J162">
        <v>8</v>
      </c>
      <c r="K162">
        <f>Table1[[#This Row],[Salary]]+(Table1[[#This Row],[Salary]]*(Table1[[#This Row],[Bonus %]]/100))</f>
        <v>86535.2</v>
      </c>
      <c r="L162" t="str">
        <f t="shared" si="2"/>
        <v>Pass</v>
      </c>
    </row>
    <row r="163" spans="1:12" x14ac:dyDescent="0.45">
      <c r="A163" t="s">
        <v>352</v>
      </c>
      <c r="B163" t="s">
        <v>353</v>
      </c>
      <c r="C163" t="s">
        <v>34</v>
      </c>
      <c r="D163" t="s">
        <v>45</v>
      </c>
      <c r="E163" s="23">
        <v>44249</v>
      </c>
      <c r="F163">
        <v>60117</v>
      </c>
      <c r="G163">
        <v>10</v>
      </c>
      <c r="H163" t="s">
        <v>17</v>
      </c>
      <c r="I163" t="s">
        <v>31</v>
      </c>
      <c r="J163">
        <v>13</v>
      </c>
      <c r="K163">
        <f>Table1[[#This Row],[Salary]]+(Table1[[#This Row],[Salary]]*(Table1[[#This Row],[Bonus %]]/100))</f>
        <v>66128.7</v>
      </c>
      <c r="L163" t="str">
        <f t="shared" si="2"/>
        <v>Pass</v>
      </c>
    </row>
    <row r="164" spans="1:12" x14ac:dyDescent="0.45">
      <c r="A164" t="s">
        <v>354</v>
      </c>
      <c r="B164" t="s">
        <v>355</v>
      </c>
      <c r="C164" t="s">
        <v>25</v>
      </c>
      <c r="D164" t="s">
        <v>21</v>
      </c>
      <c r="E164" s="23">
        <v>44250</v>
      </c>
      <c r="F164">
        <v>82798</v>
      </c>
      <c r="G164">
        <v>10</v>
      </c>
      <c r="H164" t="s">
        <v>17</v>
      </c>
      <c r="I164" t="s">
        <v>18</v>
      </c>
      <c r="J164">
        <v>28</v>
      </c>
      <c r="K164">
        <f>Table1[[#This Row],[Salary]]+(Table1[[#This Row],[Salary]]*(Table1[[#This Row],[Bonus %]]/100))</f>
        <v>91077.8</v>
      </c>
      <c r="L164" t="str">
        <f t="shared" si="2"/>
        <v>Pass</v>
      </c>
    </row>
    <row r="165" spans="1:12" x14ac:dyDescent="0.45">
      <c r="A165" t="s">
        <v>356</v>
      </c>
      <c r="B165" t="s">
        <v>357</v>
      </c>
      <c r="C165" t="s">
        <v>34</v>
      </c>
      <c r="D165" t="s">
        <v>26</v>
      </c>
      <c r="E165" s="23">
        <v>44251</v>
      </c>
      <c r="F165">
        <v>97066</v>
      </c>
      <c r="G165">
        <v>10</v>
      </c>
      <c r="H165" t="s">
        <v>35</v>
      </c>
      <c r="I165" t="s">
        <v>27</v>
      </c>
      <c r="J165">
        <v>19</v>
      </c>
      <c r="K165">
        <f>Table1[[#This Row],[Salary]]+(Table1[[#This Row],[Salary]]*(Table1[[#This Row],[Bonus %]]/100))</f>
        <v>106772.6</v>
      </c>
      <c r="L165" t="str">
        <f t="shared" si="2"/>
        <v>Fail</v>
      </c>
    </row>
    <row r="166" spans="1:12" x14ac:dyDescent="0.45">
      <c r="A166" t="s">
        <v>358</v>
      </c>
      <c r="B166" t="s">
        <v>359</v>
      </c>
      <c r="C166" t="s">
        <v>15</v>
      </c>
      <c r="D166" t="s">
        <v>38</v>
      </c>
      <c r="E166" s="23">
        <v>44252</v>
      </c>
      <c r="F166">
        <v>59857</v>
      </c>
      <c r="G166">
        <v>10</v>
      </c>
      <c r="H166" t="s">
        <v>30</v>
      </c>
      <c r="I166" t="s">
        <v>18</v>
      </c>
      <c r="J166">
        <v>16</v>
      </c>
      <c r="K166">
        <f>Table1[[#This Row],[Salary]]+(Table1[[#This Row],[Salary]]*(Table1[[#This Row],[Bonus %]]/100))</f>
        <v>65842.7</v>
      </c>
      <c r="L166" t="str">
        <f t="shared" si="2"/>
        <v>Pass</v>
      </c>
    </row>
    <row r="167" spans="1:12" x14ac:dyDescent="0.45">
      <c r="A167" t="s">
        <v>360</v>
      </c>
      <c r="B167" t="s">
        <v>361</v>
      </c>
      <c r="C167" t="s">
        <v>52</v>
      </c>
      <c r="D167" t="s">
        <v>26</v>
      </c>
      <c r="E167" s="23">
        <v>44253</v>
      </c>
      <c r="F167">
        <v>130846</v>
      </c>
      <c r="G167">
        <v>15</v>
      </c>
      <c r="H167" t="s">
        <v>30</v>
      </c>
      <c r="I167" t="s">
        <v>31</v>
      </c>
      <c r="J167">
        <v>18</v>
      </c>
      <c r="K167">
        <f>Table1[[#This Row],[Salary]]+(Table1[[#This Row],[Salary]]*(Table1[[#This Row],[Bonus %]]/100))</f>
        <v>150472.9</v>
      </c>
      <c r="L167" t="str">
        <f t="shared" si="2"/>
        <v>Pass</v>
      </c>
    </row>
    <row r="168" spans="1:12" x14ac:dyDescent="0.45">
      <c r="A168" t="s">
        <v>362</v>
      </c>
      <c r="B168" t="s">
        <v>363</v>
      </c>
      <c r="C168" t="s">
        <v>34</v>
      </c>
      <c r="D168" t="s">
        <v>45</v>
      </c>
      <c r="E168" s="23">
        <v>44254</v>
      </c>
      <c r="F168">
        <v>88765</v>
      </c>
      <c r="G168">
        <v>20</v>
      </c>
      <c r="H168" t="s">
        <v>30</v>
      </c>
      <c r="I168" t="s">
        <v>18</v>
      </c>
      <c r="J168">
        <v>17</v>
      </c>
      <c r="K168">
        <f>Table1[[#This Row],[Salary]]+(Table1[[#This Row],[Salary]]*(Table1[[#This Row],[Bonus %]]/100))</f>
        <v>106518</v>
      </c>
      <c r="L168" t="str">
        <f t="shared" si="2"/>
        <v>Pass</v>
      </c>
    </row>
    <row r="169" spans="1:12" x14ac:dyDescent="0.45">
      <c r="A169" t="s">
        <v>364</v>
      </c>
      <c r="B169" t="s">
        <v>365</v>
      </c>
      <c r="C169" t="s">
        <v>52</v>
      </c>
      <c r="D169" t="s">
        <v>45</v>
      </c>
      <c r="E169" s="23">
        <v>44255</v>
      </c>
      <c r="F169">
        <v>31855</v>
      </c>
      <c r="G169">
        <v>10</v>
      </c>
      <c r="H169" t="s">
        <v>35</v>
      </c>
      <c r="I169" t="s">
        <v>18</v>
      </c>
      <c r="J169">
        <v>5</v>
      </c>
      <c r="K169">
        <f>Table1[[#This Row],[Salary]]+(Table1[[#This Row],[Salary]]*(Table1[[#This Row],[Bonus %]]/100))</f>
        <v>35040.5</v>
      </c>
      <c r="L169" t="str">
        <f t="shared" si="2"/>
        <v>Fail</v>
      </c>
    </row>
    <row r="170" spans="1:12" x14ac:dyDescent="0.45">
      <c r="A170" t="s">
        <v>366</v>
      </c>
      <c r="B170" t="s">
        <v>367</v>
      </c>
      <c r="C170" t="s">
        <v>59</v>
      </c>
      <c r="D170" t="s">
        <v>26</v>
      </c>
      <c r="E170" s="23">
        <v>44256</v>
      </c>
      <c r="F170">
        <v>96405</v>
      </c>
      <c r="G170">
        <v>20</v>
      </c>
      <c r="H170" t="s">
        <v>17</v>
      </c>
      <c r="I170" t="s">
        <v>22</v>
      </c>
      <c r="J170">
        <v>22</v>
      </c>
      <c r="K170">
        <f>Table1[[#This Row],[Salary]]+(Table1[[#This Row],[Salary]]*(Table1[[#This Row],[Bonus %]]/100))</f>
        <v>115686</v>
      </c>
      <c r="L170" t="str">
        <f t="shared" si="2"/>
        <v>Pass</v>
      </c>
    </row>
    <row r="171" spans="1:12" x14ac:dyDescent="0.45">
      <c r="A171" t="s">
        <v>368</v>
      </c>
      <c r="B171" t="s">
        <v>369</v>
      </c>
      <c r="C171" t="s">
        <v>52</v>
      </c>
      <c r="D171" t="s">
        <v>16</v>
      </c>
      <c r="E171" s="23">
        <v>44257</v>
      </c>
      <c r="F171">
        <v>91139</v>
      </c>
      <c r="G171">
        <v>20</v>
      </c>
      <c r="H171" t="s">
        <v>35</v>
      </c>
      <c r="I171" t="s">
        <v>22</v>
      </c>
      <c r="J171">
        <v>25</v>
      </c>
      <c r="K171">
        <f>Table1[[#This Row],[Salary]]+(Table1[[#This Row],[Salary]]*(Table1[[#This Row],[Bonus %]]/100))</f>
        <v>109366.8</v>
      </c>
      <c r="L171" t="str">
        <f t="shared" si="2"/>
        <v>Fail</v>
      </c>
    </row>
    <row r="172" spans="1:12" x14ac:dyDescent="0.45">
      <c r="A172" t="s">
        <v>370</v>
      </c>
      <c r="B172" t="s">
        <v>371</v>
      </c>
      <c r="C172" t="s">
        <v>34</v>
      </c>
      <c r="D172" t="s">
        <v>38</v>
      </c>
      <c r="E172" s="23">
        <v>44258</v>
      </c>
      <c r="F172">
        <v>133834</v>
      </c>
      <c r="G172">
        <v>5</v>
      </c>
      <c r="H172" t="s">
        <v>35</v>
      </c>
      <c r="I172" t="s">
        <v>22</v>
      </c>
      <c r="J172">
        <v>5</v>
      </c>
      <c r="K172">
        <f>Table1[[#This Row],[Salary]]+(Table1[[#This Row],[Salary]]*(Table1[[#This Row],[Bonus %]]/100))</f>
        <v>140525.70000000001</v>
      </c>
      <c r="L172" t="str">
        <f t="shared" si="2"/>
        <v>Fail</v>
      </c>
    </row>
    <row r="173" spans="1:12" x14ac:dyDescent="0.45">
      <c r="A173" t="s">
        <v>372</v>
      </c>
      <c r="B173" t="s">
        <v>373</v>
      </c>
      <c r="C173" t="s">
        <v>25</v>
      </c>
      <c r="D173" t="s">
        <v>16</v>
      </c>
      <c r="E173" s="23">
        <v>44259</v>
      </c>
      <c r="F173">
        <v>133188</v>
      </c>
      <c r="G173">
        <v>10</v>
      </c>
      <c r="H173" t="s">
        <v>17</v>
      </c>
      <c r="I173" t="s">
        <v>31</v>
      </c>
      <c r="J173">
        <v>10</v>
      </c>
      <c r="K173">
        <f>Table1[[#This Row],[Salary]]+(Table1[[#This Row],[Salary]]*(Table1[[#This Row],[Bonus %]]/100))</f>
        <v>146506.79999999999</v>
      </c>
      <c r="L173" t="str">
        <f t="shared" si="2"/>
        <v>Pass</v>
      </c>
    </row>
    <row r="174" spans="1:12" x14ac:dyDescent="0.45">
      <c r="A174" t="s">
        <v>374</v>
      </c>
      <c r="B174" t="s">
        <v>375</v>
      </c>
      <c r="C174" t="s">
        <v>25</v>
      </c>
      <c r="D174" t="s">
        <v>26</v>
      </c>
      <c r="E174" s="23">
        <v>44260</v>
      </c>
      <c r="F174">
        <v>136998</v>
      </c>
      <c r="G174">
        <v>5</v>
      </c>
      <c r="H174" t="s">
        <v>17</v>
      </c>
      <c r="I174" t="s">
        <v>18</v>
      </c>
      <c r="J174">
        <v>5</v>
      </c>
      <c r="K174">
        <f>Table1[[#This Row],[Salary]]+(Table1[[#This Row],[Salary]]*(Table1[[#This Row],[Bonus %]]/100))</f>
        <v>143847.9</v>
      </c>
      <c r="L174" t="str">
        <f t="shared" si="2"/>
        <v>Pass</v>
      </c>
    </row>
    <row r="175" spans="1:12" x14ac:dyDescent="0.45">
      <c r="A175" t="s">
        <v>376</v>
      </c>
      <c r="B175" t="s">
        <v>377</v>
      </c>
      <c r="C175" t="s">
        <v>59</v>
      </c>
      <c r="D175" t="s">
        <v>26</v>
      </c>
      <c r="E175" s="23">
        <v>44261</v>
      </c>
      <c r="F175">
        <v>103090</v>
      </c>
      <c r="G175">
        <v>5</v>
      </c>
      <c r="H175" t="s">
        <v>17</v>
      </c>
      <c r="I175" t="s">
        <v>31</v>
      </c>
      <c r="J175">
        <v>22</v>
      </c>
      <c r="K175">
        <f>Table1[[#This Row],[Salary]]+(Table1[[#This Row],[Salary]]*(Table1[[#This Row],[Bonus %]]/100))</f>
        <v>108244.5</v>
      </c>
      <c r="L175" t="str">
        <f t="shared" si="2"/>
        <v>Pass</v>
      </c>
    </row>
    <row r="176" spans="1:12" x14ac:dyDescent="0.45">
      <c r="A176" t="s">
        <v>378</v>
      </c>
      <c r="B176" t="s">
        <v>379</v>
      </c>
      <c r="C176" t="s">
        <v>52</v>
      </c>
      <c r="D176" t="s">
        <v>26</v>
      </c>
      <c r="E176" s="23">
        <v>44262</v>
      </c>
      <c r="F176">
        <v>142145</v>
      </c>
      <c r="G176">
        <v>15</v>
      </c>
      <c r="H176" t="s">
        <v>30</v>
      </c>
      <c r="I176" t="s">
        <v>31</v>
      </c>
      <c r="J176">
        <v>3</v>
      </c>
      <c r="K176">
        <f>Table1[[#This Row],[Salary]]+(Table1[[#This Row],[Salary]]*(Table1[[#This Row],[Bonus %]]/100))</f>
        <v>163466.75</v>
      </c>
      <c r="L176" t="str">
        <f t="shared" si="2"/>
        <v>Pass</v>
      </c>
    </row>
    <row r="177" spans="1:12" x14ac:dyDescent="0.45">
      <c r="A177" t="s">
        <v>380</v>
      </c>
      <c r="B177" t="s">
        <v>381</v>
      </c>
      <c r="C177" t="s">
        <v>34</v>
      </c>
      <c r="D177" t="s">
        <v>45</v>
      </c>
      <c r="E177" s="23">
        <v>44263</v>
      </c>
      <c r="F177">
        <v>79426</v>
      </c>
      <c r="G177">
        <v>10</v>
      </c>
      <c r="H177" t="s">
        <v>30</v>
      </c>
      <c r="I177" t="s">
        <v>18</v>
      </c>
      <c r="J177">
        <v>23</v>
      </c>
      <c r="K177">
        <f>Table1[[#This Row],[Salary]]+(Table1[[#This Row],[Salary]]*(Table1[[#This Row],[Bonus %]]/100))</f>
        <v>87368.6</v>
      </c>
      <c r="L177" t="str">
        <f t="shared" si="2"/>
        <v>Pass</v>
      </c>
    </row>
    <row r="178" spans="1:12" x14ac:dyDescent="0.45">
      <c r="A178" t="s">
        <v>382</v>
      </c>
      <c r="B178" t="s">
        <v>383</v>
      </c>
      <c r="C178" t="s">
        <v>59</v>
      </c>
      <c r="D178" t="s">
        <v>45</v>
      </c>
      <c r="E178" s="23">
        <v>44264</v>
      </c>
      <c r="F178">
        <v>48628</v>
      </c>
      <c r="G178">
        <v>20</v>
      </c>
      <c r="H178" t="s">
        <v>30</v>
      </c>
      <c r="I178" t="s">
        <v>27</v>
      </c>
      <c r="J178">
        <v>6</v>
      </c>
      <c r="K178">
        <f>Table1[[#This Row],[Salary]]+(Table1[[#This Row],[Salary]]*(Table1[[#This Row],[Bonus %]]/100))</f>
        <v>58353.599999999999</v>
      </c>
      <c r="L178" t="str">
        <f t="shared" si="2"/>
        <v>Pass</v>
      </c>
    </row>
    <row r="179" spans="1:12" x14ac:dyDescent="0.45">
      <c r="A179" t="s">
        <v>384</v>
      </c>
      <c r="B179" t="s">
        <v>385</v>
      </c>
      <c r="C179" t="s">
        <v>52</v>
      </c>
      <c r="D179" t="s">
        <v>26</v>
      </c>
      <c r="E179" s="23">
        <v>44265</v>
      </c>
      <c r="F179">
        <v>127094</v>
      </c>
      <c r="G179">
        <v>15</v>
      </c>
      <c r="H179" t="s">
        <v>30</v>
      </c>
      <c r="I179" t="s">
        <v>31</v>
      </c>
      <c r="J179">
        <v>24</v>
      </c>
      <c r="K179">
        <f>Table1[[#This Row],[Salary]]+(Table1[[#This Row],[Salary]]*(Table1[[#This Row],[Bonus %]]/100))</f>
        <v>146158.1</v>
      </c>
      <c r="L179" t="str">
        <f t="shared" si="2"/>
        <v>Pass</v>
      </c>
    </row>
    <row r="180" spans="1:12" x14ac:dyDescent="0.45">
      <c r="A180" t="s">
        <v>386</v>
      </c>
      <c r="B180" t="s">
        <v>387</v>
      </c>
      <c r="C180" t="s">
        <v>52</v>
      </c>
      <c r="D180" t="s">
        <v>38</v>
      </c>
      <c r="E180" s="23">
        <v>44266</v>
      </c>
      <c r="F180">
        <v>137779</v>
      </c>
      <c r="G180">
        <v>5</v>
      </c>
      <c r="H180" t="s">
        <v>35</v>
      </c>
      <c r="I180" t="s">
        <v>18</v>
      </c>
      <c r="J180">
        <v>27</v>
      </c>
      <c r="K180">
        <f>Table1[[#This Row],[Salary]]+(Table1[[#This Row],[Salary]]*(Table1[[#This Row],[Bonus %]]/100))</f>
        <v>144667.95000000001</v>
      </c>
      <c r="L180" t="str">
        <f t="shared" si="2"/>
        <v>Fail</v>
      </c>
    </row>
    <row r="181" spans="1:12" x14ac:dyDescent="0.45">
      <c r="A181" t="s">
        <v>388</v>
      </c>
      <c r="B181" t="s">
        <v>389</v>
      </c>
      <c r="C181" t="s">
        <v>25</v>
      </c>
      <c r="D181" t="s">
        <v>21</v>
      </c>
      <c r="E181" s="23">
        <v>44267</v>
      </c>
      <c r="F181">
        <v>39774</v>
      </c>
      <c r="G181">
        <v>20</v>
      </c>
      <c r="H181" t="s">
        <v>17</v>
      </c>
      <c r="I181" t="s">
        <v>18</v>
      </c>
      <c r="J181">
        <v>3</v>
      </c>
      <c r="K181">
        <f>Table1[[#This Row],[Salary]]+(Table1[[#This Row],[Salary]]*(Table1[[#This Row],[Bonus %]]/100))</f>
        <v>47728.800000000003</v>
      </c>
      <c r="L181" t="str">
        <f t="shared" si="2"/>
        <v>Pass</v>
      </c>
    </row>
    <row r="182" spans="1:12" x14ac:dyDescent="0.45">
      <c r="A182" t="s">
        <v>390</v>
      </c>
      <c r="B182" t="s">
        <v>391</v>
      </c>
      <c r="C182" t="s">
        <v>59</v>
      </c>
      <c r="D182" t="s">
        <v>21</v>
      </c>
      <c r="E182" s="23">
        <v>44268</v>
      </c>
      <c r="F182">
        <v>61169</v>
      </c>
      <c r="G182">
        <v>15</v>
      </c>
      <c r="H182" t="s">
        <v>17</v>
      </c>
      <c r="I182" t="s">
        <v>31</v>
      </c>
      <c r="J182">
        <v>18</v>
      </c>
      <c r="K182">
        <f>Table1[[#This Row],[Salary]]+(Table1[[#This Row],[Salary]]*(Table1[[#This Row],[Bonus %]]/100))</f>
        <v>70344.350000000006</v>
      </c>
      <c r="L182" t="str">
        <f t="shared" si="2"/>
        <v>Pass</v>
      </c>
    </row>
    <row r="183" spans="1:12" x14ac:dyDescent="0.45">
      <c r="A183" t="s">
        <v>392</v>
      </c>
      <c r="B183" t="s">
        <v>393</v>
      </c>
      <c r="C183" t="s">
        <v>15</v>
      </c>
      <c r="D183" t="s">
        <v>26</v>
      </c>
      <c r="E183" s="23">
        <v>44269</v>
      </c>
      <c r="F183">
        <v>81148</v>
      </c>
      <c r="G183">
        <v>5</v>
      </c>
      <c r="H183" t="s">
        <v>17</v>
      </c>
      <c r="I183" t="s">
        <v>27</v>
      </c>
      <c r="J183">
        <v>24</v>
      </c>
      <c r="K183">
        <f>Table1[[#This Row],[Salary]]+(Table1[[#This Row],[Salary]]*(Table1[[#This Row],[Bonus %]]/100))</f>
        <v>85205.4</v>
      </c>
      <c r="L183" t="str">
        <f t="shared" si="2"/>
        <v>Pass</v>
      </c>
    </row>
    <row r="184" spans="1:12" x14ac:dyDescent="0.45">
      <c r="A184" t="s">
        <v>394</v>
      </c>
      <c r="B184" t="s">
        <v>395</v>
      </c>
      <c r="C184" t="s">
        <v>25</v>
      </c>
      <c r="D184" t="s">
        <v>26</v>
      </c>
      <c r="E184" s="23">
        <v>44270</v>
      </c>
      <c r="F184">
        <v>77727</v>
      </c>
      <c r="G184">
        <v>10</v>
      </c>
      <c r="H184" t="s">
        <v>17</v>
      </c>
      <c r="I184" t="s">
        <v>27</v>
      </c>
      <c r="J184">
        <v>16</v>
      </c>
      <c r="K184">
        <f>Table1[[#This Row],[Salary]]+(Table1[[#This Row],[Salary]]*(Table1[[#This Row],[Bonus %]]/100))</f>
        <v>85499.7</v>
      </c>
      <c r="L184" t="str">
        <f t="shared" si="2"/>
        <v>Pass</v>
      </c>
    </row>
    <row r="185" spans="1:12" x14ac:dyDescent="0.45">
      <c r="A185" t="s">
        <v>396</v>
      </c>
      <c r="B185" t="s">
        <v>397</v>
      </c>
      <c r="C185" t="s">
        <v>34</v>
      </c>
      <c r="D185" t="s">
        <v>21</v>
      </c>
      <c r="E185" s="23">
        <v>44271</v>
      </c>
      <c r="F185">
        <v>90397</v>
      </c>
      <c r="G185">
        <v>20</v>
      </c>
      <c r="H185" t="s">
        <v>35</v>
      </c>
      <c r="I185" t="s">
        <v>18</v>
      </c>
      <c r="J185">
        <v>2</v>
      </c>
      <c r="K185">
        <f>Table1[[#This Row],[Salary]]+(Table1[[#This Row],[Salary]]*(Table1[[#This Row],[Bonus %]]/100))</f>
        <v>108476.4</v>
      </c>
      <c r="L185" t="str">
        <f t="shared" si="2"/>
        <v>Fail</v>
      </c>
    </row>
    <row r="186" spans="1:12" x14ac:dyDescent="0.45">
      <c r="A186" t="s">
        <v>398</v>
      </c>
      <c r="B186" t="s">
        <v>399</v>
      </c>
      <c r="C186" t="s">
        <v>25</v>
      </c>
      <c r="D186" t="s">
        <v>26</v>
      </c>
      <c r="E186" s="23">
        <v>44272</v>
      </c>
      <c r="F186">
        <v>137594</v>
      </c>
      <c r="G186">
        <v>5</v>
      </c>
      <c r="H186" t="s">
        <v>30</v>
      </c>
      <c r="I186" t="s">
        <v>22</v>
      </c>
      <c r="J186">
        <v>15</v>
      </c>
      <c r="K186">
        <f>Table1[[#This Row],[Salary]]+(Table1[[#This Row],[Salary]]*(Table1[[#This Row],[Bonus %]]/100))</f>
        <v>144473.70000000001</v>
      </c>
      <c r="L186" t="str">
        <f t="shared" si="2"/>
        <v>Pass</v>
      </c>
    </row>
    <row r="187" spans="1:12" x14ac:dyDescent="0.45">
      <c r="A187" t="s">
        <v>400</v>
      </c>
      <c r="B187" t="s">
        <v>401</v>
      </c>
      <c r="C187" t="s">
        <v>15</v>
      </c>
      <c r="D187" t="s">
        <v>26</v>
      </c>
      <c r="E187" s="23">
        <v>44273</v>
      </c>
      <c r="F187">
        <v>42997</v>
      </c>
      <c r="G187">
        <v>15</v>
      </c>
      <c r="H187" t="s">
        <v>30</v>
      </c>
      <c r="I187" t="s">
        <v>22</v>
      </c>
      <c r="J187">
        <v>4</v>
      </c>
      <c r="K187">
        <f>Table1[[#This Row],[Salary]]+(Table1[[#This Row],[Salary]]*(Table1[[#This Row],[Bonus %]]/100))</f>
        <v>49446.55</v>
      </c>
      <c r="L187" t="str">
        <f t="shared" si="2"/>
        <v>Pass</v>
      </c>
    </row>
    <row r="188" spans="1:12" x14ac:dyDescent="0.45">
      <c r="A188" t="s">
        <v>402</v>
      </c>
      <c r="B188" t="s">
        <v>403</v>
      </c>
      <c r="C188" t="s">
        <v>34</v>
      </c>
      <c r="D188" t="s">
        <v>16</v>
      </c>
      <c r="E188" s="23">
        <v>44274</v>
      </c>
      <c r="F188">
        <v>130502</v>
      </c>
      <c r="G188">
        <v>15</v>
      </c>
      <c r="H188" t="s">
        <v>35</v>
      </c>
      <c r="I188" t="s">
        <v>31</v>
      </c>
      <c r="J188">
        <v>0</v>
      </c>
      <c r="K188">
        <f>Table1[[#This Row],[Salary]]+(Table1[[#This Row],[Salary]]*(Table1[[#This Row],[Bonus %]]/100))</f>
        <v>150077.29999999999</v>
      </c>
      <c r="L188" t="str">
        <f t="shared" si="2"/>
        <v>Fail</v>
      </c>
    </row>
    <row r="189" spans="1:12" x14ac:dyDescent="0.45">
      <c r="A189" t="s">
        <v>404</v>
      </c>
      <c r="B189" t="s">
        <v>405</v>
      </c>
      <c r="C189" t="s">
        <v>59</v>
      </c>
      <c r="D189" t="s">
        <v>45</v>
      </c>
      <c r="E189" s="23">
        <v>44275</v>
      </c>
      <c r="F189">
        <v>62785</v>
      </c>
      <c r="G189">
        <v>20</v>
      </c>
      <c r="H189" t="s">
        <v>35</v>
      </c>
      <c r="I189" t="s">
        <v>22</v>
      </c>
      <c r="J189">
        <v>12</v>
      </c>
      <c r="K189">
        <f>Table1[[#This Row],[Salary]]+(Table1[[#This Row],[Salary]]*(Table1[[#This Row],[Bonus %]]/100))</f>
        <v>75342</v>
      </c>
      <c r="L189" t="str">
        <f t="shared" si="2"/>
        <v>Fail</v>
      </c>
    </row>
    <row r="190" spans="1:12" x14ac:dyDescent="0.45">
      <c r="A190" t="s">
        <v>406</v>
      </c>
      <c r="B190" t="s">
        <v>407</v>
      </c>
      <c r="C190" t="s">
        <v>15</v>
      </c>
      <c r="D190" t="s">
        <v>38</v>
      </c>
      <c r="E190" s="23">
        <v>44276</v>
      </c>
      <c r="F190">
        <v>80053</v>
      </c>
      <c r="G190">
        <v>5</v>
      </c>
      <c r="H190" t="s">
        <v>35</v>
      </c>
      <c r="I190" t="s">
        <v>18</v>
      </c>
      <c r="J190">
        <v>15</v>
      </c>
      <c r="K190">
        <f>Table1[[#This Row],[Salary]]+(Table1[[#This Row],[Salary]]*(Table1[[#This Row],[Bonus %]]/100))</f>
        <v>84055.65</v>
      </c>
      <c r="L190" t="str">
        <f t="shared" si="2"/>
        <v>Fail</v>
      </c>
    </row>
    <row r="191" spans="1:12" x14ac:dyDescent="0.45">
      <c r="A191" t="s">
        <v>408</v>
      </c>
      <c r="B191" t="s">
        <v>409</v>
      </c>
      <c r="C191" t="s">
        <v>25</v>
      </c>
      <c r="D191" t="s">
        <v>26</v>
      </c>
      <c r="E191" s="23">
        <v>44277</v>
      </c>
      <c r="F191">
        <v>79502</v>
      </c>
      <c r="G191">
        <v>10</v>
      </c>
      <c r="H191" t="s">
        <v>30</v>
      </c>
      <c r="I191" t="s">
        <v>27</v>
      </c>
      <c r="J191">
        <v>1</v>
      </c>
      <c r="K191">
        <f>Table1[[#This Row],[Salary]]+(Table1[[#This Row],[Salary]]*(Table1[[#This Row],[Bonus %]]/100))</f>
        <v>87452.2</v>
      </c>
      <c r="L191" t="str">
        <f t="shared" si="2"/>
        <v>Pass</v>
      </c>
    </row>
    <row r="192" spans="1:12" x14ac:dyDescent="0.45">
      <c r="A192" t="s">
        <v>410</v>
      </c>
      <c r="B192" t="s">
        <v>411</v>
      </c>
      <c r="C192" t="s">
        <v>25</v>
      </c>
      <c r="D192" t="s">
        <v>26</v>
      </c>
      <c r="E192" s="23">
        <v>44278</v>
      </c>
      <c r="F192">
        <v>110176</v>
      </c>
      <c r="G192">
        <v>15</v>
      </c>
      <c r="H192" t="s">
        <v>35</v>
      </c>
      <c r="I192" t="s">
        <v>18</v>
      </c>
      <c r="J192">
        <v>20</v>
      </c>
      <c r="K192">
        <f>Table1[[#This Row],[Salary]]+(Table1[[#This Row],[Salary]]*(Table1[[#This Row],[Bonus %]]/100))</f>
        <v>126702.39999999999</v>
      </c>
      <c r="L192" t="str">
        <f t="shared" si="2"/>
        <v>Fail</v>
      </c>
    </row>
    <row r="193" spans="1:12" x14ac:dyDescent="0.45">
      <c r="A193" t="s">
        <v>412</v>
      </c>
      <c r="B193" t="s">
        <v>413</v>
      </c>
      <c r="C193" t="s">
        <v>59</v>
      </c>
      <c r="D193" t="s">
        <v>16</v>
      </c>
      <c r="E193" s="23">
        <v>44279</v>
      </c>
      <c r="F193">
        <v>129193</v>
      </c>
      <c r="G193">
        <v>5</v>
      </c>
      <c r="H193" t="s">
        <v>17</v>
      </c>
      <c r="I193" t="s">
        <v>18</v>
      </c>
      <c r="J193">
        <v>6</v>
      </c>
      <c r="K193">
        <f>Table1[[#This Row],[Salary]]+(Table1[[#This Row],[Salary]]*(Table1[[#This Row],[Bonus %]]/100))</f>
        <v>135652.65</v>
      </c>
      <c r="L193" t="str">
        <f t="shared" si="2"/>
        <v>Pass</v>
      </c>
    </row>
    <row r="194" spans="1:12" x14ac:dyDescent="0.45">
      <c r="A194" t="s">
        <v>414</v>
      </c>
      <c r="B194" t="s">
        <v>415</v>
      </c>
      <c r="C194" t="s">
        <v>52</v>
      </c>
      <c r="D194" t="s">
        <v>26</v>
      </c>
      <c r="E194" s="23">
        <v>44280</v>
      </c>
      <c r="F194">
        <v>123361</v>
      </c>
      <c r="G194">
        <v>5</v>
      </c>
      <c r="H194" t="s">
        <v>30</v>
      </c>
      <c r="I194" t="s">
        <v>22</v>
      </c>
      <c r="J194">
        <v>0</v>
      </c>
      <c r="K194">
        <f>Table1[[#This Row],[Salary]]+(Table1[[#This Row],[Salary]]*(Table1[[#This Row],[Bonus %]]/100))</f>
        <v>129529.05</v>
      </c>
      <c r="L194" t="str">
        <f t="shared" ref="L194:L257" si="3">IF(OR(H194="A",H194="B"),"Pass","Fail")</f>
        <v>Pass</v>
      </c>
    </row>
    <row r="195" spans="1:12" x14ac:dyDescent="0.45">
      <c r="A195" t="s">
        <v>416</v>
      </c>
      <c r="B195" t="s">
        <v>417</v>
      </c>
      <c r="C195" t="s">
        <v>59</v>
      </c>
      <c r="D195" t="s">
        <v>26</v>
      </c>
      <c r="E195" s="23">
        <v>44281</v>
      </c>
      <c r="F195">
        <v>77205</v>
      </c>
      <c r="G195">
        <v>10</v>
      </c>
      <c r="H195" t="s">
        <v>30</v>
      </c>
      <c r="I195" t="s">
        <v>27</v>
      </c>
      <c r="J195">
        <v>28</v>
      </c>
      <c r="K195">
        <f>Table1[[#This Row],[Salary]]+(Table1[[#This Row],[Salary]]*(Table1[[#This Row],[Bonus %]]/100))</f>
        <v>84925.5</v>
      </c>
      <c r="L195" t="str">
        <f t="shared" si="3"/>
        <v>Pass</v>
      </c>
    </row>
    <row r="196" spans="1:12" x14ac:dyDescent="0.45">
      <c r="A196" t="s">
        <v>418</v>
      </c>
      <c r="B196" t="s">
        <v>419</v>
      </c>
      <c r="C196" t="s">
        <v>52</v>
      </c>
      <c r="D196" t="s">
        <v>21</v>
      </c>
      <c r="E196" s="23">
        <v>44282</v>
      </c>
      <c r="F196">
        <v>133210</v>
      </c>
      <c r="G196">
        <v>5</v>
      </c>
      <c r="H196" t="s">
        <v>17</v>
      </c>
      <c r="I196" t="s">
        <v>18</v>
      </c>
      <c r="J196">
        <v>29</v>
      </c>
      <c r="K196">
        <f>Table1[[#This Row],[Salary]]+(Table1[[#This Row],[Salary]]*(Table1[[#This Row],[Bonus %]]/100))</f>
        <v>139870.5</v>
      </c>
      <c r="L196" t="str">
        <f t="shared" si="3"/>
        <v>Pass</v>
      </c>
    </row>
    <row r="197" spans="1:12" x14ac:dyDescent="0.45">
      <c r="A197" t="s">
        <v>420</v>
      </c>
      <c r="B197" t="s">
        <v>421</v>
      </c>
      <c r="C197" t="s">
        <v>15</v>
      </c>
      <c r="D197" t="s">
        <v>38</v>
      </c>
      <c r="E197" s="23">
        <v>44283</v>
      </c>
      <c r="F197">
        <v>38184</v>
      </c>
      <c r="G197">
        <v>20</v>
      </c>
      <c r="H197" t="s">
        <v>17</v>
      </c>
      <c r="I197" t="s">
        <v>31</v>
      </c>
      <c r="J197">
        <v>3</v>
      </c>
      <c r="K197">
        <f>Table1[[#This Row],[Salary]]+(Table1[[#This Row],[Salary]]*(Table1[[#This Row],[Bonus %]]/100))</f>
        <v>45820.800000000003</v>
      </c>
      <c r="L197" t="str">
        <f t="shared" si="3"/>
        <v>Pass</v>
      </c>
    </row>
    <row r="198" spans="1:12" x14ac:dyDescent="0.45">
      <c r="A198" t="s">
        <v>422</v>
      </c>
      <c r="B198" t="s">
        <v>423</v>
      </c>
      <c r="C198" t="s">
        <v>25</v>
      </c>
      <c r="D198" t="s">
        <v>16</v>
      </c>
      <c r="E198" s="23">
        <v>44284</v>
      </c>
      <c r="F198">
        <v>128114</v>
      </c>
      <c r="G198">
        <v>5</v>
      </c>
      <c r="H198" t="s">
        <v>35</v>
      </c>
      <c r="I198" t="s">
        <v>22</v>
      </c>
      <c r="J198">
        <v>1</v>
      </c>
      <c r="K198">
        <f>Table1[[#This Row],[Salary]]+(Table1[[#This Row],[Salary]]*(Table1[[#This Row],[Bonus %]]/100))</f>
        <v>134519.70000000001</v>
      </c>
      <c r="L198" t="str">
        <f t="shared" si="3"/>
        <v>Fail</v>
      </c>
    </row>
    <row r="199" spans="1:12" x14ac:dyDescent="0.45">
      <c r="A199" t="s">
        <v>424</v>
      </c>
      <c r="B199" t="s">
        <v>425</v>
      </c>
      <c r="C199" t="s">
        <v>34</v>
      </c>
      <c r="D199" t="s">
        <v>16</v>
      </c>
      <c r="E199" s="23">
        <v>44285</v>
      </c>
      <c r="F199">
        <v>56058</v>
      </c>
      <c r="G199">
        <v>15</v>
      </c>
      <c r="H199" t="s">
        <v>35</v>
      </c>
      <c r="I199" t="s">
        <v>27</v>
      </c>
      <c r="J199">
        <v>28</v>
      </c>
      <c r="K199">
        <f>Table1[[#This Row],[Salary]]+(Table1[[#This Row],[Salary]]*(Table1[[#This Row],[Bonus %]]/100))</f>
        <v>64466.7</v>
      </c>
      <c r="L199" t="str">
        <f t="shared" si="3"/>
        <v>Fail</v>
      </c>
    </row>
    <row r="200" spans="1:12" x14ac:dyDescent="0.45">
      <c r="A200" t="s">
        <v>426</v>
      </c>
      <c r="B200" t="s">
        <v>427</v>
      </c>
      <c r="C200" t="s">
        <v>34</v>
      </c>
      <c r="D200" t="s">
        <v>26</v>
      </c>
      <c r="E200" s="23">
        <v>44286</v>
      </c>
      <c r="F200">
        <v>69618</v>
      </c>
      <c r="G200">
        <v>10</v>
      </c>
      <c r="H200" t="s">
        <v>17</v>
      </c>
      <c r="I200" t="s">
        <v>18</v>
      </c>
      <c r="J200">
        <v>2</v>
      </c>
      <c r="K200">
        <f>Table1[[#This Row],[Salary]]+(Table1[[#This Row],[Salary]]*(Table1[[#This Row],[Bonus %]]/100))</f>
        <v>76579.8</v>
      </c>
      <c r="L200" t="str">
        <f t="shared" si="3"/>
        <v>Pass</v>
      </c>
    </row>
    <row r="201" spans="1:12" x14ac:dyDescent="0.45">
      <c r="A201" t="s">
        <v>428</v>
      </c>
      <c r="B201" t="s">
        <v>429</v>
      </c>
      <c r="C201" t="s">
        <v>34</v>
      </c>
      <c r="D201" t="s">
        <v>38</v>
      </c>
      <c r="E201" s="23">
        <v>44287</v>
      </c>
      <c r="F201">
        <v>131810</v>
      </c>
      <c r="G201">
        <v>15</v>
      </c>
      <c r="H201" t="s">
        <v>17</v>
      </c>
      <c r="I201" t="s">
        <v>27</v>
      </c>
      <c r="J201">
        <v>28</v>
      </c>
      <c r="K201">
        <f>Table1[[#This Row],[Salary]]+(Table1[[#This Row],[Salary]]*(Table1[[#This Row],[Bonus %]]/100))</f>
        <v>151581.5</v>
      </c>
      <c r="L201" t="str">
        <f t="shared" si="3"/>
        <v>Pass</v>
      </c>
    </row>
    <row r="202" spans="1:12" x14ac:dyDescent="0.45">
      <c r="A202" t="s">
        <v>430</v>
      </c>
      <c r="B202" t="s">
        <v>431</v>
      </c>
      <c r="C202" t="s">
        <v>52</v>
      </c>
      <c r="D202" t="s">
        <v>16</v>
      </c>
      <c r="E202" s="23">
        <v>44288</v>
      </c>
      <c r="F202">
        <v>32566</v>
      </c>
      <c r="G202">
        <v>10</v>
      </c>
      <c r="H202" t="s">
        <v>30</v>
      </c>
      <c r="I202" t="s">
        <v>31</v>
      </c>
      <c r="J202">
        <v>16</v>
      </c>
      <c r="K202">
        <f>Table1[[#This Row],[Salary]]+(Table1[[#This Row],[Salary]]*(Table1[[#This Row],[Bonus %]]/100))</f>
        <v>35822.6</v>
      </c>
      <c r="L202" t="str">
        <f t="shared" si="3"/>
        <v>Pass</v>
      </c>
    </row>
    <row r="203" spans="1:12" x14ac:dyDescent="0.45">
      <c r="A203" t="s">
        <v>432</v>
      </c>
      <c r="B203" t="s">
        <v>433</v>
      </c>
      <c r="C203" t="s">
        <v>25</v>
      </c>
      <c r="D203" t="s">
        <v>16</v>
      </c>
      <c r="E203" s="23">
        <v>44289</v>
      </c>
      <c r="F203">
        <v>43399</v>
      </c>
      <c r="G203">
        <v>20</v>
      </c>
      <c r="H203" t="s">
        <v>17</v>
      </c>
      <c r="I203" t="s">
        <v>22</v>
      </c>
      <c r="J203">
        <v>30</v>
      </c>
      <c r="K203">
        <f>Table1[[#This Row],[Salary]]+(Table1[[#This Row],[Salary]]*(Table1[[#This Row],[Bonus %]]/100))</f>
        <v>52078.8</v>
      </c>
      <c r="L203" t="str">
        <f t="shared" si="3"/>
        <v>Pass</v>
      </c>
    </row>
    <row r="204" spans="1:12" x14ac:dyDescent="0.45">
      <c r="A204" t="s">
        <v>434</v>
      </c>
      <c r="B204" t="s">
        <v>435</v>
      </c>
      <c r="C204" t="s">
        <v>34</v>
      </c>
      <c r="D204" t="s">
        <v>26</v>
      </c>
      <c r="E204" s="23">
        <v>44290</v>
      </c>
      <c r="F204">
        <v>89364</v>
      </c>
      <c r="G204">
        <v>10</v>
      </c>
      <c r="H204" t="s">
        <v>17</v>
      </c>
      <c r="I204" t="s">
        <v>18</v>
      </c>
      <c r="J204">
        <v>25</v>
      </c>
      <c r="K204">
        <f>Table1[[#This Row],[Salary]]+(Table1[[#This Row],[Salary]]*(Table1[[#This Row],[Bonus %]]/100))</f>
        <v>98300.4</v>
      </c>
      <c r="L204" t="str">
        <f t="shared" si="3"/>
        <v>Pass</v>
      </c>
    </row>
    <row r="205" spans="1:12" x14ac:dyDescent="0.45">
      <c r="A205" t="s">
        <v>436</v>
      </c>
      <c r="B205" t="s">
        <v>437</v>
      </c>
      <c r="C205" t="s">
        <v>52</v>
      </c>
      <c r="D205" t="s">
        <v>16</v>
      </c>
      <c r="E205" s="23">
        <v>44291</v>
      </c>
      <c r="F205">
        <v>33211</v>
      </c>
      <c r="G205">
        <v>5</v>
      </c>
      <c r="H205" t="s">
        <v>35</v>
      </c>
      <c r="I205" t="s">
        <v>22</v>
      </c>
      <c r="J205">
        <v>11</v>
      </c>
      <c r="K205">
        <f>Table1[[#This Row],[Salary]]+(Table1[[#This Row],[Salary]]*(Table1[[#This Row],[Bonus %]]/100))</f>
        <v>34871.550000000003</v>
      </c>
      <c r="L205" t="str">
        <f t="shared" si="3"/>
        <v>Fail</v>
      </c>
    </row>
    <row r="206" spans="1:12" x14ac:dyDescent="0.45">
      <c r="A206" t="s">
        <v>438</v>
      </c>
      <c r="B206" t="s">
        <v>439</v>
      </c>
      <c r="C206" t="s">
        <v>15</v>
      </c>
      <c r="D206" t="s">
        <v>21</v>
      </c>
      <c r="E206" s="23">
        <v>44292</v>
      </c>
      <c r="F206">
        <v>66245</v>
      </c>
      <c r="G206">
        <v>15</v>
      </c>
      <c r="H206" t="s">
        <v>30</v>
      </c>
      <c r="I206" t="s">
        <v>27</v>
      </c>
      <c r="J206">
        <v>18</v>
      </c>
      <c r="K206">
        <f>Table1[[#This Row],[Salary]]+(Table1[[#This Row],[Salary]]*(Table1[[#This Row],[Bonus %]]/100))</f>
        <v>76181.75</v>
      </c>
      <c r="L206" t="str">
        <f t="shared" si="3"/>
        <v>Pass</v>
      </c>
    </row>
    <row r="207" spans="1:12" x14ac:dyDescent="0.45">
      <c r="A207" t="s">
        <v>440</v>
      </c>
      <c r="B207" t="s">
        <v>441</v>
      </c>
      <c r="C207" t="s">
        <v>25</v>
      </c>
      <c r="D207" t="s">
        <v>45</v>
      </c>
      <c r="E207" s="23">
        <v>44293</v>
      </c>
      <c r="F207">
        <v>96159</v>
      </c>
      <c r="G207">
        <v>5</v>
      </c>
      <c r="H207" t="s">
        <v>30</v>
      </c>
      <c r="I207" t="s">
        <v>22</v>
      </c>
      <c r="J207">
        <v>14</v>
      </c>
      <c r="K207">
        <f>Table1[[#This Row],[Salary]]+(Table1[[#This Row],[Salary]]*(Table1[[#This Row],[Bonus %]]/100))</f>
        <v>100966.95</v>
      </c>
      <c r="L207" t="str">
        <f t="shared" si="3"/>
        <v>Pass</v>
      </c>
    </row>
    <row r="208" spans="1:12" x14ac:dyDescent="0.45">
      <c r="A208" t="s">
        <v>442</v>
      </c>
      <c r="B208" t="s">
        <v>443</v>
      </c>
      <c r="C208" t="s">
        <v>59</v>
      </c>
      <c r="D208" t="s">
        <v>16</v>
      </c>
      <c r="E208" s="23">
        <v>44294</v>
      </c>
      <c r="F208">
        <v>148150</v>
      </c>
      <c r="G208">
        <v>5</v>
      </c>
      <c r="H208" t="s">
        <v>35</v>
      </c>
      <c r="I208" t="s">
        <v>18</v>
      </c>
      <c r="J208">
        <v>3</v>
      </c>
      <c r="K208">
        <f>Table1[[#This Row],[Salary]]+(Table1[[#This Row],[Salary]]*(Table1[[#This Row],[Bonus %]]/100))</f>
        <v>155557.5</v>
      </c>
      <c r="L208" t="str">
        <f t="shared" si="3"/>
        <v>Fail</v>
      </c>
    </row>
    <row r="209" spans="1:12" x14ac:dyDescent="0.45">
      <c r="A209" t="s">
        <v>444</v>
      </c>
      <c r="B209" t="s">
        <v>445</v>
      </c>
      <c r="C209" t="s">
        <v>52</v>
      </c>
      <c r="D209" t="s">
        <v>38</v>
      </c>
      <c r="E209" s="23">
        <v>44295</v>
      </c>
      <c r="F209">
        <v>107013</v>
      </c>
      <c r="G209">
        <v>15</v>
      </c>
      <c r="H209" t="s">
        <v>35</v>
      </c>
      <c r="I209" t="s">
        <v>18</v>
      </c>
      <c r="J209">
        <v>7</v>
      </c>
      <c r="K209">
        <f>Table1[[#This Row],[Salary]]+(Table1[[#This Row],[Salary]]*(Table1[[#This Row],[Bonus %]]/100))</f>
        <v>123064.95</v>
      </c>
      <c r="L209" t="str">
        <f t="shared" si="3"/>
        <v>Fail</v>
      </c>
    </row>
    <row r="210" spans="1:12" x14ac:dyDescent="0.45">
      <c r="A210" t="s">
        <v>446</v>
      </c>
      <c r="B210" t="s">
        <v>447</v>
      </c>
      <c r="C210" t="s">
        <v>15</v>
      </c>
      <c r="D210" t="s">
        <v>38</v>
      </c>
      <c r="E210" s="23">
        <v>44296</v>
      </c>
      <c r="F210">
        <v>123974</v>
      </c>
      <c r="G210">
        <v>15</v>
      </c>
      <c r="H210" t="s">
        <v>17</v>
      </c>
      <c r="I210" t="s">
        <v>27</v>
      </c>
      <c r="J210">
        <v>15</v>
      </c>
      <c r="K210">
        <f>Table1[[#This Row],[Salary]]+(Table1[[#This Row],[Salary]]*(Table1[[#This Row],[Bonus %]]/100))</f>
        <v>142570.1</v>
      </c>
      <c r="L210" t="str">
        <f t="shared" si="3"/>
        <v>Pass</v>
      </c>
    </row>
    <row r="211" spans="1:12" x14ac:dyDescent="0.45">
      <c r="A211" t="s">
        <v>448</v>
      </c>
      <c r="B211" t="s">
        <v>449</v>
      </c>
      <c r="C211" t="s">
        <v>34</v>
      </c>
      <c r="D211" t="s">
        <v>16</v>
      </c>
      <c r="E211" s="23">
        <v>44297</v>
      </c>
      <c r="F211">
        <v>118889</v>
      </c>
      <c r="G211">
        <v>20</v>
      </c>
      <c r="H211" t="s">
        <v>17</v>
      </c>
      <c r="I211" t="s">
        <v>18</v>
      </c>
      <c r="J211">
        <v>15</v>
      </c>
      <c r="K211">
        <f>Table1[[#This Row],[Salary]]+(Table1[[#This Row],[Salary]]*(Table1[[#This Row],[Bonus %]]/100))</f>
        <v>142666.79999999999</v>
      </c>
      <c r="L211" t="str">
        <f t="shared" si="3"/>
        <v>Pass</v>
      </c>
    </row>
    <row r="212" spans="1:12" x14ac:dyDescent="0.45">
      <c r="A212" t="s">
        <v>450</v>
      </c>
      <c r="B212" t="s">
        <v>451</v>
      </c>
      <c r="C212" t="s">
        <v>25</v>
      </c>
      <c r="D212" t="s">
        <v>45</v>
      </c>
      <c r="E212" s="23">
        <v>44298</v>
      </c>
      <c r="F212">
        <v>83147</v>
      </c>
      <c r="G212">
        <v>5</v>
      </c>
      <c r="H212" t="s">
        <v>17</v>
      </c>
      <c r="I212" t="s">
        <v>22</v>
      </c>
      <c r="J212">
        <v>14</v>
      </c>
      <c r="K212">
        <f>Table1[[#This Row],[Salary]]+(Table1[[#This Row],[Salary]]*(Table1[[#This Row],[Bonus %]]/100))</f>
        <v>87304.35</v>
      </c>
      <c r="L212" t="str">
        <f t="shared" si="3"/>
        <v>Pass</v>
      </c>
    </row>
    <row r="213" spans="1:12" x14ac:dyDescent="0.45">
      <c r="A213" t="s">
        <v>452</v>
      </c>
      <c r="B213" t="s">
        <v>453</v>
      </c>
      <c r="C213" t="s">
        <v>34</v>
      </c>
      <c r="D213" t="s">
        <v>45</v>
      </c>
      <c r="E213" s="23">
        <v>44299</v>
      </c>
      <c r="F213">
        <v>54757</v>
      </c>
      <c r="G213">
        <v>15</v>
      </c>
      <c r="H213" t="s">
        <v>30</v>
      </c>
      <c r="I213" t="s">
        <v>31</v>
      </c>
      <c r="J213">
        <v>13</v>
      </c>
      <c r="K213">
        <f>Table1[[#This Row],[Salary]]+(Table1[[#This Row],[Salary]]*(Table1[[#This Row],[Bonus %]]/100))</f>
        <v>62970.55</v>
      </c>
      <c r="L213" t="str">
        <f t="shared" si="3"/>
        <v>Pass</v>
      </c>
    </row>
    <row r="214" spans="1:12" x14ac:dyDescent="0.45">
      <c r="A214" t="s">
        <v>454</v>
      </c>
      <c r="B214" t="s">
        <v>455</v>
      </c>
      <c r="C214" t="s">
        <v>25</v>
      </c>
      <c r="D214" t="s">
        <v>26</v>
      </c>
      <c r="E214" s="23">
        <v>44300</v>
      </c>
      <c r="F214">
        <v>65812</v>
      </c>
      <c r="G214">
        <v>15</v>
      </c>
      <c r="H214" t="s">
        <v>17</v>
      </c>
      <c r="I214" t="s">
        <v>18</v>
      </c>
      <c r="J214">
        <v>6</v>
      </c>
      <c r="K214">
        <f>Table1[[#This Row],[Salary]]+(Table1[[#This Row],[Salary]]*(Table1[[#This Row],[Bonus %]]/100))</f>
        <v>75683.8</v>
      </c>
      <c r="L214" t="str">
        <f t="shared" si="3"/>
        <v>Pass</v>
      </c>
    </row>
    <row r="215" spans="1:12" x14ac:dyDescent="0.45">
      <c r="A215" t="s">
        <v>456</v>
      </c>
      <c r="B215" t="s">
        <v>457</v>
      </c>
      <c r="C215" t="s">
        <v>34</v>
      </c>
      <c r="D215" t="s">
        <v>26</v>
      </c>
      <c r="E215" s="23">
        <v>44301</v>
      </c>
      <c r="F215">
        <v>113424</v>
      </c>
      <c r="G215">
        <v>15</v>
      </c>
      <c r="H215" t="s">
        <v>17</v>
      </c>
      <c r="I215" t="s">
        <v>18</v>
      </c>
      <c r="J215">
        <v>11</v>
      </c>
      <c r="K215">
        <f>Table1[[#This Row],[Salary]]+(Table1[[#This Row],[Salary]]*(Table1[[#This Row],[Bonus %]]/100))</f>
        <v>130437.6</v>
      </c>
      <c r="L215" t="str">
        <f t="shared" si="3"/>
        <v>Pass</v>
      </c>
    </row>
    <row r="216" spans="1:12" x14ac:dyDescent="0.45">
      <c r="A216" t="s">
        <v>458</v>
      </c>
      <c r="B216" t="s">
        <v>459</v>
      </c>
      <c r="C216" t="s">
        <v>15</v>
      </c>
      <c r="D216" t="s">
        <v>45</v>
      </c>
      <c r="E216" s="23">
        <v>44302</v>
      </c>
      <c r="F216">
        <v>31660</v>
      </c>
      <c r="G216">
        <v>10</v>
      </c>
      <c r="H216" t="s">
        <v>30</v>
      </c>
      <c r="I216" t="s">
        <v>31</v>
      </c>
      <c r="J216">
        <v>2</v>
      </c>
      <c r="K216">
        <f>Table1[[#This Row],[Salary]]+(Table1[[#This Row],[Salary]]*(Table1[[#This Row],[Bonus %]]/100))</f>
        <v>34826</v>
      </c>
      <c r="L216" t="str">
        <f t="shared" si="3"/>
        <v>Pass</v>
      </c>
    </row>
    <row r="217" spans="1:12" x14ac:dyDescent="0.45">
      <c r="A217" t="s">
        <v>460</v>
      </c>
      <c r="B217" t="s">
        <v>461</v>
      </c>
      <c r="C217" t="s">
        <v>59</v>
      </c>
      <c r="D217" t="s">
        <v>21</v>
      </c>
      <c r="E217" s="23">
        <v>44303</v>
      </c>
      <c r="F217">
        <v>101698</v>
      </c>
      <c r="G217">
        <v>20</v>
      </c>
      <c r="H217" t="s">
        <v>35</v>
      </c>
      <c r="I217" t="s">
        <v>27</v>
      </c>
      <c r="J217">
        <v>8</v>
      </c>
      <c r="K217">
        <f>Table1[[#This Row],[Salary]]+(Table1[[#This Row],[Salary]]*(Table1[[#This Row],[Bonus %]]/100))</f>
        <v>122037.6</v>
      </c>
      <c r="L217" t="str">
        <f t="shared" si="3"/>
        <v>Fail</v>
      </c>
    </row>
    <row r="218" spans="1:12" x14ac:dyDescent="0.45">
      <c r="A218" t="s">
        <v>462</v>
      </c>
      <c r="B218" t="s">
        <v>463</v>
      </c>
      <c r="C218" t="s">
        <v>25</v>
      </c>
      <c r="D218" t="s">
        <v>21</v>
      </c>
      <c r="E218" s="23">
        <v>44304</v>
      </c>
      <c r="F218">
        <v>44528</v>
      </c>
      <c r="G218">
        <v>20</v>
      </c>
      <c r="H218" t="s">
        <v>17</v>
      </c>
      <c r="I218" t="s">
        <v>27</v>
      </c>
      <c r="J218">
        <v>30</v>
      </c>
      <c r="K218">
        <f>Table1[[#This Row],[Salary]]+(Table1[[#This Row],[Salary]]*(Table1[[#This Row],[Bonus %]]/100))</f>
        <v>53433.599999999999</v>
      </c>
      <c r="L218" t="str">
        <f t="shared" si="3"/>
        <v>Pass</v>
      </c>
    </row>
    <row r="219" spans="1:12" x14ac:dyDescent="0.45">
      <c r="A219" t="s">
        <v>464</v>
      </c>
      <c r="B219" t="s">
        <v>465</v>
      </c>
      <c r="C219" t="s">
        <v>25</v>
      </c>
      <c r="D219" t="s">
        <v>38</v>
      </c>
      <c r="E219" s="23">
        <v>44305</v>
      </c>
      <c r="F219">
        <v>70263</v>
      </c>
      <c r="G219">
        <v>10</v>
      </c>
      <c r="H219" t="s">
        <v>30</v>
      </c>
      <c r="I219" t="s">
        <v>18</v>
      </c>
      <c r="J219">
        <v>2</v>
      </c>
      <c r="K219">
        <f>Table1[[#This Row],[Salary]]+(Table1[[#This Row],[Salary]]*(Table1[[#This Row],[Bonus %]]/100))</f>
        <v>77289.3</v>
      </c>
      <c r="L219" t="str">
        <f t="shared" si="3"/>
        <v>Pass</v>
      </c>
    </row>
    <row r="220" spans="1:12" x14ac:dyDescent="0.45">
      <c r="A220" t="s">
        <v>466</v>
      </c>
      <c r="B220" t="s">
        <v>467</v>
      </c>
      <c r="C220" t="s">
        <v>52</v>
      </c>
      <c r="D220" t="s">
        <v>26</v>
      </c>
      <c r="E220" s="23">
        <v>44306</v>
      </c>
      <c r="F220">
        <v>38363</v>
      </c>
      <c r="G220">
        <v>20</v>
      </c>
      <c r="H220" t="s">
        <v>30</v>
      </c>
      <c r="I220" t="s">
        <v>22</v>
      </c>
      <c r="J220">
        <v>6</v>
      </c>
      <c r="K220">
        <f>Table1[[#This Row],[Salary]]+(Table1[[#This Row],[Salary]]*(Table1[[#This Row],[Bonus %]]/100))</f>
        <v>46035.6</v>
      </c>
      <c r="L220" t="str">
        <f t="shared" si="3"/>
        <v>Pass</v>
      </c>
    </row>
    <row r="221" spans="1:12" x14ac:dyDescent="0.45">
      <c r="A221" t="s">
        <v>468</v>
      </c>
      <c r="B221" t="s">
        <v>469</v>
      </c>
      <c r="C221" t="s">
        <v>34</v>
      </c>
      <c r="D221" t="s">
        <v>38</v>
      </c>
      <c r="E221" s="23">
        <v>44307</v>
      </c>
      <c r="F221">
        <v>101622</v>
      </c>
      <c r="G221">
        <v>15</v>
      </c>
      <c r="H221" t="s">
        <v>35</v>
      </c>
      <c r="I221" t="s">
        <v>27</v>
      </c>
      <c r="J221">
        <v>19</v>
      </c>
      <c r="K221">
        <f>Table1[[#This Row],[Salary]]+(Table1[[#This Row],[Salary]]*(Table1[[#This Row],[Bonus %]]/100))</f>
        <v>116865.3</v>
      </c>
      <c r="L221" t="str">
        <f t="shared" si="3"/>
        <v>Fail</v>
      </c>
    </row>
    <row r="222" spans="1:12" x14ac:dyDescent="0.45">
      <c r="A222" t="s">
        <v>470</v>
      </c>
      <c r="B222" t="s">
        <v>471</v>
      </c>
      <c r="C222" t="s">
        <v>59</v>
      </c>
      <c r="D222" t="s">
        <v>21</v>
      </c>
      <c r="E222" s="23">
        <v>44308</v>
      </c>
      <c r="F222">
        <v>125168</v>
      </c>
      <c r="G222">
        <v>5</v>
      </c>
      <c r="H222" t="s">
        <v>35</v>
      </c>
      <c r="I222" t="s">
        <v>31</v>
      </c>
      <c r="J222">
        <v>18</v>
      </c>
      <c r="K222">
        <f>Table1[[#This Row],[Salary]]+(Table1[[#This Row],[Salary]]*(Table1[[#This Row],[Bonus %]]/100))</f>
        <v>131426.4</v>
      </c>
      <c r="L222" t="str">
        <f t="shared" si="3"/>
        <v>Fail</v>
      </c>
    </row>
    <row r="223" spans="1:12" x14ac:dyDescent="0.45">
      <c r="A223" t="s">
        <v>472</v>
      </c>
      <c r="B223" t="s">
        <v>473</v>
      </c>
      <c r="C223" t="s">
        <v>59</v>
      </c>
      <c r="D223" t="s">
        <v>26</v>
      </c>
      <c r="E223" s="23">
        <v>44309</v>
      </c>
      <c r="F223">
        <v>84618</v>
      </c>
      <c r="G223">
        <v>15</v>
      </c>
      <c r="H223" t="s">
        <v>35</v>
      </c>
      <c r="I223" t="s">
        <v>31</v>
      </c>
      <c r="J223">
        <v>2</v>
      </c>
      <c r="K223">
        <f>Table1[[#This Row],[Salary]]+(Table1[[#This Row],[Salary]]*(Table1[[#This Row],[Bonus %]]/100))</f>
        <v>97310.7</v>
      </c>
      <c r="L223" t="str">
        <f t="shared" si="3"/>
        <v>Fail</v>
      </c>
    </row>
    <row r="224" spans="1:12" x14ac:dyDescent="0.45">
      <c r="A224" t="s">
        <v>474</v>
      </c>
      <c r="B224" t="s">
        <v>475</v>
      </c>
      <c r="C224" t="s">
        <v>52</v>
      </c>
      <c r="D224" t="s">
        <v>26</v>
      </c>
      <c r="E224" s="23">
        <v>44310</v>
      </c>
      <c r="F224">
        <v>114767</v>
      </c>
      <c r="G224">
        <v>20</v>
      </c>
      <c r="H224" t="s">
        <v>17</v>
      </c>
      <c r="I224" t="s">
        <v>31</v>
      </c>
      <c r="J224">
        <v>11</v>
      </c>
      <c r="K224">
        <f>Table1[[#This Row],[Salary]]+(Table1[[#This Row],[Salary]]*(Table1[[#This Row],[Bonus %]]/100))</f>
        <v>137720.4</v>
      </c>
      <c r="L224" t="str">
        <f t="shared" si="3"/>
        <v>Pass</v>
      </c>
    </row>
    <row r="225" spans="1:12" x14ac:dyDescent="0.45">
      <c r="A225" t="s">
        <v>476</v>
      </c>
      <c r="B225" t="s">
        <v>477</v>
      </c>
      <c r="C225" t="s">
        <v>25</v>
      </c>
      <c r="D225" t="s">
        <v>45</v>
      </c>
      <c r="E225" s="23">
        <v>44311</v>
      </c>
      <c r="F225">
        <v>80251</v>
      </c>
      <c r="G225">
        <v>5</v>
      </c>
      <c r="H225" t="s">
        <v>17</v>
      </c>
      <c r="I225" t="s">
        <v>31</v>
      </c>
      <c r="J225">
        <v>28</v>
      </c>
      <c r="K225">
        <f>Table1[[#This Row],[Salary]]+(Table1[[#This Row],[Salary]]*(Table1[[#This Row],[Bonus %]]/100))</f>
        <v>84263.55</v>
      </c>
      <c r="L225" t="str">
        <f t="shared" si="3"/>
        <v>Pass</v>
      </c>
    </row>
    <row r="226" spans="1:12" x14ac:dyDescent="0.45">
      <c r="A226" t="s">
        <v>478</v>
      </c>
      <c r="B226" t="s">
        <v>479</v>
      </c>
      <c r="C226" t="s">
        <v>34</v>
      </c>
      <c r="D226" t="s">
        <v>21</v>
      </c>
      <c r="E226" s="23">
        <v>44312</v>
      </c>
      <c r="F226">
        <v>53242</v>
      </c>
      <c r="G226">
        <v>10</v>
      </c>
      <c r="H226" t="s">
        <v>35</v>
      </c>
      <c r="I226" t="s">
        <v>22</v>
      </c>
      <c r="J226">
        <v>18</v>
      </c>
      <c r="K226">
        <f>Table1[[#This Row],[Salary]]+(Table1[[#This Row],[Salary]]*(Table1[[#This Row],[Bonus %]]/100))</f>
        <v>58566.2</v>
      </c>
      <c r="L226" t="str">
        <f t="shared" si="3"/>
        <v>Fail</v>
      </c>
    </row>
    <row r="227" spans="1:12" x14ac:dyDescent="0.45">
      <c r="A227" t="s">
        <v>480</v>
      </c>
      <c r="B227" t="s">
        <v>481</v>
      </c>
      <c r="C227" t="s">
        <v>52</v>
      </c>
      <c r="D227" t="s">
        <v>26</v>
      </c>
      <c r="E227" s="23">
        <v>44313</v>
      </c>
      <c r="F227">
        <v>149346</v>
      </c>
      <c r="G227">
        <v>5</v>
      </c>
      <c r="H227" t="s">
        <v>30</v>
      </c>
      <c r="I227" t="s">
        <v>18</v>
      </c>
      <c r="J227">
        <v>5</v>
      </c>
      <c r="K227">
        <f>Table1[[#This Row],[Salary]]+(Table1[[#This Row],[Salary]]*(Table1[[#This Row],[Bonus %]]/100))</f>
        <v>156813.29999999999</v>
      </c>
      <c r="L227" t="str">
        <f t="shared" si="3"/>
        <v>Pass</v>
      </c>
    </row>
    <row r="228" spans="1:12" x14ac:dyDescent="0.45">
      <c r="A228" t="s">
        <v>482</v>
      </c>
      <c r="B228" t="s">
        <v>483</v>
      </c>
      <c r="C228" t="s">
        <v>25</v>
      </c>
      <c r="D228" t="s">
        <v>21</v>
      </c>
      <c r="E228" s="23">
        <v>44314</v>
      </c>
      <c r="F228">
        <v>45801</v>
      </c>
      <c r="G228">
        <v>20</v>
      </c>
      <c r="H228" t="s">
        <v>30</v>
      </c>
      <c r="I228" t="s">
        <v>22</v>
      </c>
      <c r="J228">
        <v>16</v>
      </c>
      <c r="K228">
        <f>Table1[[#This Row],[Salary]]+(Table1[[#This Row],[Salary]]*(Table1[[#This Row],[Bonus %]]/100))</f>
        <v>54961.2</v>
      </c>
      <c r="L228" t="str">
        <f t="shared" si="3"/>
        <v>Pass</v>
      </c>
    </row>
    <row r="229" spans="1:12" x14ac:dyDescent="0.45">
      <c r="A229" t="s">
        <v>484</v>
      </c>
      <c r="B229" t="s">
        <v>485</v>
      </c>
      <c r="C229" t="s">
        <v>15</v>
      </c>
      <c r="D229" t="s">
        <v>16</v>
      </c>
      <c r="E229" s="23">
        <v>44315</v>
      </c>
      <c r="F229">
        <v>50657</v>
      </c>
      <c r="G229">
        <v>15</v>
      </c>
      <c r="H229" t="s">
        <v>30</v>
      </c>
      <c r="I229" t="s">
        <v>22</v>
      </c>
      <c r="J229">
        <v>8</v>
      </c>
      <c r="K229">
        <f>Table1[[#This Row],[Salary]]+(Table1[[#This Row],[Salary]]*(Table1[[#This Row],[Bonus %]]/100))</f>
        <v>58255.55</v>
      </c>
      <c r="L229" t="str">
        <f t="shared" si="3"/>
        <v>Pass</v>
      </c>
    </row>
    <row r="230" spans="1:12" x14ac:dyDescent="0.45">
      <c r="A230" t="s">
        <v>486</v>
      </c>
      <c r="B230" t="s">
        <v>487</v>
      </c>
      <c r="C230" t="s">
        <v>59</v>
      </c>
      <c r="D230" t="s">
        <v>21</v>
      </c>
      <c r="E230" s="23">
        <v>44316</v>
      </c>
      <c r="F230">
        <v>46628</v>
      </c>
      <c r="G230">
        <v>5</v>
      </c>
      <c r="H230" t="s">
        <v>30</v>
      </c>
      <c r="I230" t="s">
        <v>31</v>
      </c>
      <c r="J230">
        <v>24</v>
      </c>
      <c r="K230">
        <f>Table1[[#This Row],[Salary]]+(Table1[[#This Row],[Salary]]*(Table1[[#This Row],[Bonus %]]/100))</f>
        <v>48959.4</v>
      </c>
      <c r="L230" t="str">
        <f t="shared" si="3"/>
        <v>Pass</v>
      </c>
    </row>
    <row r="231" spans="1:12" x14ac:dyDescent="0.45">
      <c r="A231" t="s">
        <v>488</v>
      </c>
      <c r="B231" t="s">
        <v>489</v>
      </c>
      <c r="C231" t="s">
        <v>52</v>
      </c>
      <c r="D231" t="s">
        <v>21</v>
      </c>
      <c r="E231" s="23">
        <v>44317</v>
      </c>
      <c r="F231">
        <v>72530</v>
      </c>
      <c r="G231">
        <v>5</v>
      </c>
      <c r="H231" t="s">
        <v>17</v>
      </c>
      <c r="I231" t="s">
        <v>27</v>
      </c>
      <c r="J231">
        <v>19</v>
      </c>
      <c r="K231">
        <f>Table1[[#This Row],[Salary]]+(Table1[[#This Row],[Salary]]*(Table1[[#This Row],[Bonus %]]/100))</f>
        <v>76156.5</v>
      </c>
      <c r="L231" t="str">
        <f t="shared" si="3"/>
        <v>Pass</v>
      </c>
    </row>
    <row r="232" spans="1:12" x14ac:dyDescent="0.45">
      <c r="A232" t="s">
        <v>490</v>
      </c>
      <c r="B232" t="s">
        <v>491</v>
      </c>
      <c r="C232" t="s">
        <v>52</v>
      </c>
      <c r="D232" t="s">
        <v>21</v>
      </c>
      <c r="E232" s="23">
        <v>44318</v>
      </c>
      <c r="F232">
        <v>34401</v>
      </c>
      <c r="G232">
        <v>10</v>
      </c>
      <c r="H232" t="s">
        <v>17</v>
      </c>
      <c r="I232" t="s">
        <v>18</v>
      </c>
      <c r="J232">
        <v>24</v>
      </c>
      <c r="K232">
        <f>Table1[[#This Row],[Salary]]+(Table1[[#This Row],[Salary]]*(Table1[[#This Row],[Bonus %]]/100))</f>
        <v>37841.1</v>
      </c>
      <c r="L232" t="str">
        <f t="shared" si="3"/>
        <v>Pass</v>
      </c>
    </row>
    <row r="233" spans="1:12" x14ac:dyDescent="0.45">
      <c r="A233" t="s">
        <v>492</v>
      </c>
      <c r="B233" t="s">
        <v>493</v>
      </c>
      <c r="C233" t="s">
        <v>52</v>
      </c>
      <c r="D233" t="s">
        <v>38</v>
      </c>
      <c r="E233" s="23">
        <v>44319</v>
      </c>
      <c r="F233">
        <v>106097</v>
      </c>
      <c r="G233">
        <v>10</v>
      </c>
      <c r="H233" t="s">
        <v>30</v>
      </c>
      <c r="I233" t="s">
        <v>31</v>
      </c>
      <c r="J233">
        <v>8</v>
      </c>
      <c r="K233">
        <f>Table1[[#This Row],[Salary]]+(Table1[[#This Row],[Salary]]*(Table1[[#This Row],[Bonus %]]/100))</f>
        <v>116706.7</v>
      </c>
      <c r="L233" t="str">
        <f t="shared" si="3"/>
        <v>Pass</v>
      </c>
    </row>
    <row r="234" spans="1:12" x14ac:dyDescent="0.45">
      <c r="A234" t="s">
        <v>494</v>
      </c>
      <c r="B234" t="s">
        <v>495</v>
      </c>
      <c r="C234" t="s">
        <v>34</v>
      </c>
      <c r="D234" t="s">
        <v>26</v>
      </c>
      <c r="E234" s="23">
        <v>44320</v>
      </c>
      <c r="F234">
        <v>34541</v>
      </c>
      <c r="G234">
        <v>20</v>
      </c>
      <c r="H234" t="s">
        <v>17</v>
      </c>
      <c r="I234" t="s">
        <v>31</v>
      </c>
      <c r="J234">
        <v>10</v>
      </c>
      <c r="K234">
        <f>Table1[[#This Row],[Salary]]+(Table1[[#This Row],[Salary]]*(Table1[[#This Row],[Bonus %]]/100))</f>
        <v>41449.199999999997</v>
      </c>
      <c r="L234" t="str">
        <f t="shared" si="3"/>
        <v>Pass</v>
      </c>
    </row>
    <row r="235" spans="1:12" x14ac:dyDescent="0.45">
      <c r="A235" t="s">
        <v>496</v>
      </c>
      <c r="B235" t="s">
        <v>497</v>
      </c>
      <c r="C235" t="s">
        <v>15</v>
      </c>
      <c r="D235" t="s">
        <v>16</v>
      </c>
      <c r="E235" s="23">
        <v>44321</v>
      </c>
      <c r="F235">
        <v>69771</v>
      </c>
      <c r="G235">
        <v>10</v>
      </c>
      <c r="H235" t="s">
        <v>30</v>
      </c>
      <c r="I235" t="s">
        <v>22</v>
      </c>
      <c r="J235">
        <v>8</v>
      </c>
      <c r="K235">
        <f>Table1[[#This Row],[Salary]]+(Table1[[#This Row],[Salary]]*(Table1[[#This Row],[Bonus %]]/100))</f>
        <v>76748.100000000006</v>
      </c>
      <c r="L235" t="str">
        <f t="shared" si="3"/>
        <v>Pass</v>
      </c>
    </row>
    <row r="236" spans="1:12" x14ac:dyDescent="0.45">
      <c r="A236" t="s">
        <v>498</v>
      </c>
      <c r="B236" t="s">
        <v>499</v>
      </c>
      <c r="C236" t="s">
        <v>52</v>
      </c>
      <c r="D236" t="s">
        <v>21</v>
      </c>
      <c r="E236" s="23">
        <v>44322</v>
      </c>
      <c r="F236">
        <v>111897</v>
      </c>
      <c r="G236">
        <v>20</v>
      </c>
      <c r="H236" t="s">
        <v>17</v>
      </c>
      <c r="I236" t="s">
        <v>31</v>
      </c>
      <c r="J236">
        <v>17</v>
      </c>
      <c r="K236">
        <f>Table1[[#This Row],[Salary]]+(Table1[[#This Row],[Salary]]*(Table1[[#This Row],[Bonus %]]/100))</f>
        <v>134276.4</v>
      </c>
      <c r="L236" t="str">
        <f t="shared" si="3"/>
        <v>Pass</v>
      </c>
    </row>
    <row r="237" spans="1:12" x14ac:dyDescent="0.45">
      <c r="A237" t="s">
        <v>500</v>
      </c>
      <c r="B237" t="s">
        <v>501</v>
      </c>
      <c r="C237" t="s">
        <v>34</v>
      </c>
      <c r="D237" t="s">
        <v>21</v>
      </c>
      <c r="E237" s="23">
        <v>44323</v>
      </c>
      <c r="F237">
        <v>44955</v>
      </c>
      <c r="G237">
        <v>5</v>
      </c>
      <c r="H237" t="s">
        <v>30</v>
      </c>
      <c r="I237" t="s">
        <v>27</v>
      </c>
      <c r="J237">
        <v>12</v>
      </c>
      <c r="K237">
        <f>Table1[[#This Row],[Salary]]+(Table1[[#This Row],[Salary]]*(Table1[[#This Row],[Bonus %]]/100))</f>
        <v>47202.75</v>
      </c>
      <c r="L237" t="str">
        <f t="shared" si="3"/>
        <v>Pass</v>
      </c>
    </row>
    <row r="238" spans="1:12" x14ac:dyDescent="0.45">
      <c r="A238" t="s">
        <v>502</v>
      </c>
      <c r="B238" t="s">
        <v>503</v>
      </c>
      <c r="C238" t="s">
        <v>34</v>
      </c>
      <c r="D238" t="s">
        <v>21</v>
      </c>
      <c r="E238" s="23">
        <v>44324</v>
      </c>
      <c r="F238">
        <v>107200</v>
      </c>
      <c r="G238">
        <v>20</v>
      </c>
      <c r="H238" t="s">
        <v>17</v>
      </c>
      <c r="I238" t="s">
        <v>18</v>
      </c>
      <c r="J238">
        <v>7</v>
      </c>
      <c r="K238">
        <f>Table1[[#This Row],[Salary]]+(Table1[[#This Row],[Salary]]*(Table1[[#This Row],[Bonus %]]/100))</f>
        <v>128640</v>
      </c>
      <c r="L238" t="str">
        <f t="shared" si="3"/>
        <v>Pass</v>
      </c>
    </row>
    <row r="239" spans="1:12" x14ac:dyDescent="0.45">
      <c r="A239" t="s">
        <v>504</v>
      </c>
      <c r="B239" t="s">
        <v>505</v>
      </c>
      <c r="C239" t="s">
        <v>34</v>
      </c>
      <c r="D239" t="s">
        <v>16</v>
      </c>
      <c r="E239" s="23">
        <v>44325</v>
      </c>
      <c r="F239">
        <v>107455</v>
      </c>
      <c r="G239">
        <v>5</v>
      </c>
      <c r="H239" t="s">
        <v>35</v>
      </c>
      <c r="I239" t="s">
        <v>27</v>
      </c>
      <c r="J239">
        <v>19</v>
      </c>
      <c r="K239">
        <f>Table1[[#This Row],[Salary]]+(Table1[[#This Row],[Salary]]*(Table1[[#This Row],[Bonus %]]/100))</f>
        <v>112827.75</v>
      </c>
      <c r="L239" t="str">
        <f t="shared" si="3"/>
        <v>Fail</v>
      </c>
    </row>
    <row r="240" spans="1:12" x14ac:dyDescent="0.45">
      <c r="A240" t="s">
        <v>506</v>
      </c>
      <c r="B240" t="s">
        <v>507</v>
      </c>
      <c r="C240" t="s">
        <v>15</v>
      </c>
      <c r="D240" t="s">
        <v>26</v>
      </c>
      <c r="E240" s="23">
        <v>44326</v>
      </c>
      <c r="F240">
        <v>57550</v>
      </c>
      <c r="G240">
        <v>5</v>
      </c>
      <c r="H240" t="s">
        <v>35</v>
      </c>
      <c r="I240" t="s">
        <v>31</v>
      </c>
      <c r="J240">
        <v>2</v>
      </c>
      <c r="K240">
        <f>Table1[[#This Row],[Salary]]+(Table1[[#This Row],[Salary]]*(Table1[[#This Row],[Bonus %]]/100))</f>
        <v>60427.5</v>
      </c>
      <c r="L240" t="str">
        <f t="shared" si="3"/>
        <v>Fail</v>
      </c>
    </row>
    <row r="241" spans="1:12" x14ac:dyDescent="0.45">
      <c r="A241" t="s">
        <v>508</v>
      </c>
      <c r="B241" t="s">
        <v>509</v>
      </c>
      <c r="C241" t="s">
        <v>52</v>
      </c>
      <c r="D241" t="s">
        <v>38</v>
      </c>
      <c r="E241" s="23">
        <v>44327</v>
      </c>
      <c r="F241">
        <v>43015</v>
      </c>
      <c r="G241">
        <v>10</v>
      </c>
      <c r="H241" t="s">
        <v>35</v>
      </c>
      <c r="I241" t="s">
        <v>22</v>
      </c>
      <c r="J241">
        <v>5</v>
      </c>
      <c r="K241">
        <f>Table1[[#This Row],[Salary]]+(Table1[[#This Row],[Salary]]*(Table1[[#This Row],[Bonus %]]/100))</f>
        <v>47316.5</v>
      </c>
      <c r="L241" t="str">
        <f t="shared" si="3"/>
        <v>Fail</v>
      </c>
    </row>
    <row r="242" spans="1:12" x14ac:dyDescent="0.45">
      <c r="A242" t="s">
        <v>510</v>
      </c>
      <c r="B242" t="s">
        <v>511</v>
      </c>
      <c r="C242" t="s">
        <v>34</v>
      </c>
      <c r="D242" t="s">
        <v>21</v>
      </c>
      <c r="E242" s="23">
        <v>44328</v>
      </c>
      <c r="F242">
        <v>67290</v>
      </c>
      <c r="G242">
        <v>15</v>
      </c>
      <c r="H242" t="s">
        <v>35</v>
      </c>
      <c r="I242" t="s">
        <v>27</v>
      </c>
      <c r="J242">
        <v>0</v>
      </c>
      <c r="K242">
        <f>Table1[[#This Row],[Salary]]+(Table1[[#This Row],[Salary]]*(Table1[[#This Row],[Bonus %]]/100))</f>
        <v>77383.5</v>
      </c>
      <c r="L242" t="str">
        <f t="shared" si="3"/>
        <v>Fail</v>
      </c>
    </row>
    <row r="243" spans="1:12" x14ac:dyDescent="0.45">
      <c r="A243" t="s">
        <v>512</v>
      </c>
      <c r="B243" t="s">
        <v>513</v>
      </c>
      <c r="C243" t="s">
        <v>34</v>
      </c>
      <c r="D243" t="s">
        <v>21</v>
      </c>
      <c r="E243" s="23">
        <v>44329</v>
      </c>
      <c r="F243">
        <v>71918</v>
      </c>
      <c r="G243">
        <v>10</v>
      </c>
      <c r="H243" t="s">
        <v>35</v>
      </c>
      <c r="I243" t="s">
        <v>18</v>
      </c>
      <c r="J243">
        <v>23</v>
      </c>
      <c r="K243">
        <f>Table1[[#This Row],[Salary]]+(Table1[[#This Row],[Salary]]*(Table1[[#This Row],[Bonus %]]/100))</f>
        <v>79109.8</v>
      </c>
      <c r="L243" t="str">
        <f t="shared" si="3"/>
        <v>Fail</v>
      </c>
    </row>
    <row r="244" spans="1:12" x14ac:dyDescent="0.45">
      <c r="A244" t="s">
        <v>514</v>
      </c>
      <c r="B244" t="s">
        <v>515</v>
      </c>
      <c r="C244" t="s">
        <v>59</v>
      </c>
      <c r="D244" t="s">
        <v>16</v>
      </c>
      <c r="E244" s="23">
        <v>44330</v>
      </c>
      <c r="F244">
        <v>35185</v>
      </c>
      <c r="G244">
        <v>20</v>
      </c>
      <c r="H244" t="s">
        <v>35</v>
      </c>
      <c r="I244" t="s">
        <v>31</v>
      </c>
      <c r="J244">
        <v>28</v>
      </c>
      <c r="K244">
        <f>Table1[[#This Row],[Salary]]+(Table1[[#This Row],[Salary]]*(Table1[[#This Row],[Bonus %]]/100))</f>
        <v>42222</v>
      </c>
      <c r="L244" t="str">
        <f t="shared" si="3"/>
        <v>Fail</v>
      </c>
    </row>
    <row r="245" spans="1:12" x14ac:dyDescent="0.45">
      <c r="A245" t="s">
        <v>516</v>
      </c>
      <c r="B245" t="s">
        <v>517</v>
      </c>
      <c r="C245" t="s">
        <v>52</v>
      </c>
      <c r="D245" t="s">
        <v>16</v>
      </c>
      <c r="E245" s="23">
        <v>44331</v>
      </c>
      <c r="F245">
        <v>81084</v>
      </c>
      <c r="G245">
        <v>15</v>
      </c>
      <c r="H245" t="s">
        <v>17</v>
      </c>
      <c r="I245" t="s">
        <v>27</v>
      </c>
      <c r="J245">
        <v>14</v>
      </c>
      <c r="K245">
        <f>Table1[[#This Row],[Salary]]+(Table1[[#This Row],[Salary]]*(Table1[[#This Row],[Bonus %]]/100))</f>
        <v>93246.6</v>
      </c>
      <c r="L245" t="str">
        <f t="shared" si="3"/>
        <v>Pass</v>
      </c>
    </row>
    <row r="246" spans="1:12" x14ac:dyDescent="0.45">
      <c r="A246" t="s">
        <v>518</v>
      </c>
      <c r="B246" t="s">
        <v>519</v>
      </c>
      <c r="C246" t="s">
        <v>25</v>
      </c>
      <c r="D246" t="s">
        <v>26</v>
      </c>
      <c r="E246" s="23">
        <v>44332</v>
      </c>
      <c r="F246">
        <v>132673</v>
      </c>
      <c r="G246">
        <v>5</v>
      </c>
      <c r="H246" t="s">
        <v>17</v>
      </c>
      <c r="I246" t="s">
        <v>27</v>
      </c>
      <c r="J246">
        <v>8</v>
      </c>
      <c r="K246">
        <f>Table1[[#This Row],[Salary]]+(Table1[[#This Row],[Salary]]*(Table1[[#This Row],[Bonus %]]/100))</f>
        <v>139306.65</v>
      </c>
      <c r="L246" t="str">
        <f t="shared" si="3"/>
        <v>Pass</v>
      </c>
    </row>
    <row r="247" spans="1:12" x14ac:dyDescent="0.45">
      <c r="A247" t="s">
        <v>520</v>
      </c>
      <c r="B247" t="s">
        <v>521</v>
      </c>
      <c r="C247" t="s">
        <v>15</v>
      </c>
      <c r="D247" t="s">
        <v>21</v>
      </c>
      <c r="E247" s="23">
        <v>44333</v>
      </c>
      <c r="F247">
        <v>111952</v>
      </c>
      <c r="G247">
        <v>20</v>
      </c>
      <c r="H247" t="s">
        <v>17</v>
      </c>
      <c r="I247" t="s">
        <v>31</v>
      </c>
      <c r="J247">
        <v>20</v>
      </c>
      <c r="K247">
        <f>Table1[[#This Row],[Salary]]+(Table1[[#This Row],[Salary]]*(Table1[[#This Row],[Bonus %]]/100))</f>
        <v>134342.39999999999</v>
      </c>
      <c r="L247" t="str">
        <f t="shared" si="3"/>
        <v>Pass</v>
      </c>
    </row>
    <row r="248" spans="1:12" x14ac:dyDescent="0.45">
      <c r="A248" t="s">
        <v>522</v>
      </c>
      <c r="B248" t="s">
        <v>523</v>
      </c>
      <c r="C248" t="s">
        <v>59</v>
      </c>
      <c r="D248" t="s">
        <v>26</v>
      </c>
      <c r="E248" s="23">
        <v>44334</v>
      </c>
      <c r="F248">
        <v>42436</v>
      </c>
      <c r="G248">
        <v>15</v>
      </c>
      <c r="H248" t="s">
        <v>35</v>
      </c>
      <c r="I248" t="s">
        <v>22</v>
      </c>
      <c r="J248">
        <v>1</v>
      </c>
      <c r="K248">
        <f>Table1[[#This Row],[Salary]]+(Table1[[#This Row],[Salary]]*(Table1[[#This Row],[Bonus %]]/100))</f>
        <v>48801.4</v>
      </c>
      <c r="L248" t="str">
        <f t="shared" si="3"/>
        <v>Fail</v>
      </c>
    </row>
    <row r="249" spans="1:12" x14ac:dyDescent="0.45">
      <c r="A249" t="s">
        <v>524</v>
      </c>
      <c r="B249" t="s">
        <v>525</v>
      </c>
      <c r="C249" t="s">
        <v>59</v>
      </c>
      <c r="D249" t="s">
        <v>38</v>
      </c>
      <c r="E249" s="23">
        <v>44335</v>
      </c>
      <c r="F249">
        <v>95822</v>
      </c>
      <c r="G249">
        <v>10</v>
      </c>
      <c r="H249" t="s">
        <v>30</v>
      </c>
      <c r="I249" t="s">
        <v>22</v>
      </c>
      <c r="J249">
        <v>8</v>
      </c>
      <c r="K249">
        <f>Table1[[#This Row],[Salary]]+(Table1[[#This Row],[Salary]]*(Table1[[#This Row],[Bonus %]]/100))</f>
        <v>105404.2</v>
      </c>
      <c r="L249" t="str">
        <f t="shared" si="3"/>
        <v>Pass</v>
      </c>
    </row>
    <row r="250" spans="1:12" x14ac:dyDescent="0.45">
      <c r="A250" t="s">
        <v>526</v>
      </c>
      <c r="B250" t="s">
        <v>527</v>
      </c>
      <c r="C250" t="s">
        <v>52</v>
      </c>
      <c r="D250" t="s">
        <v>26</v>
      </c>
      <c r="E250" s="23">
        <v>44336</v>
      </c>
      <c r="F250">
        <v>52008</v>
      </c>
      <c r="G250">
        <v>20</v>
      </c>
      <c r="H250" t="s">
        <v>35</v>
      </c>
      <c r="I250" t="s">
        <v>27</v>
      </c>
      <c r="J250">
        <v>30</v>
      </c>
      <c r="K250">
        <f>Table1[[#This Row],[Salary]]+(Table1[[#This Row],[Salary]]*(Table1[[#This Row],[Bonus %]]/100))</f>
        <v>62409.599999999999</v>
      </c>
      <c r="L250" t="str">
        <f t="shared" si="3"/>
        <v>Fail</v>
      </c>
    </row>
    <row r="251" spans="1:12" x14ac:dyDescent="0.45">
      <c r="A251" t="s">
        <v>528</v>
      </c>
      <c r="B251" t="s">
        <v>529</v>
      </c>
      <c r="C251" t="s">
        <v>52</v>
      </c>
      <c r="D251" t="s">
        <v>38</v>
      </c>
      <c r="E251" s="23">
        <v>44337</v>
      </c>
      <c r="F251">
        <v>52627</v>
      </c>
      <c r="G251">
        <v>5</v>
      </c>
      <c r="H251" t="s">
        <v>35</v>
      </c>
      <c r="I251" t="s">
        <v>31</v>
      </c>
      <c r="J251">
        <v>25</v>
      </c>
      <c r="K251">
        <f>Table1[[#This Row],[Salary]]+(Table1[[#This Row],[Salary]]*(Table1[[#This Row],[Bonus %]]/100))</f>
        <v>55258.35</v>
      </c>
      <c r="L251" t="str">
        <f t="shared" si="3"/>
        <v>Fail</v>
      </c>
    </row>
    <row r="252" spans="1:12" x14ac:dyDescent="0.45">
      <c r="A252" t="s">
        <v>530</v>
      </c>
      <c r="B252" t="s">
        <v>531</v>
      </c>
      <c r="C252" t="s">
        <v>52</v>
      </c>
      <c r="D252" t="s">
        <v>26</v>
      </c>
      <c r="E252" s="23">
        <v>44338</v>
      </c>
      <c r="F252">
        <v>121355</v>
      </c>
      <c r="G252">
        <v>15</v>
      </c>
      <c r="H252" t="s">
        <v>30</v>
      </c>
      <c r="I252" t="s">
        <v>18</v>
      </c>
      <c r="J252">
        <v>8</v>
      </c>
      <c r="K252">
        <f>Table1[[#This Row],[Salary]]+(Table1[[#This Row],[Salary]]*(Table1[[#This Row],[Bonus %]]/100))</f>
        <v>139558.25</v>
      </c>
      <c r="L252" t="str">
        <f t="shared" si="3"/>
        <v>Pass</v>
      </c>
    </row>
    <row r="253" spans="1:12" x14ac:dyDescent="0.45">
      <c r="A253" t="s">
        <v>532</v>
      </c>
      <c r="B253" t="s">
        <v>533</v>
      </c>
      <c r="C253" t="s">
        <v>34</v>
      </c>
      <c r="D253" t="s">
        <v>16</v>
      </c>
      <c r="E253" s="23">
        <v>44339</v>
      </c>
      <c r="F253">
        <v>54084</v>
      </c>
      <c r="G253">
        <v>15</v>
      </c>
      <c r="H253" t="s">
        <v>17</v>
      </c>
      <c r="I253" t="s">
        <v>22</v>
      </c>
      <c r="J253">
        <v>20</v>
      </c>
      <c r="K253">
        <f>Table1[[#This Row],[Salary]]+(Table1[[#This Row],[Salary]]*(Table1[[#This Row],[Bonus %]]/100))</f>
        <v>62196.6</v>
      </c>
      <c r="L253" t="str">
        <f t="shared" si="3"/>
        <v>Pass</v>
      </c>
    </row>
    <row r="254" spans="1:12" x14ac:dyDescent="0.45">
      <c r="A254" t="s">
        <v>534</v>
      </c>
      <c r="B254" t="s">
        <v>535</v>
      </c>
      <c r="C254" t="s">
        <v>15</v>
      </c>
      <c r="D254" t="s">
        <v>26</v>
      </c>
      <c r="E254" s="23">
        <v>44340</v>
      </c>
      <c r="F254">
        <v>83046</v>
      </c>
      <c r="G254">
        <v>10</v>
      </c>
      <c r="H254" t="s">
        <v>35</v>
      </c>
      <c r="I254" t="s">
        <v>22</v>
      </c>
      <c r="J254">
        <v>5</v>
      </c>
      <c r="K254">
        <f>Table1[[#This Row],[Salary]]+(Table1[[#This Row],[Salary]]*(Table1[[#This Row],[Bonus %]]/100))</f>
        <v>91350.6</v>
      </c>
      <c r="L254" t="str">
        <f t="shared" si="3"/>
        <v>Fail</v>
      </c>
    </row>
    <row r="255" spans="1:12" x14ac:dyDescent="0.45">
      <c r="A255" t="s">
        <v>536</v>
      </c>
      <c r="B255" t="s">
        <v>537</v>
      </c>
      <c r="C255" t="s">
        <v>52</v>
      </c>
      <c r="D255" t="s">
        <v>26</v>
      </c>
      <c r="E255" s="23">
        <v>44341</v>
      </c>
      <c r="F255">
        <v>144741</v>
      </c>
      <c r="G255">
        <v>20</v>
      </c>
      <c r="H255" t="s">
        <v>17</v>
      </c>
      <c r="I255" t="s">
        <v>22</v>
      </c>
      <c r="J255">
        <v>30</v>
      </c>
      <c r="K255">
        <f>Table1[[#This Row],[Salary]]+(Table1[[#This Row],[Salary]]*(Table1[[#This Row],[Bonus %]]/100))</f>
        <v>173689.2</v>
      </c>
      <c r="L255" t="str">
        <f t="shared" si="3"/>
        <v>Pass</v>
      </c>
    </row>
    <row r="256" spans="1:12" x14ac:dyDescent="0.45">
      <c r="A256" t="s">
        <v>538</v>
      </c>
      <c r="B256" t="s">
        <v>539</v>
      </c>
      <c r="C256" t="s">
        <v>59</v>
      </c>
      <c r="D256" t="s">
        <v>26</v>
      </c>
      <c r="E256" s="23">
        <v>44342</v>
      </c>
      <c r="F256">
        <v>94348</v>
      </c>
      <c r="G256">
        <v>15</v>
      </c>
      <c r="H256" t="s">
        <v>35</v>
      </c>
      <c r="I256" t="s">
        <v>27</v>
      </c>
      <c r="J256">
        <v>8</v>
      </c>
      <c r="K256">
        <f>Table1[[#This Row],[Salary]]+(Table1[[#This Row],[Salary]]*(Table1[[#This Row],[Bonus %]]/100))</f>
        <v>108500.2</v>
      </c>
      <c r="L256" t="str">
        <f t="shared" si="3"/>
        <v>Fail</v>
      </c>
    </row>
    <row r="257" spans="1:12" x14ac:dyDescent="0.45">
      <c r="A257" t="s">
        <v>540</v>
      </c>
      <c r="B257" t="s">
        <v>541</v>
      </c>
      <c r="C257" t="s">
        <v>15</v>
      </c>
      <c r="D257" t="s">
        <v>38</v>
      </c>
      <c r="E257" s="23">
        <v>44343</v>
      </c>
      <c r="F257">
        <v>141072</v>
      </c>
      <c r="G257">
        <v>10</v>
      </c>
      <c r="H257" t="s">
        <v>35</v>
      </c>
      <c r="I257" t="s">
        <v>22</v>
      </c>
      <c r="J257">
        <v>13</v>
      </c>
      <c r="K257">
        <f>Table1[[#This Row],[Salary]]+(Table1[[#This Row],[Salary]]*(Table1[[#This Row],[Bonus %]]/100))</f>
        <v>155179.20000000001</v>
      </c>
      <c r="L257" t="str">
        <f t="shared" si="3"/>
        <v>Fail</v>
      </c>
    </row>
    <row r="258" spans="1:12" x14ac:dyDescent="0.45">
      <c r="A258" t="s">
        <v>542</v>
      </c>
      <c r="B258" t="s">
        <v>543</v>
      </c>
      <c r="C258" t="s">
        <v>59</v>
      </c>
      <c r="D258" t="s">
        <v>45</v>
      </c>
      <c r="E258" s="23">
        <v>44344</v>
      </c>
      <c r="F258">
        <v>49397</v>
      </c>
      <c r="G258">
        <v>10</v>
      </c>
      <c r="H258" t="s">
        <v>17</v>
      </c>
      <c r="I258" t="s">
        <v>27</v>
      </c>
      <c r="J258">
        <v>15</v>
      </c>
      <c r="K258">
        <f>Table1[[#This Row],[Salary]]+(Table1[[#This Row],[Salary]]*(Table1[[#This Row],[Bonus %]]/100))</f>
        <v>54336.7</v>
      </c>
      <c r="L258" t="str">
        <f t="shared" ref="L258:L301" si="4">IF(OR(H258="A",H258="B"),"Pass","Fail")</f>
        <v>Pass</v>
      </c>
    </row>
    <row r="259" spans="1:12" x14ac:dyDescent="0.45">
      <c r="A259" t="s">
        <v>544</v>
      </c>
      <c r="B259" t="s">
        <v>545</v>
      </c>
      <c r="C259" t="s">
        <v>59</v>
      </c>
      <c r="D259" t="s">
        <v>16</v>
      </c>
      <c r="E259" s="23">
        <v>44345</v>
      </c>
      <c r="F259">
        <v>35103</v>
      </c>
      <c r="G259">
        <v>5</v>
      </c>
      <c r="H259" t="s">
        <v>17</v>
      </c>
      <c r="I259" t="s">
        <v>31</v>
      </c>
      <c r="J259">
        <v>2</v>
      </c>
      <c r="K259">
        <f>Table1[[#This Row],[Salary]]+(Table1[[#This Row],[Salary]]*(Table1[[#This Row],[Bonus %]]/100))</f>
        <v>36858.15</v>
      </c>
      <c r="L259" t="str">
        <f t="shared" si="4"/>
        <v>Pass</v>
      </c>
    </row>
    <row r="260" spans="1:12" x14ac:dyDescent="0.45">
      <c r="A260" t="s">
        <v>546</v>
      </c>
      <c r="B260" t="s">
        <v>547</v>
      </c>
      <c r="C260" t="s">
        <v>15</v>
      </c>
      <c r="D260" t="s">
        <v>45</v>
      </c>
      <c r="E260" s="23">
        <v>44346</v>
      </c>
      <c r="F260">
        <v>138024</v>
      </c>
      <c r="G260">
        <v>5</v>
      </c>
      <c r="H260" t="s">
        <v>30</v>
      </c>
      <c r="I260" t="s">
        <v>22</v>
      </c>
      <c r="J260">
        <v>15</v>
      </c>
      <c r="K260">
        <f>Table1[[#This Row],[Salary]]+(Table1[[#This Row],[Salary]]*(Table1[[#This Row],[Bonus %]]/100))</f>
        <v>144925.20000000001</v>
      </c>
      <c r="L260" t="str">
        <f t="shared" si="4"/>
        <v>Pass</v>
      </c>
    </row>
    <row r="261" spans="1:12" x14ac:dyDescent="0.45">
      <c r="A261" t="s">
        <v>548</v>
      </c>
      <c r="B261" t="s">
        <v>549</v>
      </c>
      <c r="C261" t="s">
        <v>59</v>
      </c>
      <c r="D261" t="s">
        <v>21</v>
      </c>
      <c r="E261" s="23">
        <v>44347</v>
      </c>
      <c r="F261">
        <v>92677</v>
      </c>
      <c r="G261">
        <v>20</v>
      </c>
      <c r="H261" t="s">
        <v>35</v>
      </c>
      <c r="I261" t="s">
        <v>18</v>
      </c>
      <c r="J261">
        <v>29</v>
      </c>
      <c r="K261">
        <f>Table1[[#This Row],[Salary]]+(Table1[[#This Row],[Salary]]*(Table1[[#This Row],[Bonus %]]/100))</f>
        <v>111212.4</v>
      </c>
      <c r="L261" t="str">
        <f t="shared" si="4"/>
        <v>Fail</v>
      </c>
    </row>
    <row r="262" spans="1:12" x14ac:dyDescent="0.45">
      <c r="A262" t="s">
        <v>550</v>
      </c>
      <c r="B262" t="s">
        <v>551</v>
      </c>
      <c r="C262" t="s">
        <v>59</v>
      </c>
      <c r="D262" t="s">
        <v>21</v>
      </c>
      <c r="E262" s="23">
        <v>44348</v>
      </c>
      <c r="F262">
        <v>80484</v>
      </c>
      <c r="G262">
        <v>20</v>
      </c>
      <c r="H262" t="s">
        <v>35</v>
      </c>
      <c r="I262" t="s">
        <v>27</v>
      </c>
      <c r="J262">
        <v>18</v>
      </c>
      <c r="K262">
        <f>Table1[[#This Row],[Salary]]+(Table1[[#This Row],[Salary]]*(Table1[[#This Row],[Bonus %]]/100))</f>
        <v>96580.800000000003</v>
      </c>
      <c r="L262" t="str">
        <f t="shared" si="4"/>
        <v>Fail</v>
      </c>
    </row>
    <row r="263" spans="1:12" x14ac:dyDescent="0.45">
      <c r="A263" t="s">
        <v>552</v>
      </c>
      <c r="B263" t="s">
        <v>553</v>
      </c>
      <c r="C263" t="s">
        <v>59</v>
      </c>
      <c r="D263" t="s">
        <v>26</v>
      </c>
      <c r="E263" s="23">
        <v>44349</v>
      </c>
      <c r="F263">
        <v>123949</v>
      </c>
      <c r="G263">
        <v>5</v>
      </c>
      <c r="H263" t="s">
        <v>30</v>
      </c>
      <c r="I263" t="s">
        <v>31</v>
      </c>
      <c r="J263">
        <v>23</v>
      </c>
      <c r="K263">
        <f>Table1[[#This Row],[Salary]]+(Table1[[#This Row],[Salary]]*(Table1[[#This Row],[Bonus %]]/100))</f>
        <v>130146.45</v>
      </c>
      <c r="L263" t="str">
        <f t="shared" si="4"/>
        <v>Pass</v>
      </c>
    </row>
    <row r="264" spans="1:12" x14ac:dyDescent="0.45">
      <c r="A264" t="s">
        <v>554</v>
      </c>
      <c r="B264" t="s">
        <v>555</v>
      </c>
      <c r="C264" t="s">
        <v>25</v>
      </c>
      <c r="D264" t="s">
        <v>38</v>
      </c>
      <c r="E264" s="23">
        <v>44350</v>
      </c>
      <c r="F264">
        <v>149748</v>
      </c>
      <c r="G264">
        <v>5</v>
      </c>
      <c r="H264" t="s">
        <v>35</v>
      </c>
      <c r="I264" t="s">
        <v>27</v>
      </c>
      <c r="J264">
        <v>27</v>
      </c>
      <c r="K264">
        <f>Table1[[#This Row],[Salary]]+(Table1[[#This Row],[Salary]]*(Table1[[#This Row],[Bonus %]]/100))</f>
        <v>157235.4</v>
      </c>
      <c r="L264" t="str">
        <f t="shared" si="4"/>
        <v>Fail</v>
      </c>
    </row>
    <row r="265" spans="1:12" x14ac:dyDescent="0.45">
      <c r="A265" t="s">
        <v>556</v>
      </c>
      <c r="B265" t="s">
        <v>557</v>
      </c>
      <c r="C265" t="s">
        <v>52</v>
      </c>
      <c r="D265" t="s">
        <v>26</v>
      </c>
      <c r="E265" s="23">
        <v>44351</v>
      </c>
      <c r="F265">
        <v>89957</v>
      </c>
      <c r="G265">
        <v>15</v>
      </c>
      <c r="H265" t="s">
        <v>35</v>
      </c>
      <c r="I265" t="s">
        <v>18</v>
      </c>
      <c r="J265">
        <v>24</v>
      </c>
      <c r="K265">
        <f>Table1[[#This Row],[Salary]]+(Table1[[#This Row],[Salary]]*(Table1[[#This Row],[Bonus %]]/100))</f>
        <v>103450.55</v>
      </c>
      <c r="L265" t="str">
        <f t="shared" si="4"/>
        <v>Fail</v>
      </c>
    </row>
    <row r="266" spans="1:12" x14ac:dyDescent="0.45">
      <c r="A266" t="s">
        <v>558</v>
      </c>
      <c r="B266" t="s">
        <v>559</v>
      </c>
      <c r="C266" t="s">
        <v>59</v>
      </c>
      <c r="D266" t="s">
        <v>45</v>
      </c>
      <c r="E266" s="23">
        <v>44352</v>
      </c>
      <c r="F266">
        <v>72910</v>
      </c>
      <c r="G266">
        <v>15</v>
      </c>
      <c r="H266" t="s">
        <v>17</v>
      </c>
      <c r="I266" t="s">
        <v>22</v>
      </c>
      <c r="J266">
        <v>14</v>
      </c>
      <c r="K266">
        <f>Table1[[#This Row],[Salary]]+(Table1[[#This Row],[Salary]]*(Table1[[#This Row],[Bonus %]]/100))</f>
        <v>83846.5</v>
      </c>
      <c r="L266" t="str">
        <f t="shared" si="4"/>
        <v>Pass</v>
      </c>
    </row>
    <row r="267" spans="1:12" x14ac:dyDescent="0.45">
      <c r="A267" t="s">
        <v>560</v>
      </c>
      <c r="B267" t="s">
        <v>561</v>
      </c>
      <c r="C267" t="s">
        <v>15</v>
      </c>
      <c r="D267" t="s">
        <v>16</v>
      </c>
      <c r="E267" s="23">
        <v>44353</v>
      </c>
      <c r="F267">
        <v>144498</v>
      </c>
      <c r="G267">
        <v>15</v>
      </c>
      <c r="H267" t="s">
        <v>30</v>
      </c>
      <c r="I267" t="s">
        <v>22</v>
      </c>
      <c r="J267">
        <v>3</v>
      </c>
      <c r="K267">
        <f>Table1[[#This Row],[Salary]]+(Table1[[#This Row],[Salary]]*(Table1[[#This Row],[Bonus %]]/100))</f>
        <v>166172.70000000001</v>
      </c>
      <c r="L267" t="str">
        <f t="shared" si="4"/>
        <v>Pass</v>
      </c>
    </row>
    <row r="268" spans="1:12" x14ac:dyDescent="0.45">
      <c r="A268" t="s">
        <v>562</v>
      </c>
      <c r="B268" t="s">
        <v>563</v>
      </c>
      <c r="C268" t="s">
        <v>25</v>
      </c>
      <c r="D268" t="s">
        <v>45</v>
      </c>
      <c r="E268" s="23">
        <v>44354</v>
      </c>
      <c r="F268">
        <v>43004</v>
      </c>
      <c r="G268">
        <v>10</v>
      </c>
      <c r="H268" t="s">
        <v>35</v>
      </c>
      <c r="I268" t="s">
        <v>31</v>
      </c>
      <c r="J268">
        <v>27</v>
      </c>
      <c r="K268">
        <f>Table1[[#This Row],[Salary]]+(Table1[[#This Row],[Salary]]*(Table1[[#This Row],[Bonus %]]/100))</f>
        <v>47304.4</v>
      </c>
      <c r="L268" t="str">
        <f t="shared" si="4"/>
        <v>Fail</v>
      </c>
    </row>
    <row r="269" spans="1:12" x14ac:dyDescent="0.45">
      <c r="A269" t="s">
        <v>564</v>
      </c>
      <c r="B269" t="s">
        <v>565</v>
      </c>
      <c r="C269" t="s">
        <v>52</v>
      </c>
      <c r="D269" t="s">
        <v>38</v>
      </c>
      <c r="E269" s="23">
        <v>44355</v>
      </c>
      <c r="F269">
        <v>70310</v>
      </c>
      <c r="G269">
        <v>15</v>
      </c>
      <c r="H269" t="s">
        <v>17</v>
      </c>
      <c r="I269" t="s">
        <v>31</v>
      </c>
      <c r="J269">
        <v>15</v>
      </c>
      <c r="K269">
        <f>Table1[[#This Row],[Salary]]+(Table1[[#This Row],[Salary]]*(Table1[[#This Row],[Bonus %]]/100))</f>
        <v>80856.5</v>
      </c>
      <c r="L269" t="str">
        <f t="shared" si="4"/>
        <v>Pass</v>
      </c>
    </row>
    <row r="270" spans="1:12" x14ac:dyDescent="0.45">
      <c r="A270" t="s">
        <v>566</v>
      </c>
      <c r="B270" t="s">
        <v>567</v>
      </c>
      <c r="C270" t="s">
        <v>25</v>
      </c>
      <c r="D270" t="s">
        <v>38</v>
      </c>
      <c r="E270" s="23">
        <v>44356</v>
      </c>
      <c r="F270">
        <v>97251</v>
      </c>
      <c r="G270">
        <v>10</v>
      </c>
      <c r="H270" t="s">
        <v>30</v>
      </c>
      <c r="I270" t="s">
        <v>31</v>
      </c>
      <c r="J270">
        <v>25</v>
      </c>
      <c r="K270">
        <f>Table1[[#This Row],[Salary]]+(Table1[[#This Row],[Salary]]*(Table1[[#This Row],[Bonus %]]/100))</f>
        <v>106976.1</v>
      </c>
      <c r="L270" t="str">
        <f t="shared" si="4"/>
        <v>Pass</v>
      </c>
    </row>
    <row r="271" spans="1:12" x14ac:dyDescent="0.45">
      <c r="A271" t="s">
        <v>568</v>
      </c>
      <c r="B271" t="s">
        <v>569</v>
      </c>
      <c r="C271" t="s">
        <v>15</v>
      </c>
      <c r="D271" t="s">
        <v>16</v>
      </c>
      <c r="E271" s="23">
        <v>44357</v>
      </c>
      <c r="F271">
        <v>130647</v>
      </c>
      <c r="G271">
        <v>20</v>
      </c>
      <c r="H271" t="s">
        <v>35</v>
      </c>
      <c r="I271" t="s">
        <v>27</v>
      </c>
      <c r="J271">
        <v>7</v>
      </c>
      <c r="K271">
        <f>Table1[[#This Row],[Salary]]+(Table1[[#This Row],[Salary]]*(Table1[[#This Row],[Bonus %]]/100))</f>
        <v>156776.4</v>
      </c>
      <c r="L271" t="str">
        <f t="shared" si="4"/>
        <v>Fail</v>
      </c>
    </row>
    <row r="272" spans="1:12" x14ac:dyDescent="0.45">
      <c r="A272" t="s">
        <v>570</v>
      </c>
      <c r="B272" t="s">
        <v>571</v>
      </c>
      <c r="C272" t="s">
        <v>52</v>
      </c>
      <c r="D272" t="s">
        <v>21</v>
      </c>
      <c r="E272" s="23">
        <v>44358</v>
      </c>
      <c r="F272">
        <v>92009</v>
      </c>
      <c r="G272">
        <v>5</v>
      </c>
      <c r="H272" t="s">
        <v>17</v>
      </c>
      <c r="I272" t="s">
        <v>27</v>
      </c>
      <c r="J272">
        <v>20</v>
      </c>
      <c r="K272">
        <f>Table1[[#This Row],[Salary]]+(Table1[[#This Row],[Salary]]*(Table1[[#This Row],[Bonus %]]/100))</f>
        <v>96609.45</v>
      </c>
      <c r="L272" t="str">
        <f t="shared" si="4"/>
        <v>Pass</v>
      </c>
    </row>
    <row r="273" spans="1:12" x14ac:dyDescent="0.45">
      <c r="A273" t="s">
        <v>572</v>
      </c>
      <c r="B273" t="s">
        <v>573</v>
      </c>
      <c r="C273" t="s">
        <v>59</v>
      </c>
      <c r="D273" t="s">
        <v>38</v>
      </c>
      <c r="E273" s="23">
        <v>44359</v>
      </c>
      <c r="F273">
        <v>56447</v>
      </c>
      <c r="G273">
        <v>20</v>
      </c>
      <c r="H273" t="s">
        <v>35</v>
      </c>
      <c r="I273" t="s">
        <v>31</v>
      </c>
      <c r="J273">
        <v>12</v>
      </c>
      <c r="K273">
        <f>Table1[[#This Row],[Salary]]+(Table1[[#This Row],[Salary]]*(Table1[[#This Row],[Bonus %]]/100))</f>
        <v>67736.399999999994</v>
      </c>
      <c r="L273" t="str">
        <f t="shared" si="4"/>
        <v>Fail</v>
      </c>
    </row>
    <row r="274" spans="1:12" x14ac:dyDescent="0.45">
      <c r="A274" t="s">
        <v>574</v>
      </c>
      <c r="B274" t="s">
        <v>575</v>
      </c>
      <c r="C274" t="s">
        <v>34</v>
      </c>
      <c r="D274" t="s">
        <v>45</v>
      </c>
      <c r="E274" s="23">
        <v>44360</v>
      </c>
      <c r="F274">
        <v>56324</v>
      </c>
      <c r="G274">
        <v>5</v>
      </c>
      <c r="H274" t="s">
        <v>35</v>
      </c>
      <c r="I274" t="s">
        <v>31</v>
      </c>
      <c r="J274">
        <v>20</v>
      </c>
      <c r="K274">
        <f>Table1[[#This Row],[Salary]]+(Table1[[#This Row],[Salary]]*(Table1[[#This Row],[Bonus %]]/100))</f>
        <v>59140.2</v>
      </c>
      <c r="L274" t="str">
        <f t="shared" si="4"/>
        <v>Fail</v>
      </c>
    </row>
    <row r="275" spans="1:12" x14ac:dyDescent="0.45">
      <c r="A275" t="s">
        <v>576</v>
      </c>
      <c r="B275" t="s">
        <v>577</v>
      </c>
      <c r="C275" t="s">
        <v>34</v>
      </c>
      <c r="D275" t="s">
        <v>21</v>
      </c>
      <c r="E275" s="23">
        <v>44361</v>
      </c>
      <c r="F275">
        <v>102555</v>
      </c>
      <c r="G275">
        <v>5</v>
      </c>
      <c r="H275" t="s">
        <v>30</v>
      </c>
      <c r="I275" t="s">
        <v>22</v>
      </c>
      <c r="J275">
        <v>27</v>
      </c>
      <c r="K275">
        <f>Table1[[#This Row],[Salary]]+(Table1[[#This Row],[Salary]]*(Table1[[#This Row],[Bonus %]]/100))</f>
        <v>107682.75</v>
      </c>
      <c r="L275" t="str">
        <f t="shared" si="4"/>
        <v>Pass</v>
      </c>
    </row>
    <row r="276" spans="1:12" x14ac:dyDescent="0.45">
      <c r="A276" t="s">
        <v>578</v>
      </c>
      <c r="B276" t="s">
        <v>579</v>
      </c>
      <c r="C276" t="s">
        <v>34</v>
      </c>
      <c r="D276" t="s">
        <v>26</v>
      </c>
      <c r="E276" s="23">
        <v>44362</v>
      </c>
      <c r="F276">
        <v>49993</v>
      </c>
      <c r="G276">
        <v>20</v>
      </c>
      <c r="H276" t="s">
        <v>35</v>
      </c>
      <c r="I276" t="s">
        <v>27</v>
      </c>
      <c r="J276">
        <v>25</v>
      </c>
      <c r="K276">
        <f>Table1[[#This Row],[Salary]]+(Table1[[#This Row],[Salary]]*(Table1[[#This Row],[Bonus %]]/100))</f>
        <v>59991.6</v>
      </c>
      <c r="L276" t="str">
        <f t="shared" si="4"/>
        <v>Fail</v>
      </c>
    </row>
    <row r="277" spans="1:12" x14ac:dyDescent="0.45">
      <c r="A277" t="s">
        <v>580</v>
      </c>
      <c r="B277" t="s">
        <v>581</v>
      </c>
      <c r="C277" t="s">
        <v>15</v>
      </c>
      <c r="D277" t="s">
        <v>45</v>
      </c>
      <c r="E277" s="23">
        <v>44363</v>
      </c>
      <c r="F277">
        <v>56500</v>
      </c>
      <c r="G277">
        <v>15</v>
      </c>
      <c r="H277" t="s">
        <v>35</v>
      </c>
      <c r="I277" t="s">
        <v>22</v>
      </c>
      <c r="J277">
        <v>23</v>
      </c>
      <c r="K277">
        <f>Table1[[#This Row],[Salary]]+(Table1[[#This Row],[Salary]]*(Table1[[#This Row],[Bonus %]]/100))</f>
        <v>64975</v>
      </c>
      <c r="L277" t="str">
        <f t="shared" si="4"/>
        <v>Fail</v>
      </c>
    </row>
    <row r="278" spans="1:12" x14ac:dyDescent="0.45">
      <c r="A278" t="s">
        <v>582</v>
      </c>
      <c r="B278" t="s">
        <v>583</v>
      </c>
      <c r="C278" t="s">
        <v>34</v>
      </c>
      <c r="D278" t="s">
        <v>45</v>
      </c>
      <c r="E278" s="23">
        <v>44364</v>
      </c>
      <c r="F278">
        <v>51087</v>
      </c>
      <c r="G278">
        <v>5</v>
      </c>
      <c r="H278" t="s">
        <v>30</v>
      </c>
      <c r="I278" t="s">
        <v>22</v>
      </c>
      <c r="J278">
        <v>5</v>
      </c>
      <c r="K278">
        <f>Table1[[#This Row],[Salary]]+(Table1[[#This Row],[Salary]]*(Table1[[#This Row],[Bonus %]]/100))</f>
        <v>53641.35</v>
      </c>
      <c r="L278" t="str">
        <f t="shared" si="4"/>
        <v>Pass</v>
      </c>
    </row>
    <row r="279" spans="1:12" x14ac:dyDescent="0.45">
      <c r="A279" t="s">
        <v>584</v>
      </c>
      <c r="B279" t="s">
        <v>585</v>
      </c>
      <c r="C279" t="s">
        <v>25</v>
      </c>
      <c r="D279" t="s">
        <v>21</v>
      </c>
      <c r="E279" s="23">
        <v>44365</v>
      </c>
      <c r="F279">
        <v>103536</v>
      </c>
      <c r="G279">
        <v>5</v>
      </c>
      <c r="H279" t="s">
        <v>30</v>
      </c>
      <c r="I279" t="s">
        <v>27</v>
      </c>
      <c r="J279">
        <v>10</v>
      </c>
      <c r="K279">
        <f>Table1[[#This Row],[Salary]]+(Table1[[#This Row],[Salary]]*(Table1[[#This Row],[Bonus %]]/100))</f>
        <v>108712.8</v>
      </c>
      <c r="L279" t="str">
        <f t="shared" si="4"/>
        <v>Pass</v>
      </c>
    </row>
    <row r="280" spans="1:12" x14ac:dyDescent="0.45">
      <c r="A280" t="s">
        <v>586</v>
      </c>
      <c r="B280" t="s">
        <v>587</v>
      </c>
      <c r="C280" t="s">
        <v>15</v>
      </c>
      <c r="D280" t="s">
        <v>16</v>
      </c>
      <c r="E280" s="23">
        <v>44366</v>
      </c>
      <c r="F280">
        <v>92391</v>
      </c>
      <c r="G280">
        <v>5</v>
      </c>
      <c r="H280" t="s">
        <v>17</v>
      </c>
      <c r="I280" t="s">
        <v>22</v>
      </c>
      <c r="J280">
        <v>3</v>
      </c>
      <c r="K280">
        <f>Table1[[#This Row],[Salary]]+(Table1[[#This Row],[Salary]]*(Table1[[#This Row],[Bonus %]]/100))</f>
        <v>97010.55</v>
      </c>
      <c r="L280" t="str">
        <f t="shared" si="4"/>
        <v>Pass</v>
      </c>
    </row>
    <row r="281" spans="1:12" x14ac:dyDescent="0.45">
      <c r="A281" t="s">
        <v>588</v>
      </c>
      <c r="B281" t="s">
        <v>589</v>
      </c>
      <c r="C281" t="s">
        <v>34</v>
      </c>
      <c r="D281" t="s">
        <v>16</v>
      </c>
      <c r="E281" s="23">
        <v>44367</v>
      </c>
      <c r="F281">
        <v>39423</v>
      </c>
      <c r="G281">
        <v>10</v>
      </c>
      <c r="H281" t="s">
        <v>30</v>
      </c>
      <c r="I281" t="s">
        <v>27</v>
      </c>
      <c r="J281">
        <v>27</v>
      </c>
      <c r="K281">
        <f>Table1[[#This Row],[Salary]]+(Table1[[#This Row],[Salary]]*(Table1[[#This Row],[Bonus %]]/100))</f>
        <v>43365.3</v>
      </c>
      <c r="L281" t="str">
        <f t="shared" si="4"/>
        <v>Pass</v>
      </c>
    </row>
    <row r="282" spans="1:12" x14ac:dyDescent="0.45">
      <c r="A282" t="s">
        <v>590</v>
      </c>
      <c r="B282" t="s">
        <v>591</v>
      </c>
      <c r="C282" t="s">
        <v>25</v>
      </c>
      <c r="D282" t="s">
        <v>38</v>
      </c>
      <c r="E282" s="23">
        <v>44368</v>
      </c>
      <c r="F282">
        <v>119700</v>
      </c>
      <c r="G282">
        <v>15</v>
      </c>
      <c r="H282" t="s">
        <v>30</v>
      </c>
      <c r="I282" t="s">
        <v>22</v>
      </c>
      <c r="J282">
        <v>11</v>
      </c>
      <c r="K282">
        <f>Table1[[#This Row],[Salary]]+(Table1[[#This Row],[Salary]]*(Table1[[#This Row],[Bonus %]]/100))</f>
        <v>137655</v>
      </c>
      <c r="L282" t="str">
        <f t="shared" si="4"/>
        <v>Pass</v>
      </c>
    </row>
    <row r="283" spans="1:12" x14ac:dyDescent="0.45">
      <c r="A283" t="s">
        <v>592</v>
      </c>
      <c r="B283" t="s">
        <v>593</v>
      </c>
      <c r="C283" t="s">
        <v>34</v>
      </c>
      <c r="D283" t="s">
        <v>45</v>
      </c>
      <c r="E283" s="23">
        <v>44369</v>
      </c>
      <c r="F283">
        <v>104834</v>
      </c>
      <c r="G283">
        <v>10</v>
      </c>
      <c r="H283" t="s">
        <v>17</v>
      </c>
      <c r="I283" t="s">
        <v>22</v>
      </c>
      <c r="J283">
        <v>11</v>
      </c>
      <c r="K283">
        <f>Table1[[#This Row],[Salary]]+(Table1[[#This Row],[Salary]]*(Table1[[#This Row],[Bonus %]]/100))</f>
        <v>115317.4</v>
      </c>
      <c r="L283" t="str">
        <f t="shared" si="4"/>
        <v>Pass</v>
      </c>
    </row>
    <row r="284" spans="1:12" x14ac:dyDescent="0.45">
      <c r="A284" t="s">
        <v>594</v>
      </c>
      <c r="B284" t="s">
        <v>595</v>
      </c>
      <c r="C284" t="s">
        <v>59</v>
      </c>
      <c r="D284" t="s">
        <v>38</v>
      </c>
      <c r="E284" s="23">
        <v>44370</v>
      </c>
      <c r="F284">
        <v>94724</v>
      </c>
      <c r="G284">
        <v>15</v>
      </c>
      <c r="H284" t="s">
        <v>30</v>
      </c>
      <c r="I284" t="s">
        <v>22</v>
      </c>
      <c r="J284">
        <v>6</v>
      </c>
      <c r="K284">
        <f>Table1[[#This Row],[Salary]]+(Table1[[#This Row],[Salary]]*(Table1[[#This Row],[Bonus %]]/100))</f>
        <v>108932.6</v>
      </c>
      <c r="L284" t="str">
        <f t="shared" si="4"/>
        <v>Pass</v>
      </c>
    </row>
    <row r="285" spans="1:12" x14ac:dyDescent="0.45">
      <c r="A285" t="s">
        <v>596</v>
      </c>
      <c r="B285" t="s">
        <v>597</v>
      </c>
      <c r="C285" t="s">
        <v>25</v>
      </c>
      <c r="D285" t="s">
        <v>45</v>
      </c>
      <c r="E285" s="23">
        <v>44371</v>
      </c>
      <c r="F285">
        <v>61524</v>
      </c>
      <c r="G285">
        <v>20</v>
      </c>
      <c r="H285" t="s">
        <v>17</v>
      </c>
      <c r="I285" t="s">
        <v>27</v>
      </c>
      <c r="J285">
        <v>2</v>
      </c>
      <c r="K285">
        <f>Table1[[#This Row],[Salary]]+(Table1[[#This Row],[Salary]]*(Table1[[#This Row],[Bonus %]]/100))</f>
        <v>73828.800000000003</v>
      </c>
      <c r="L285" t="str">
        <f t="shared" si="4"/>
        <v>Pass</v>
      </c>
    </row>
    <row r="286" spans="1:12" x14ac:dyDescent="0.45">
      <c r="A286" t="s">
        <v>598</v>
      </c>
      <c r="B286" t="s">
        <v>599</v>
      </c>
      <c r="C286" t="s">
        <v>15</v>
      </c>
      <c r="D286" t="s">
        <v>16</v>
      </c>
      <c r="E286" s="23">
        <v>44372</v>
      </c>
      <c r="F286">
        <v>119876</v>
      </c>
      <c r="G286">
        <v>10</v>
      </c>
      <c r="H286" t="s">
        <v>35</v>
      </c>
      <c r="I286" t="s">
        <v>18</v>
      </c>
      <c r="J286">
        <v>1</v>
      </c>
      <c r="K286">
        <f>Table1[[#This Row],[Salary]]+(Table1[[#This Row],[Salary]]*(Table1[[#This Row],[Bonus %]]/100))</f>
        <v>131863.6</v>
      </c>
      <c r="L286" t="str">
        <f t="shared" si="4"/>
        <v>Fail</v>
      </c>
    </row>
    <row r="287" spans="1:12" x14ac:dyDescent="0.45">
      <c r="A287" t="s">
        <v>600</v>
      </c>
      <c r="B287" t="s">
        <v>601</v>
      </c>
      <c r="C287" t="s">
        <v>15</v>
      </c>
      <c r="D287" t="s">
        <v>45</v>
      </c>
      <c r="E287" s="23">
        <v>44373</v>
      </c>
      <c r="F287">
        <v>78659</v>
      </c>
      <c r="G287">
        <v>5</v>
      </c>
      <c r="H287" t="s">
        <v>35</v>
      </c>
      <c r="I287" t="s">
        <v>18</v>
      </c>
      <c r="J287">
        <v>30</v>
      </c>
      <c r="K287">
        <f>Table1[[#This Row],[Salary]]+(Table1[[#This Row],[Salary]]*(Table1[[#This Row],[Bonus %]]/100))</f>
        <v>82591.95</v>
      </c>
      <c r="L287" t="str">
        <f t="shared" si="4"/>
        <v>Fail</v>
      </c>
    </row>
    <row r="288" spans="1:12" x14ac:dyDescent="0.45">
      <c r="A288" t="s">
        <v>602</v>
      </c>
      <c r="B288" t="s">
        <v>603</v>
      </c>
      <c r="C288" t="s">
        <v>59</v>
      </c>
      <c r="D288" t="s">
        <v>26</v>
      </c>
      <c r="E288" s="23">
        <v>44374</v>
      </c>
      <c r="F288">
        <v>81028</v>
      </c>
      <c r="G288">
        <v>20</v>
      </c>
      <c r="H288" t="s">
        <v>35</v>
      </c>
      <c r="I288" t="s">
        <v>22</v>
      </c>
      <c r="J288">
        <v>6</v>
      </c>
      <c r="K288">
        <f>Table1[[#This Row],[Salary]]+(Table1[[#This Row],[Salary]]*(Table1[[#This Row],[Bonus %]]/100))</f>
        <v>97233.600000000006</v>
      </c>
      <c r="L288" t="str">
        <f t="shared" si="4"/>
        <v>Fail</v>
      </c>
    </row>
    <row r="289" spans="1:12" x14ac:dyDescent="0.45">
      <c r="A289" t="s">
        <v>604</v>
      </c>
      <c r="B289" t="s">
        <v>605</v>
      </c>
      <c r="C289" t="s">
        <v>52</v>
      </c>
      <c r="D289" t="s">
        <v>16</v>
      </c>
      <c r="E289" s="23">
        <v>44375</v>
      </c>
      <c r="F289">
        <v>43528</v>
      </c>
      <c r="G289">
        <v>20</v>
      </c>
      <c r="H289" t="s">
        <v>35</v>
      </c>
      <c r="I289" t="s">
        <v>22</v>
      </c>
      <c r="J289">
        <v>2</v>
      </c>
      <c r="K289">
        <f>Table1[[#This Row],[Salary]]+(Table1[[#This Row],[Salary]]*(Table1[[#This Row],[Bonus %]]/100))</f>
        <v>52233.599999999999</v>
      </c>
      <c r="L289" t="str">
        <f t="shared" si="4"/>
        <v>Fail</v>
      </c>
    </row>
    <row r="290" spans="1:12" x14ac:dyDescent="0.45">
      <c r="A290" t="s">
        <v>606</v>
      </c>
      <c r="B290" t="s">
        <v>607</v>
      </c>
      <c r="C290" t="s">
        <v>34</v>
      </c>
      <c r="D290" t="s">
        <v>45</v>
      </c>
      <c r="E290" s="23">
        <v>44376</v>
      </c>
      <c r="F290">
        <v>42108</v>
      </c>
      <c r="G290">
        <v>5</v>
      </c>
      <c r="H290" t="s">
        <v>17</v>
      </c>
      <c r="I290" t="s">
        <v>18</v>
      </c>
      <c r="J290">
        <v>1</v>
      </c>
      <c r="K290">
        <f>Table1[[#This Row],[Salary]]+(Table1[[#This Row],[Salary]]*(Table1[[#This Row],[Bonus %]]/100))</f>
        <v>44213.4</v>
      </c>
      <c r="L290" t="str">
        <f t="shared" si="4"/>
        <v>Pass</v>
      </c>
    </row>
    <row r="291" spans="1:12" x14ac:dyDescent="0.45">
      <c r="A291" t="s">
        <v>608</v>
      </c>
      <c r="B291" t="s">
        <v>609</v>
      </c>
      <c r="C291" t="s">
        <v>52</v>
      </c>
      <c r="D291" t="s">
        <v>16</v>
      </c>
      <c r="E291" s="23">
        <v>44377</v>
      </c>
      <c r="F291">
        <v>48908</v>
      </c>
      <c r="G291">
        <v>20</v>
      </c>
      <c r="H291" t="s">
        <v>17</v>
      </c>
      <c r="I291" t="s">
        <v>18</v>
      </c>
      <c r="J291">
        <v>16</v>
      </c>
      <c r="K291">
        <f>Table1[[#This Row],[Salary]]+(Table1[[#This Row],[Salary]]*(Table1[[#This Row],[Bonus %]]/100))</f>
        <v>58689.599999999999</v>
      </c>
      <c r="L291" t="str">
        <f t="shared" si="4"/>
        <v>Pass</v>
      </c>
    </row>
    <row r="292" spans="1:12" x14ac:dyDescent="0.45">
      <c r="A292" t="s">
        <v>610</v>
      </c>
      <c r="B292" t="s">
        <v>611</v>
      </c>
      <c r="C292" t="s">
        <v>52</v>
      </c>
      <c r="D292" t="s">
        <v>45</v>
      </c>
      <c r="E292" s="23">
        <v>44378</v>
      </c>
      <c r="F292">
        <v>33707</v>
      </c>
      <c r="G292">
        <v>20</v>
      </c>
      <c r="H292" t="s">
        <v>35</v>
      </c>
      <c r="I292" t="s">
        <v>22</v>
      </c>
      <c r="J292">
        <v>3</v>
      </c>
      <c r="K292">
        <f>Table1[[#This Row],[Salary]]+(Table1[[#This Row],[Salary]]*(Table1[[#This Row],[Bonus %]]/100))</f>
        <v>40448.400000000001</v>
      </c>
      <c r="L292" t="str">
        <f t="shared" si="4"/>
        <v>Fail</v>
      </c>
    </row>
    <row r="293" spans="1:12" x14ac:dyDescent="0.45">
      <c r="A293" t="s">
        <v>612</v>
      </c>
      <c r="B293" t="s">
        <v>613</v>
      </c>
      <c r="C293" t="s">
        <v>15</v>
      </c>
      <c r="D293" t="s">
        <v>21</v>
      </c>
      <c r="E293" s="23">
        <v>44379</v>
      </c>
      <c r="F293">
        <v>73843</v>
      </c>
      <c r="G293">
        <v>15</v>
      </c>
      <c r="H293" t="s">
        <v>35</v>
      </c>
      <c r="I293" t="s">
        <v>27</v>
      </c>
      <c r="J293">
        <v>13</v>
      </c>
      <c r="K293">
        <f>Table1[[#This Row],[Salary]]+(Table1[[#This Row],[Salary]]*(Table1[[#This Row],[Bonus %]]/100))</f>
        <v>84919.45</v>
      </c>
      <c r="L293" t="str">
        <f t="shared" si="4"/>
        <v>Fail</v>
      </c>
    </row>
    <row r="294" spans="1:12" x14ac:dyDescent="0.45">
      <c r="A294" t="s">
        <v>614</v>
      </c>
      <c r="B294" t="s">
        <v>615</v>
      </c>
      <c r="C294" t="s">
        <v>15</v>
      </c>
      <c r="D294" t="s">
        <v>38</v>
      </c>
      <c r="E294" s="23">
        <v>44380</v>
      </c>
      <c r="F294">
        <v>69366</v>
      </c>
      <c r="G294">
        <v>10</v>
      </c>
      <c r="H294" t="s">
        <v>35</v>
      </c>
      <c r="I294" t="s">
        <v>22</v>
      </c>
      <c r="J294">
        <v>29</v>
      </c>
      <c r="K294">
        <f>Table1[[#This Row],[Salary]]+(Table1[[#This Row],[Salary]]*(Table1[[#This Row],[Bonus %]]/100))</f>
        <v>76302.600000000006</v>
      </c>
      <c r="L294" t="str">
        <f t="shared" si="4"/>
        <v>Fail</v>
      </c>
    </row>
    <row r="295" spans="1:12" x14ac:dyDescent="0.45">
      <c r="A295" t="s">
        <v>616</v>
      </c>
      <c r="B295" t="s">
        <v>617</v>
      </c>
      <c r="C295" t="s">
        <v>15</v>
      </c>
      <c r="D295" t="s">
        <v>45</v>
      </c>
      <c r="E295" s="23">
        <v>44381</v>
      </c>
      <c r="F295">
        <v>149447</v>
      </c>
      <c r="G295">
        <v>5</v>
      </c>
      <c r="H295" t="s">
        <v>35</v>
      </c>
      <c r="I295" t="s">
        <v>27</v>
      </c>
      <c r="J295">
        <v>21</v>
      </c>
      <c r="K295">
        <f>Table1[[#This Row],[Salary]]+(Table1[[#This Row],[Salary]]*(Table1[[#This Row],[Bonus %]]/100))</f>
        <v>156919.35</v>
      </c>
      <c r="L295" t="str">
        <f t="shared" si="4"/>
        <v>Fail</v>
      </c>
    </row>
    <row r="296" spans="1:12" x14ac:dyDescent="0.45">
      <c r="A296" t="s">
        <v>618</v>
      </c>
      <c r="B296" t="s">
        <v>619</v>
      </c>
      <c r="C296" t="s">
        <v>34</v>
      </c>
      <c r="D296" t="s">
        <v>45</v>
      </c>
      <c r="E296" s="23">
        <v>44382</v>
      </c>
      <c r="F296">
        <v>49951</v>
      </c>
      <c r="G296">
        <v>5</v>
      </c>
      <c r="H296" t="s">
        <v>35</v>
      </c>
      <c r="I296" t="s">
        <v>18</v>
      </c>
      <c r="J296">
        <v>4</v>
      </c>
      <c r="K296">
        <f>Table1[[#This Row],[Salary]]+(Table1[[#This Row],[Salary]]*(Table1[[#This Row],[Bonus %]]/100))</f>
        <v>52448.55</v>
      </c>
      <c r="L296" t="str">
        <f t="shared" si="4"/>
        <v>Fail</v>
      </c>
    </row>
    <row r="297" spans="1:12" x14ac:dyDescent="0.45">
      <c r="A297" t="s">
        <v>620</v>
      </c>
      <c r="B297" t="s">
        <v>621</v>
      </c>
      <c r="C297" t="s">
        <v>52</v>
      </c>
      <c r="D297" t="s">
        <v>45</v>
      </c>
      <c r="E297" s="23">
        <v>44383</v>
      </c>
      <c r="F297">
        <v>54806</v>
      </c>
      <c r="G297">
        <v>20</v>
      </c>
      <c r="H297" t="s">
        <v>17</v>
      </c>
      <c r="I297" t="s">
        <v>18</v>
      </c>
      <c r="J297">
        <v>14</v>
      </c>
      <c r="K297">
        <f>Table1[[#This Row],[Salary]]+(Table1[[#This Row],[Salary]]*(Table1[[#This Row],[Bonus %]]/100))</f>
        <v>65767.199999999997</v>
      </c>
      <c r="L297" t="str">
        <f t="shared" si="4"/>
        <v>Pass</v>
      </c>
    </row>
    <row r="298" spans="1:12" x14ac:dyDescent="0.45">
      <c r="A298" t="s">
        <v>622</v>
      </c>
      <c r="B298" t="s">
        <v>623</v>
      </c>
      <c r="C298" t="s">
        <v>15</v>
      </c>
      <c r="D298" t="s">
        <v>26</v>
      </c>
      <c r="E298" s="23">
        <v>44384</v>
      </c>
      <c r="F298">
        <v>111253</v>
      </c>
      <c r="G298">
        <v>20</v>
      </c>
      <c r="H298" t="s">
        <v>30</v>
      </c>
      <c r="I298" t="s">
        <v>27</v>
      </c>
      <c r="J298">
        <v>2</v>
      </c>
      <c r="K298">
        <f>Table1[[#This Row],[Salary]]+(Table1[[#This Row],[Salary]]*(Table1[[#This Row],[Bonus %]]/100))</f>
        <v>133503.6</v>
      </c>
      <c r="L298" t="str">
        <f t="shared" si="4"/>
        <v>Pass</v>
      </c>
    </row>
    <row r="299" spans="1:12" x14ac:dyDescent="0.45">
      <c r="A299" t="s">
        <v>624</v>
      </c>
      <c r="B299" t="s">
        <v>625</v>
      </c>
      <c r="C299" t="s">
        <v>59</v>
      </c>
      <c r="D299" t="s">
        <v>45</v>
      </c>
      <c r="E299" s="23">
        <v>44385</v>
      </c>
      <c r="F299">
        <v>90350</v>
      </c>
      <c r="G299">
        <v>5</v>
      </c>
      <c r="H299" t="s">
        <v>30</v>
      </c>
      <c r="I299" t="s">
        <v>22</v>
      </c>
      <c r="J299">
        <v>22</v>
      </c>
      <c r="K299">
        <f>Table1[[#This Row],[Salary]]+(Table1[[#This Row],[Salary]]*(Table1[[#This Row],[Bonus %]]/100))</f>
        <v>94867.5</v>
      </c>
      <c r="L299" t="str">
        <f t="shared" si="4"/>
        <v>Pass</v>
      </c>
    </row>
    <row r="300" spans="1:12" x14ac:dyDescent="0.45">
      <c r="A300" t="s">
        <v>626</v>
      </c>
      <c r="B300" t="s">
        <v>627</v>
      </c>
      <c r="C300" t="s">
        <v>15</v>
      </c>
      <c r="D300" t="s">
        <v>38</v>
      </c>
      <c r="E300" s="23">
        <v>44386</v>
      </c>
      <c r="F300">
        <v>107886</v>
      </c>
      <c r="G300">
        <v>15</v>
      </c>
      <c r="H300" t="s">
        <v>30</v>
      </c>
      <c r="I300" t="s">
        <v>31</v>
      </c>
      <c r="J300">
        <v>22</v>
      </c>
      <c r="K300">
        <f>Table1[[#This Row],[Salary]]+(Table1[[#This Row],[Salary]]*(Table1[[#This Row],[Bonus %]]/100))</f>
        <v>124068.9</v>
      </c>
      <c r="L300" t="str">
        <f t="shared" si="4"/>
        <v>Pass</v>
      </c>
    </row>
    <row r="301" spans="1:12" x14ac:dyDescent="0.45">
      <c r="A301" t="s">
        <v>628</v>
      </c>
      <c r="B301" t="s">
        <v>629</v>
      </c>
      <c r="C301" t="s">
        <v>59</v>
      </c>
      <c r="D301" t="s">
        <v>21</v>
      </c>
      <c r="E301" s="23">
        <v>44387</v>
      </c>
      <c r="F301">
        <v>145182</v>
      </c>
      <c r="G301">
        <v>15</v>
      </c>
      <c r="H301" t="s">
        <v>30</v>
      </c>
      <c r="I301" t="s">
        <v>22</v>
      </c>
      <c r="J301">
        <v>8</v>
      </c>
      <c r="K301">
        <f>Table1[[#This Row],[Salary]]+(Table1[[#This Row],[Salary]]*(Table1[[#This Row],[Bonus %]]/100))</f>
        <v>166959.29999999999</v>
      </c>
      <c r="L301" t="str">
        <f t="shared" si="4"/>
        <v>Pass</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9"/>
  <sheetViews>
    <sheetView workbookViewId="0">
      <selection activeCell="B37" sqref="B37"/>
    </sheetView>
  </sheetViews>
  <sheetFormatPr defaultRowHeight="14.25" x14ac:dyDescent="0.45"/>
  <cols>
    <col min="1" max="1" width="10.6640625" bestFit="1" customWidth="1"/>
    <col min="2" max="2" width="82.86328125" bestFit="1" customWidth="1"/>
  </cols>
  <sheetData>
    <row r="1" spans="1:2" x14ac:dyDescent="0.45">
      <c r="B1" s="1" t="s">
        <v>630</v>
      </c>
    </row>
    <row r="2" spans="1:2" x14ac:dyDescent="0.45">
      <c r="B2" t="s">
        <v>631</v>
      </c>
    </row>
    <row r="3" spans="1:2" x14ac:dyDescent="0.45">
      <c r="B3" t="s">
        <v>632</v>
      </c>
    </row>
    <row r="4" spans="1:2" x14ac:dyDescent="0.45">
      <c r="B4" t="s">
        <v>633</v>
      </c>
    </row>
    <row r="5" spans="1:2" x14ac:dyDescent="0.45">
      <c r="B5" t="s">
        <v>634</v>
      </c>
    </row>
    <row r="6" spans="1:2" x14ac:dyDescent="0.45">
      <c r="B6" t="s">
        <v>635</v>
      </c>
    </row>
    <row r="7" spans="1:2" x14ac:dyDescent="0.45">
      <c r="B7" t="s">
        <v>636</v>
      </c>
    </row>
    <row r="8" spans="1:2" x14ac:dyDescent="0.45">
      <c r="B8" t="s">
        <v>637</v>
      </c>
    </row>
    <row r="9" spans="1:2" x14ac:dyDescent="0.45">
      <c r="B9" t="s">
        <v>638</v>
      </c>
    </row>
    <row r="10" spans="1:2" x14ac:dyDescent="0.45">
      <c r="B10" t="s">
        <v>639</v>
      </c>
    </row>
    <row r="11" spans="1:2" x14ac:dyDescent="0.45">
      <c r="B11" t="s">
        <v>640</v>
      </c>
    </row>
    <row r="16" spans="1:2" x14ac:dyDescent="0.45">
      <c r="A16" t="s">
        <v>11</v>
      </c>
      <c r="B16" t="s">
        <v>1569</v>
      </c>
    </row>
    <row r="17" spans="1:2" x14ac:dyDescent="0.45">
      <c r="A17" t="s">
        <v>18</v>
      </c>
      <c r="B17" t="s">
        <v>1571</v>
      </c>
    </row>
    <row r="18" spans="1:2" x14ac:dyDescent="0.45">
      <c r="A18" t="s">
        <v>22</v>
      </c>
      <c r="B18" t="s">
        <v>1570</v>
      </c>
    </row>
    <row r="19" spans="1:2" x14ac:dyDescent="0.45">
      <c r="A19" t="s">
        <v>27</v>
      </c>
      <c r="B19" t="s">
        <v>1572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01"/>
  <sheetViews>
    <sheetView workbookViewId="0">
      <selection activeCell="M4" sqref="M4"/>
    </sheetView>
  </sheetViews>
  <sheetFormatPr defaultRowHeight="14.25" x14ac:dyDescent="0.45"/>
  <cols>
    <col min="1" max="1" width="12.06640625" bestFit="1" customWidth="1"/>
    <col min="2" max="2" width="14.1328125" bestFit="1" customWidth="1"/>
    <col min="3" max="3" width="19.33203125" bestFit="1" customWidth="1"/>
    <col min="4" max="4" width="10.73046875" bestFit="1" customWidth="1"/>
    <col min="5" max="5" width="11.46484375" bestFit="1" customWidth="1"/>
    <col min="6" max="6" width="13.3984375" bestFit="1" customWidth="1"/>
    <col min="7" max="7" width="13" bestFit="1" customWidth="1"/>
    <col min="8" max="8" width="13.796875" bestFit="1" customWidth="1"/>
    <col min="9" max="9" width="14.1328125" bestFit="1" customWidth="1"/>
    <col min="10" max="10" width="12.3984375" customWidth="1"/>
  </cols>
  <sheetData>
    <row r="1" spans="1:10" x14ac:dyDescent="0.45">
      <c r="A1" s="3" t="s">
        <v>641</v>
      </c>
      <c r="B1" s="3" t="s">
        <v>642</v>
      </c>
      <c r="C1" s="3" t="s">
        <v>643</v>
      </c>
      <c r="D1" s="3" t="s">
        <v>644</v>
      </c>
      <c r="E1" s="3" t="s">
        <v>645</v>
      </c>
      <c r="F1" s="3" t="s">
        <v>646</v>
      </c>
      <c r="G1" s="3" t="s">
        <v>647</v>
      </c>
      <c r="H1" s="3" t="s">
        <v>648</v>
      </c>
      <c r="I1" s="3" t="s">
        <v>649</v>
      </c>
      <c r="J1" s="3" t="s">
        <v>650</v>
      </c>
    </row>
    <row r="2" spans="1:10" x14ac:dyDescent="0.45">
      <c r="A2" t="s">
        <v>651</v>
      </c>
      <c r="B2" s="2">
        <v>45042</v>
      </c>
      <c r="C2" t="s">
        <v>652</v>
      </c>
      <c r="D2" t="s">
        <v>653</v>
      </c>
      <c r="E2" t="s">
        <v>654</v>
      </c>
      <c r="F2">
        <v>89</v>
      </c>
      <c r="G2">
        <v>46493</v>
      </c>
      <c r="H2">
        <v>4137877</v>
      </c>
      <c r="I2">
        <v>10</v>
      </c>
      <c r="J2" t="s">
        <v>655</v>
      </c>
    </row>
    <row r="3" spans="1:10" x14ac:dyDescent="0.45">
      <c r="A3" t="s">
        <v>656</v>
      </c>
      <c r="B3" s="2">
        <v>45748</v>
      </c>
      <c r="C3" t="s">
        <v>657</v>
      </c>
      <c r="D3" t="s">
        <v>658</v>
      </c>
      <c r="E3" t="s">
        <v>659</v>
      </c>
      <c r="F3">
        <v>42</v>
      </c>
      <c r="G3">
        <v>17870</v>
      </c>
      <c r="H3">
        <v>750540</v>
      </c>
      <c r="I3">
        <v>10</v>
      </c>
      <c r="J3" t="s">
        <v>660</v>
      </c>
    </row>
    <row r="4" spans="1:10" x14ac:dyDescent="0.45">
      <c r="A4" t="s">
        <v>661</v>
      </c>
      <c r="B4" s="2">
        <v>45241</v>
      </c>
      <c r="C4" t="s">
        <v>662</v>
      </c>
      <c r="D4" t="s">
        <v>658</v>
      </c>
      <c r="E4" t="s">
        <v>663</v>
      </c>
      <c r="F4">
        <v>23</v>
      </c>
      <c r="G4">
        <v>7222</v>
      </c>
      <c r="H4">
        <v>166106</v>
      </c>
      <c r="I4">
        <v>0</v>
      </c>
      <c r="J4" t="s">
        <v>664</v>
      </c>
    </row>
    <row r="5" spans="1:10" x14ac:dyDescent="0.45">
      <c r="A5" t="s">
        <v>665</v>
      </c>
      <c r="B5" s="2">
        <v>45609</v>
      </c>
      <c r="C5" t="s">
        <v>666</v>
      </c>
      <c r="D5" t="s">
        <v>667</v>
      </c>
      <c r="E5" t="s">
        <v>668</v>
      </c>
      <c r="F5">
        <v>26</v>
      </c>
      <c r="G5">
        <v>42516</v>
      </c>
      <c r="H5">
        <v>1105416</v>
      </c>
      <c r="I5">
        <v>15</v>
      </c>
      <c r="J5" t="s">
        <v>669</v>
      </c>
    </row>
    <row r="6" spans="1:10" x14ac:dyDescent="0.45">
      <c r="A6" t="s">
        <v>670</v>
      </c>
      <c r="B6" s="2">
        <v>44920</v>
      </c>
      <c r="C6" t="s">
        <v>671</v>
      </c>
      <c r="D6" t="s">
        <v>658</v>
      </c>
      <c r="E6" t="s">
        <v>663</v>
      </c>
      <c r="F6">
        <v>45</v>
      </c>
      <c r="G6">
        <v>15971</v>
      </c>
      <c r="H6">
        <v>718695</v>
      </c>
      <c r="I6">
        <v>0</v>
      </c>
      <c r="J6" t="s">
        <v>672</v>
      </c>
    </row>
    <row r="7" spans="1:10" x14ac:dyDescent="0.45">
      <c r="A7" t="s">
        <v>673</v>
      </c>
      <c r="B7" s="2">
        <v>45356</v>
      </c>
      <c r="C7" t="s">
        <v>674</v>
      </c>
      <c r="D7" t="s">
        <v>675</v>
      </c>
      <c r="E7" t="s">
        <v>659</v>
      </c>
      <c r="F7">
        <v>21</v>
      </c>
      <c r="G7">
        <v>25174</v>
      </c>
      <c r="H7">
        <v>528654</v>
      </c>
      <c r="I7">
        <v>15</v>
      </c>
      <c r="J7" t="s">
        <v>676</v>
      </c>
    </row>
    <row r="8" spans="1:10" x14ac:dyDescent="0.45">
      <c r="A8" t="s">
        <v>677</v>
      </c>
      <c r="B8" s="2">
        <v>44820</v>
      </c>
      <c r="C8" t="s">
        <v>678</v>
      </c>
      <c r="D8" t="s">
        <v>675</v>
      </c>
      <c r="E8" t="s">
        <v>663</v>
      </c>
      <c r="F8">
        <v>21</v>
      </c>
      <c r="G8">
        <v>6475</v>
      </c>
      <c r="H8">
        <v>135975</v>
      </c>
      <c r="I8">
        <v>15</v>
      </c>
      <c r="J8" t="s">
        <v>679</v>
      </c>
    </row>
    <row r="9" spans="1:10" x14ac:dyDescent="0.45">
      <c r="A9" t="s">
        <v>680</v>
      </c>
      <c r="B9" s="2">
        <v>45149</v>
      </c>
      <c r="C9" t="s">
        <v>681</v>
      </c>
      <c r="D9" t="s">
        <v>675</v>
      </c>
      <c r="E9" t="s">
        <v>663</v>
      </c>
      <c r="F9">
        <v>43</v>
      </c>
      <c r="G9">
        <v>24561</v>
      </c>
      <c r="H9">
        <v>1056123</v>
      </c>
      <c r="I9">
        <v>15</v>
      </c>
      <c r="J9" t="s">
        <v>682</v>
      </c>
    </row>
    <row r="10" spans="1:10" x14ac:dyDescent="0.45">
      <c r="A10" t="s">
        <v>683</v>
      </c>
      <c r="B10" s="2">
        <v>44892</v>
      </c>
      <c r="C10" t="s">
        <v>684</v>
      </c>
      <c r="D10" t="s">
        <v>667</v>
      </c>
      <c r="E10" t="s">
        <v>654</v>
      </c>
      <c r="F10">
        <v>35</v>
      </c>
      <c r="G10">
        <v>48017</v>
      </c>
      <c r="H10">
        <v>1680595</v>
      </c>
      <c r="I10">
        <v>10</v>
      </c>
      <c r="J10" t="s">
        <v>685</v>
      </c>
    </row>
    <row r="11" spans="1:10" x14ac:dyDescent="0.45">
      <c r="A11" t="s">
        <v>686</v>
      </c>
      <c r="B11" s="2">
        <v>45643</v>
      </c>
      <c r="C11" t="s">
        <v>687</v>
      </c>
      <c r="D11" t="s">
        <v>675</v>
      </c>
      <c r="E11" t="s">
        <v>663</v>
      </c>
      <c r="F11">
        <v>31</v>
      </c>
      <c r="G11">
        <v>43981</v>
      </c>
      <c r="H11">
        <v>1363411</v>
      </c>
      <c r="I11">
        <v>10</v>
      </c>
      <c r="J11" t="s">
        <v>688</v>
      </c>
    </row>
    <row r="12" spans="1:10" x14ac:dyDescent="0.45">
      <c r="A12" t="s">
        <v>689</v>
      </c>
      <c r="B12" s="2">
        <v>45580</v>
      </c>
      <c r="C12" t="s">
        <v>690</v>
      </c>
      <c r="D12" t="s">
        <v>658</v>
      </c>
      <c r="E12" t="s">
        <v>654</v>
      </c>
      <c r="F12">
        <v>65</v>
      </c>
      <c r="G12">
        <v>34279</v>
      </c>
      <c r="H12">
        <v>2228135</v>
      </c>
      <c r="I12">
        <v>0</v>
      </c>
      <c r="J12" t="s">
        <v>691</v>
      </c>
    </row>
    <row r="13" spans="1:10" x14ac:dyDescent="0.45">
      <c r="A13" t="s">
        <v>692</v>
      </c>
      <c r="B13" s="2">
        <v>45150</v>
      </c>
      <c r="C13" t="s">
        <v>693</v>
      </c>
      <c r="D13" t="s">
        <v>653</v>
      </c>
      <c r="E13" t="s">
        <v>654</v>
      </c>
      <c r="F13">
        <v>66</v>
      </c>
      <c r="G13">
        <v>43657</v>
      </c>
      <c r="H13">
        <v>2881362</v>
      </c>
      <c r="I13">
        <v>0</v>
      </c>
      <c r="J13" t="s">
        <v>694</v>
      </c>
    </row>
    <row r="14" spans="1:10" x14ac:dyDescent="0.45">
      <c r="A14" t="s">
        <v>695</v>
      </c>
      <c r="B14" s="2">
        <v>45645</v>
      </c>
      <c r="C14" t="s">
        <v>696</v>
      </c>
      <c r="D14" t="s">
        <v>653</v>
      </c>
      <c r="E14" t="s">
        <v>659</v>
      </c>
      <c r="F14">
        <v>53</v>
      </c>
      <c r="G14">
        <v>48247</v>
      </c>
      <c r="H14">
        <v>2557091</v>
      </c>
      <c r="I14">
        <v>5</v>
      </c>
      <c r="J14" t="s">
        <v>697</v>
      </c>
    </row>
    <row r="15" spans="1:10" x14ac:dyDescent="0.45">
      <c r="A15" t="s">
        <v>698</v>
      </c>
      <c r="B15" s="2">
        <v>44821</v>
      </c>
      <c r="C15" t="s">
        <v>407</v>
      </c>
      <c r="D15" t="s">
        <v>653</v>
      </c>
      <c r="E15" t="s">
        <v>654</v>
      </c>
      <c r="F15">
        <v>16</v>
      </c>
      <c r="G15">
        <v>36356</v>
      </c>
      <c r="H15">
        <v>581696</v>
      </c>
      <c r="I15">
        <v>0</v>
      </c>
      <c r="J15" t="s">
        <v>699</v>
      </c>
    </row>
    <row r="16" spans="1:10" x14ac:dyDescent="0.45">
      <c r="A16" t="s">
        <v>700</v>
      </c>
      <c r="B16" s="2">
        <v>45054</v>
      </c>
      <c r="C16" t="s">
        <v>701</v>
      </c>
      <c r="D16" t="s">
        <v>667</v>
      </c>
      <c r="E16" t="s">
        <v>702</v>
      </c>
      <c r="F16">
        <v>33</v>
      </c>
      <c r="G16">
        <v>34573</v>
      </c>
      <c r="H16">
        <v>1140909</v>
      </c>
      <c r="I16">
        <v>5</v>
      </c>
      <c r="J16" t="s">
        <v>703</v>
      </c>
    </row>
    <row r="17" spans="1:14" x14ac:dyDescent="0.45">
      <c r="A17" t="s">
        <v>704</v>
      </c>
      <c r="B17" s="2">
        <v>45696</v>
      </c>
      <c r="C17" t="s">
        <v>705</v>
      </c>
      <c r="D17" t="s">
        <v>653</v>
      </c>
      <c r="E17" t="s">
        <v>659</v>
      </c>
      <c r="F17">
        <v>24</v>
      </c>
      <c r="G17">
        <v>41936</v>
      </c>
      <c r="H17">
        <v>1006464</v>
      </c>
      <c r="I17">
        <v>5</v>
      </c>
      <c r="J17" t="s">
        <v>706</v>
      </c>
    </row>
    <row r="18" spans="1:14" x14ac:dyDescent="0.45">
      <c r="A18" t="s">
        <v>707</v>
      </c>
      <c r="B18" s="2">
        <v>45021</v>
      </c>
      <c r="C18" t="s">
        <v>708</v>
      </c>
      <c r="D18" t="s">
        <v>653</v>
      </c>
      <c r="E18" t="s">
        <v>663</v>
      </c>
      <c r="F18">
        <v>85</v>
      </c>
      <c r="G18">
        <v>16232</v>
      </c>
      <c r="H18">
        <v>1379720</v>
      </c>
      <c r="I18">
        <v>0</v>
      </c>
      <c r="J18" t="s">
        <v>709</v>
      </c>
    </row>
    <row r="19" spans="1:14" x14ac:dyDescent="0.45">
      <c r="A19" t="s">
        <v>710</v>
      </c>
      <c r="B19" s="2">
        <v>45573</v>
      </c>
      <c r="C19" t="s">
        <v>711</v>
      </c>
      <c r="D19" t="s">
        <v>667</v>
      </c>
      <c r="E19" t="s">
        <v>663</v>
      </c>
      <c r="F19">
        <v>31</v>
      </c>
      <c r="G19">
        <v>4159</v>
      </c>
      <c r="H19">
        <v>128929</v>
      </c>
      <c r="I19">
        <v>0</v>
      </c>
      <c r="J19" t="s">
        <v>712</v>
      </c>
    </row>
    <row r="20" spans="1:14" x14ac:dyDescent="0.45">
      <c r="A20" t="s">
        <v>713</v>
      </c>
      <c r="B20" s="2">
        <v>45150</v>
      </c>
      <c r="C20" t="s">
        <v>714</v>
      </c>
      <c r="D20" t="s">
        <v>667</v>
      </c>
      <c r="E20" t="s">
        <v>702</v>
      </c>
      <c r="F20">
        <v>5</v>
      </c>
      <c r="G20">
        <v>35527</v>
      </c>
      <c r="H20">
        <v>177635</v>
      </c>
      <c r="I20">
        <v>15</v>
      </c>
      <c r="J20" t="s">
        <v>715</v>
      </c>
    </row>
    <row r="21" spans="1:14" x14ac:dyDescent="0.45">
      <c r="A21" t="s">
        <v>716</v>
      </c>
      <c r="B21" s="2">
        <v>45797</v>
      </c>
      <c r="C21" t="s">
        <v>717</v>
      </c>
      <c r="D21" t="s">
        <v>675</v>
      </c>
      <c r="E21" t="s">
        <v>654</v>
      </c>
      <c r="F21">
        <v>6</v>
      </c>
      <c r="G21">
        <v>40252</v>
      </c>
      <c r="H21">
        <v>241512</v>
      </c>
      <c r="I21">
        <v>15</v>
      </c>
      <c r="J21" t="s">
        <v>718</v>
      </c>
    </row>
    <row r="22" spans="1:14" x14ac:dyDescent="0.45">
      <c r="A22" t="s">
        <v>719</v>
      </c>
      <c r="B22" s="2">
        <v>45429</v>
      </c>
      <c r="C22" t="s">
        <v>720</v>
      </c>
      <c r="D22" t="s">
        <v>658</v>
      </c>
      <c r="E22" t="s">
        <v>702</v>
      </c>
      <c r="F22">
        <v>83</v>
      </c>
      <c r="G22">
        <v>16861</v>
      </c>
      <c r="H22">
        <v>1399463</v>
      </c>
      <c r="I22">
        <v>10</v>
      </c>
      <c r="J22" t="s">
        <v>721</v>
      </c>
    </row>
    <row r="23" spans="1:14" x14ac:dyDescent="0.45">
      <c r="A23" t="s">
        <v>722</v>
      </c>
      <c r="B23" s="2">
        <v>45231</v>
      </c>
      <c r="C23" t="s">
        <v>723</v>
      </c>
      <c r="D23" t="s">
        <v>667</v>
      </c>
      <c r="E23" t="s">
        <v>668</v>
      </c>
      <c r="F23">
        <v>90</v>
      </c>
      <c r="G23">
        <v>12061</v>
      </c>
      <c r="H23">
        <v>1085490</v>
      </c>
      <c r="I23">
        <v>15</v>
      </c>
      <c r="J23" t="s">
        <v>724</v>
      </c>
      <c r="N23" t="s">
        <v>1577</v>
      </c>
    </row>
    <row r="24" spans="1:14" x14ac:dyDescent="0.45">
      <c r="A24" t="s">
        <v>725</v>
      </c>
      <c r="B24" s="2">
        <v>45451</v>
      </c>
      <c r="C24" t="s">
        <v>726</v>
      </c>
      <c r="D24" t="s">
        <v>675</v>
      </c>
      <c r="E24" t="s">
        <v>668</v>
      </c>
      <c r="F24">
        <v>84</v>
      </c>
      <c r="G24">
        <v>13445</v>
      </c>
      <c r="H24">
        <v>1129380</v>
      </c>
      <c r="I24">
        <v>15</v>
      </c>
      <c r="J24" t="s">
        <v>727</v>
      </c>
    </row>
    <row r="25" spans="1:14" x14ac:dyDescent="0.45">
      <c r="A25" t="s">
        <v>728</v>
      </c>
      <c r="B25" s="2">
        <v>45638</v>
      </c>
      <c r="C25" t="s">
        <v>729</v>
      </c>
      <c r="D25" t="s">
        <v>675</v>
      </c>
      <c r="E25" t="s">
        <v>654</v>
      </c>
      <c r="F25">
        <v>79</v>
      </c>
      <c r="G25">
        <v>33266</v>
      </c>
      <c r="H25">
        <v>2628014</v>
      </c>
      <c r="I25">
        <v>0</v>
      </c>
      <c r="J25" t="s">
        <v>730</v>
      </c>
    </row>
    <row r="26" spans="1:14" x14ac:dyDescent="0.45">
      <c r="A26" t="s">
        <v>731</v>
      </c>
      <c r="B26" s="2">
        <v>45244</v>
      </c>
      <c r="C26" t="s">
        <v>732</v>
      </c>
      <c r="D26" t="s">
        <v>653</v>
      </c>
      <c r="E26" t="s">
        <v>668</v>
      </c>
      <c r="F26">
        <v>55</v>
      </c>
      <c r="G26">
        <v>14362</v>
      </c>
      <c r="H26">
        <v>789910</v>
      </c>
      <c r="I26">
        <v>10</v>
      </c>
      <c r="J26" t="s">
        <v>733</v>
      </c>
    </row>
    <row r="27" spans="1:14" x14ac:dyDescent="0.45">
      <c r="A27" t="s">
        <v>734</v>
      </c>
      <c r="B27" s="2">
        <v>45613</v>
      </c>
      <c r="C27" t="s">
        <v>735</v>
      </c>
      <c r="D27" t="s">
        <v>653</v>
      </c>
      <c r="E27" t="s">
        <v>654</v>
      </c>
      <c r="F27">
        <v>35</v>
      </c>
      <c r="G27">
        <v>15966</v>
      </c>
      <c r="H27">
        <v>558810</v>
      </c>
      <c r="I27">
        <v>15</v>
      </c>
      <c r="J27" t="s">
        <v>736</v>
      </c>
    </row>
    <row r="28" spans="1:14" x14ac:dyDescent="0.45">
      <c r="A28" t="s">
        <v>737</v>
      </c>
      <c r="B28" s="2">
        <v>45360</v>
      </c>
      <c r="C28" t="s">
        <v>738</v>
      </c>
      <c r="D28" t="s">
        <v>653</v>
      </c>
      <c r="E28" t="s">
        <v>663</v>
      </c>
      <c r="F28">
        <v>95</v>
      </c>
      <c r="G28">
        <v>36625</v>
      </c>
      <c r="H28">
        <v>3479375</v>
      </c>
      <c r="I28">
        <v>10</v>
      </c>
      <c r="J28" t="s">
        <v>739</v>
      </c>
    </row>
    <row r="29" spans="1:14" x14ac:dyDescent="0.45">
      <c r="A29" t="s">
        <v>740</v>
      </c>
      <c r="B29" s="2">
        <v>45474</v>
      </c>
      <c r="C29" t="s">
        <v>741</v>
      </c>
      <c r="D29" t="s">
        <v>658</v>
      </c>
      <c r="E29" t="s">
        <v>654</v>
      </c>
      <c r="F29">
        <v>21</v>
      </c>
      <c r="G29">
        <v>1012</v>
      </c>
      <c r="H29">
        <v>21252</v>
      </c>
      <c r="I29">
        <v>10</v>
      </c>
      <c r="J29" t="s">
        <v>742</v>
      </c>
    </row>
    <row r="30" spans="1:14" x14ac:dyDescent="0.45">
      <c r="A30" t="s">
        <v>743</v>
      </c>
      <c r="B30" s="2">
        <v>44981</v>
      </c>
      <c r="C30" t="s">
        <v>744</v>
      </c>
      <c r="D30" t="s">
        <v>675</v>
      </c>
      <c r="E30" t="s">
        <v>659</v>
      </c>
      <c r="F30">
        <v>91</v>
      </c>
      <c r="G30">
        <v>30847</v>
      </c>
      <c r="H30">
        <v>2807077</v>
      </c>
      <c r="I30">
        <v>10</v>
      </c>
      <c r="J30" t="s">
        <v>745</v>
      </c>
    </row>
    <row r="31" spans="1:14" x14ac:dyDescent="0.45">
      <c r="A31" t="s">
        <v>746</v>
      </c>
      <c r="B31" s="2">
        <v>45807</v>
      </c>
      <c r="C31" t="s">
        <v>747</v>
      </c>
      <c r="D31" t="s">
        <v>653</v>
      </c>
      <c r="E31" t="s">
        <v>702</v>
      </c>
      <c r="F31">
        <v>30</v>
      </c>
      <c r="G31">
        <v>27648</v>
      </c>
      <c r="H31">
        <v>829440</v>
      </c>
      <c r="I31">
        <v>10</v>
      </c>
      <c r="J31" t="s">
        <v>748</v>
      </c>
    </row>
    <row r="32" spans="1:14" x14ac:dyDescent="0.45">
      <c r="A32" t="s">
        <v>749</v>
      </c>
      <c r="B32" s="2">
        <v>45130</v>
      </c>
      <c r="C32" t="s">
        <v>750</v>
      </c>
      <c r="D32" t="s">
        <v>658</v>
      </c>
      <c r="E32" t="s">
        <v>702</v>
      </c>
      <c r="F32">
        <v>69</v>
      </c>
      <c r="G32">
        <v>10409</v>
      </c>
      <c r="H32">
        <v>718221</v>
      </c>
      <c r="I32">
        <v>15</v>
      </c>
      <c r="J32" t="s">
        <v>751</v>
      </c>
    </row>
    <row r="33" spans="1:10" x14ac:dyDescent="0.45">
      <c r="A33" t="s">
        <v>752</v>
      </c>
      <c r="B33" s="2">
        <v>44934</v>
      </c>
      <c r="C33" t="s">
        <v>753</v>
      </c>
      <c r="D33" t="s">
        <v>667</v>
      </c>
      <c r="E33" t="s">
        <v>702</v>
      </c>
      <c r="F33">
        <v>15</v>
      </c>
      <c r="G33">
        <v>22069</v>
      </c>
      <c r="H33">
        <v>331035</v>
      </c>
      <c r="I33">
        <v>10</v>
      </c>
      <c r="J33" t="s">
        <v>754</v>
      </c>
    </row>
    <row r="34" spans="1:10" x14ac:dyDescent="0.45">
      <c r="A34" t="s">
        <v>755</v>
      </c>
      <c r="B34" s="2">
        <v>45003</v>
      </c>
      <c r="C34" t="s">
        <v>756</v>
      </c>
      <c r="D34" t="s">
        <v>667</v>
      </c>
      <c r="E34" t="s">
        <v>659</v>
      </c>
      <c r="F34">
        <v>27</v>
      </c>
      <c r="G34">
        <v>3790</v>
      </c>
      <c r="H34">
        <v>102330</v>
      </c>
      <c r="I34">
        <v>5</v>
      </c>
      <c r="J34" t="s">
        <v>757</v>
      </c>
    </row>
    <row r="35" spans="1:10" x14ac:dyDescent="0.45">
      <c r="A35" t="s">
        <v>758</v>
      </c>
      <c r="B35" s="2">
        <v>45787</v>
      </c>
      <c r="C35" t="s">
        <v>759</v>
      </c>
      <c r="D35" t="s">
        <v>667</v>
      </c>
      <c r="E35" t="s">
        <v>663</v>
      </c>
      <c r="F35">
        <v>35</v>
      </c>
      <c r="G35">
        <v>10044</v>
      </c>
      <c r="H35">
        <v>351540</v>
      </c>
      <c r="I35">
        <v>15</v>
      </c>
      <c r="J35" t="s">
        <v>760</v>
      </c>
    </row>
    <row r="36" spans="1:10" x14ac:dyDescent="0.45">
      <c r="A36" t="s">
        <v>761</v>
      </c>
      <c r="B36" s="2">
        <v>44902</v>
      </c>
      <c r="C36" t="s">
        <v>762</v>
      </c>
      <c r="D36" t="s">
        <v>675</v>
      </c>
      <c r="E36" t="s">
        <v>663</v>
      </c>
      <c r="F36">
        <v>24</v>
      </c>
      <c r="G36">
        <v>13295</v>
      </c>
      <c r="H36">
        <v>319080</v>
      </c>
      <c r="I36">
        <v>15</v>
      </c>
      <c r="J36" t="s">
        <v>763</v>
      </c>
    </row>
    <row r="37" spans="1:10" x14ac:dyDescent="0.45">
      <c r="A37" t="s">
        <v>764</v>
      </c>
      <c r="B37" s="2">
        <v>45172</v>
      </c>
      <c r="C37" t="s">
        <v>765</v>
      </c>
      <c r="D37" t="s">
        <v>675</v>
      </c>
      <c r="E37" t="s">
        <v>702</v>
      </c>
      <c r="F37">
        <v>50</v>
      </c>
      <c r="G37">
        <v>48133</v>
      </c>
      <c r="H37">
        <v>2406650</v>
      </c>
      <c r="I37">
        <v>15</v>
      </c>
      <c r="J37" t="s">
        <v>766</v>
      </c>
    </row>
    <row r="38" spans="1:10" x14ac:dyDescent="0.45">
      <c r="A38" t="s">
        <v>767</v>
      </c>
      <c r="B38" s="2">
        <v>45727</v>
      </c>
      <c r="C38" t="s">
        <v>768</v>
      </c>
      <c r="D38" t="s">
        <v>667</v>
      </c>
      <c r="E38" t="s">
        <v>702</v>
      </c>
      <c r="F38">
        <v>29</v>
      </c>
      <c r="G38">
        <v>44565</v>
      </c>
      <c r="H38">
        <v>1292385</v>
      </c>
      <c r="I38">
        <v>5</v>
      </c>
      <c r="J38" t="s">
        <v>769</v>
      </c>
    </row>
    <row r="39" spans="1:10" x14ac:dyDescent="0.45">
      <c r="A39" t="s">
        <v>770</v>
      </c>
      <c r="B39" s="2">
        <v>45595</v>
      </c>
      <c r="C39" t="s">
        <v>771</v>
      </c>
      <c r="D39" t="s">
        <v>675</v>
      </c>
      <c r="E39" t="s">
        <v>668</v>
      </c>
      <c r="F39">
        <v>1</v>
      </c>
      <c r="G39">
        <v>39662</v>
      </c>
      <c r="H39">
        <v>39662</v>
      </c>
      <c r="I39">
        <v>5</v>
      </c>
      <c r="J39" t="s">
        <v>772</v>
      </c>
    </row>
    <row r="40" spans="1:10" x14ac:dyDescent="0.45">
      <c r="A40" t="s">
        <v>773</v>
      </c>
      <c r="B40" s="2">
        <v>45595</v>
      </c>
      <c r="C40" t="s">
        <v>774</v>
      </c>
      <c r="D40" t="s">
        <v>653</v>
      </c>
      <c r="E40" t="s">
        <v>702</v>
      </c>
      <c r="F40">
        <v>63</v>
      </c>
      <c r="G40">
        <v>12477</v>
      </c>
      <c r="H40">
        <v>786051</v>
      </c>
      <c r="I40">
        <v>15</v>
      </c>
      <c r="J40" t="s">
        <v>775</v>
      </c>
    </row>
    <row r="41" spans="1:10" x14ac:dyDescent="0.45">
      <c r="A41" t="s">
        <v>776</v>
      </c>
      <c r="B41" s="2">
        <v>45662</v>
      </c>
      <c r="C41" t="s">
        <v>777</v>
      </c>
      <c r="D41" t="s">
        <v>658</v>
      </c>
      <c r="E41" t="s">
        <v>663</v>
      </c>
      <c r="F41">
        <v>41</v>
      </c>
      <c r="G41">
        <v>45257</v>
      </c>
      <c r="H41">
        <v>1855537</v>
      </c>
      <c r="I41">
        <v>15</v>
      </c>
      <c r="J41" t="s">
        <v>778</v>
      </c>
    </row>
    <row r="42" spans="1:10" x14ac:dyDescent="0.45">
      <c r="A42" t="s">
        <v>779</v>
      </c>
      <c r="B42" s="2">
        <v>45221</v>
      </c>
      <c r="C42" t="s">
        <v>780</v>
      </c>
      <c r="D42" t="s">
        <v>658</v>
      </c>
      <c r="E42" t="s">
        <v>668</v>
      </c>
      <c r="F42">
        <v>40</v>
      </c>
      <c r="G42">
        <v>43275</v>
      </c>
      <c r="H42">
        <v>1731000</v>
      </c>
      <c r="I42">
        <v>10</v>
      </c>
      <c r="J42" t="s">
        <v>781</v>
      </c>
    </row>
    <row r="43" spans="1:10" x14ac:dyDescent="0.45">
      <c r="A43" t="s">
        <v>782</v>
      </c>
      <c r="B43" s="2">
        <v>45273</v>
      </c>
      <c r="C43" t="s">
        <v>783</v>
      </c>
      <c r="D43" t="s">
        <v>658</v>
      </c>
      <c r="E43" t="s">
        <v>654</v>
      </c>
      <c r="F43">
        <v>28</v>
      </c>
      <c r="G43">
        <v>44203</v>
      </c>
      <c r="H43">
        <v>1237684</v>
      </c>
      <c r="I43">
        <v>5</v>
      </c>
      <c r="J43" t="s">
        <v>784</v>
      </c>
    </row>
    <row r="44" spans="1:10" x14ac:dyDescent="0.45">
      <c r="A44" t="s">
        <v>785</v>
      </c>
      <c r="B44" s="2">
        <v>45165</v>
      </c>
      <c r="C44" t="s">
        <v>786</v>
      </c>
      <c r="D44" t="s">
        <v>658</v>
      </c>
      <c r="E44" t="s">
        <v>654</v>
      </c>
      <c r="F44">
        <v>32</v>
      </c>
      <c r="G44">
        <v>14038</v>
      </c>
      <c r="H44">
        <v>449216</v>
      </c>
      <c r="I44">
        <v>0</v>
      </c>
      <c r="J44" t="s">
        <v>787</v>
      </c>
    </row>
    <row r="45" spans="1:10" x14ac:dyDescent="0.45">
      <c r="A45" t="s">
        <v>788</v>
      </c>
      <c r="B45" s="2">
        <v>44811</v>
      </c>
      <c r="C45" t="s">
        <v>789</v>
      </c>
      <c r="D45" t="s">
        <v>658</v>
      </c>
      <c r="E45" t="s">
        <v>702</v>
      </c>
      <c r="F45">
        <v>84</v>
      </c>
      <c r="G45">
        <v>29537</v>
      </c>
      <c r="H45">
        <v>2481108</v>
      </c>
      <c r="I45">
        <v>5</v>
      </c>
      <c r="J45" t="s">
        <v>790</v>
      </c>
    </row>
    <row r="46" spans="1:10" x14ac:dyDescent="0.45">
      <c r="A46" t="s">
        <v>791</v>
      </c>
      <c r="B46" s="2">
        <v>45448</v>
      </c>
      <c r="C46" t="s">
        <v>792</v>
      </c>
      <c r="D46" t="s">
        <v>653</v>
      </c>
      <c r="E46" t="s">
        <v>702</v>
      </c>
      <c r="F46">
        <v>7</v>
      </c>
      <c r="G46">
        <v>17355</v>
      </c>
      <c r="H46">
        <v>121485</v>
      </c>
      <c r="I46">
        <v>0</v>
      </c>
      <c r="J46" t="s">
        <v>793</v>
      </c>
    </row>
    <row r="47" spans="1:10" x14ac:dyDescent="0.45">
      <c r="A47" t="s">
        <v>794</v>
      </c>
      <c r="B47" s="2">
        <v>45222</v>
      </c>
      <c r="C47" t="s">
        <v>795</v>
      </c>
      <c r="D47" t="s">
        <v>675</v>
      </c>
      <c r="E47" t="s">
        <v>659</v>
      </c>
      <c r="F47">
        <v>91</v>
      </c>
      <c r="G47">
        <v>46471</v>
      </c>
      <c r="H47">
        <v>4228861</v>
      </c>
      <c r="I47">
        <v>0</v>
      </c>
      <c r="J47" t="s">
        <v>796</v>
      </c>
    </row>
    <row r="48" spans="1:10" x14ac:dyDescent="0.45">
      <c r="A48" t="s">
        <v>797</v>
      </c>
      <c r="B48" s="2">
        <v>44946</v>
      </c>
      <c r="C48" t="s">
        <v>798</v>
      </c>
      <c r="D48" t="s">
        <v>658</v>
      </c>
      <c r="E48" t="s">
        <v>668</v>
      </c>
      <c r="F48">
        <v>49</v>
      </c>
      <c r="G48">
        <v>11217</v>
      </c>
      <c r="H48">
        <v>549633</v>
      </c>
      <c r="I48">
        <v>0</v>
      </c>
      <c r="J48" t="s">
        <v>799</v>
      </c>
    </row>
    <row r="49" spans="1:10" x14ac:dyDescent="0.45">
      <c r="A49" t="s">
        <v>800</v>
      </c>
      <c r="B49" s="2">
        <v>45699</v>
      </c>
      <c r="C49" t="s">
        <v>801</v>
      </c>
      <c r="D49" t="s">
        <v>658</v>
      </c>
      <c r="E49" t="s">
        <v>654</v>
      </c>
      <c r="F49">
        <v>38</v>
      </c>
      <c r="G49">
        <v>37416</v>
      </c>
      <c r="H49">
        <v>1421808</v>
      </c>
      <c r="I49">
        <v>5</v>
      </c>
      <c r="J49" t="s">
        <v>802</v>
      </c>
    </row>
    <row r="50" spans="1:10" x14ac:dyDescent="0.45">
      <c r="A50" t="s">
        <v>803</v>
      </c>
      <c r="B50" s="2">
        <v>45344</v>
      </c>
      <c r="C50" t="s">
        <v>804</v>
      </c>
      <c r="D50" t="s">
        <v>658</v>
      </c>
      <c r="E50" t="s">
        <v>654</v>
      </c>
      <c r="F50">
        <v>82</v>
      </c>
      <c r="G50">
        <v>33729</v>
      </c>
      <c r="H50">
        <v>2765778</v>
      </c>
      <c r="I50">
        <v>10</v>
      </c>
      <c r="J50" t="s">
        <v>805</v>
      </c>
    </row>
    <row r="51" spans="1:10" x14ac:dyDescent="0.45">
      <c r="A51" t="s">
        <v>806</v>
      </c>
      <c r="B51" s="2">
        <v>45789</v>
      </c>
      <c r="C51" t="s">
        <v>807</v>
      </c>
      <c r="D51" t="s">
        <v>667</v>
      </c>
      <c r="E51" t="s">
        <v>668</v>
      </c>
      <c r="F51">
        <v>76</v>
      </c>
      <c r="G51">
        <v>46251</v>
      </c>
      <c r="H51">
        <v>3515076</v>
      </c>
      <c r="I51">
        <v>0</v>
      </c>
      <c r="J51" t="s">
        <v>808</v>
      </c>
    </row>
    <row r="52" spans="1:10" x14ac:dyDescent="0.45">
      <c r="A52" t="s">
        <v>809</v>
      </c>
      <c r="B52" s="2">
        <v>45123</v>
      </c>
      <c r="C52" t="s">
        <v>810</v>
      </c>
      <c r="D52" t="s">
        <v>667</v>
      </c>
      <c r="E52" t="s">
        <v>663</v>
      </c>
      <c r="F52">
        <v>84</v>
      </c>
      <c r="G52">
        <v>42614</v>
      </c>
      <c r="H52">
        <v>3579576</v>
      </c>
      <c r="I52">
        <v>15</v>
      </c>
      <c r="J52" t="s">
        <v>811</v>
      </c>
    </row>
    <row r="53" spans="1:10" x14ac:dyDescent="0.45">
      <c r="A53" t="s">
        <v>812</v>
      </c>
      <c r="B53" s="2">
        <v>45312</v>
      </c>
      <c r="C53" t="s">
        <v>813</v>
      </c>
      <c r="D53" t="s">
        <v>667</v>
      </c>
      <c r="E53" t="s">
        <v>702</v>
      </c>
      <c r="F53">
        <v>66</v>
      </c>
      <c r="G53">
        <v>47084</v>
      </c>
      <c r="H53">
        <v>3107544</v>
      </c>
      <c r="I53">
        <v>15</v>
      </c>
      <c r="J53" t="s">
        <v>814</v>
      </c>
    </row>
    <row r="54" spans="1:10" x14ac:dyDescent="0.45">
      <c r="A54" t="s">
        <v>815</v>
      </c>
      <c r="B54" s="2">
        <v>45096</v>
      </c>
      <c r="C54" t="s">
        <v>816</v>
      </c>
      <c r="D54" t="s">
        <v>658</v>
      </c>
      <c r="E54" t="s">
        <v>654</v>
      </c>
      <c r="F54">
        <v>45</v>
      </c>
      <c r="G54">
        <v>13502</v>
      </c>
      <c r="H54">
        <v>607590</v>
      </c>
      <c r="I54">
        <v>0</v>
      </c>
      <c r="J54" t="s">
        <v>817</v>
      </c>
    </row>
    <row r="55" spans="1:10" x14ac:dyDescent="0.45">
      <c r="A55" t="s">
        <v>818</v>
      </c>
      <c r="B55" s="2">
        <v>45621</v>
      </c>
      <c r="C55" t="s">
        <v>819</v>
      </c>
      <c r="D55" t="s">
        <v>667</v>
      </c>
      <c r="E55" t="s">
        <v>663</v>
      </c>
      <c r="F55">
        <v>58</v>
      </c>
      <c r="G55">
        <v>551</v>
      </c>
      <c r="H55">
        <v>31958</v>
      </c>
      <c r="I55">
        <v>5</v>
      </c>
      <c r="J55" t="s">
        <v>820</v>
      </c>
    </row>
    <row r="56" spans="1:10" x14ac:dyDescent="0.45">
      <c r="A56" t="s">
        <v>821</v>
      </c>
      <c r="B56" s="2">
        <v>45223</v>
      </c>
      <c r="C56" t="s">
        <v>822</v>
      </c>
      <c r="D56" t="s">
        <v>667</v>
      </c>
      <c r="E56" t="s">
        <v>654</v>
      </c>
      <c r="F56">
        <v>98</v>
      </c>
      <c r="G56">
        <v>39997</v>
      </c>
      <c r="H56">
        <v>3919706</v>
      </c>
      <c r="I56">
        <v>5</v>
      </c>
      <c r="J56" t="s">
        <v>823</v>
      </c>
    </row>
    <row r="57" spans="1:10" x14ac:dyDescent="0.45">
      <c r="A57" t="s">
        <v>824</v>
      </c>
      <c r="B57" s="2">
        <v>45029</v>
      </c>
      <c r="C57" t="s">
        <v>825</v>
      </c>
      <c r="D57" t="s">
        <v>653</v>
      </c>
      <c r="E57" t="s">
        <v>668</v>
      </c>
      <c r="F57">
        <v>85</v>
      </c>
      <c r="G57">
        <v>46311</v>
      </c>
      <c r="H57">
        <v>3936435</v>
      </c>
      <c r="I57">
        <v>15</v>
      </c>
      <c r="J57" t="s">
        <v>826</v>
      </c>
    </row>
    <row r="58" spans="1:10" x14ac:dyDescent="0.45">
      <c r="A58" t="s">
        <v>827</v>
      </c>
      <c r="B58" s="2">
        <v>44802</v>
      </c>
      <c r="C58" t="s">
        <v>828</v>
      </c>
      <c r="D58" t="s">
        <v>658</v>
      </c>
      <c r="E58" t="s">
        <v>654</v>
      </c>
      <c r="F58">
        <v>98</v>
      </c>
      <c r="G58">
        <v>28181</v>
      </c>
      <c r="H58">
        <v>2761738</v>
      </c>
      <c r="I58">
        <v>10</v>
      </c>
      <c r="J58" t="s">
        <v>829</v>
      </c>
    </row>
    <row r="59" spans="1:10" x14ac:dyDescent="0.45">
      <c r="A59" t="s">
        <v>830</v>
      </c>
      <c r="B59" s="2">
        <v>45085</v>
      </c>
      <c r="C59" t="s">
        <v>831</v>
      </c>
      <c r="D59" t="s">
        <v>658</v>
      </c>
      <c r="E59" t="s">
        <v>702</v>
      </c>
      <c r="F59">
        <v>18</v>
      </c>
      <c r="G59">
        <v>29834</v>
      </c>
      <c r="H59">
        <v>537012</v>
      </c>
      <c r="I59">
        <v>15</v>
      </c>
      <c r="J59" t="s">
        <v>832</v>
      </c>
    </row>
    <row r="60" spans="1:10" x14ac:dyDescent="0.45">
      <c r="A60" t="s">
        <v>833</v>
      </c>
      <c r="B60" s="2">
        <v>45068</v>
      </c>
      <c r="C60" t="s">
        <v>834</v>
      </c>
      <c r="D60" t="s">
        <v>675</v>
      </c>
      <c r="E60" t="s">
        <v>702</v>
      </c>
      <c r="F60">
        <v>36</v>
      </c>
      <c r="G60">
        <v>33304</v>
      </c>
      <c r="H60">
        <v>1198944</v>
      </c>
      <c r="I60">
        <v>0</v>
      </c>
      <c r="J60" t="s">
        <v>835</v>
      </c>
    </row>
    <row r="61" spans="1:10" x14ac:dyDescent="0.45">
      <c r="A61" t="s">
        <v>836</v>
      </c>
      <c r="B61" s="2">
        <v>44787</v>
      </c>
      <c r="C61" t="s">
        <v>837</v>
      </c>
      <c r="D61" t="s">
        <v>667</v>
      </c>
      <c r="E61" t="s">
        <v>654</v>
      </c>
      <c r="F61">
        <v>13</v>
      </c>
      <c r="G61">
        <v>8631</v>
      </c>
      <c r="H61">
        <v>112203</v>
      </c>
      <c r="I61">
        <v>15</v>
      </c>
      <c r="J61" t="s">
        <v>838</v>
      </c>
    </row>
    <row r="62" spans="1:10" x14ac:dyDescent="0.45">
      <c r="A62" t="s">
        <v>839</v>
      </c>
      <c r="B62" s="2">
        <v>45382</v>
      </c>
      <c r="C62" t="s">
        <v>840</v>
      </c>
      <c r="D62" t="s">
        <v>675</v>
      </c>
      <c r="E62" t="s">
        <v>654</v>
      </c>
      <c r="F62">
        <v>67</v>
      </c>
      <c r="G62">
        <v>14877</v>
      </c>
      <c r="H62">
        <v>996759</v>
      </c>
      <c r="I62">
        <v>15</v>
      </c>
      <c r="J62" t="s">
        <v>841</v>
      </c>
    </row>
    <row r="63" spans="1:10" x14ac:dyDescent="0.45">
      <c r="A63" t="s">
        <v>842</v>
      </c>
      <c r="B63" s="2">
        <v>44887</v>
      </c>
      <c r="C63" t="s">
        <v>843</v>
      </c>
      <c r="D63" t="s">
        <v>653</v>
      </c>
      <c r="E63" t="s">
        <v>702</v>
      </c>
      <c r="F63">
        <v>3</v>
      </c>
      <c r="G63">
        <v>21978</v>
      </c>
      <c r="H63">
        <v>65934</v>
      </c>
      <c r="I63">
        <v>10</v>
      </c>
      <c r="J63" t="s">
        <v>844</v>
      </c>
    </row>
    <row r="64" spans="1:10" x14ac:dyDescent="0.45">
      <c r="A64" t="s">
        <v>845</v>
      </c>
      <c r="B64" s="2">
        <v>45125</v>
      </c>
      <c r="C64" t="s">
        <v>846</v>
      </c>
      <c r="D64" t="s">
        <v>667</v>
      </c>
      <c r="E64" t="s">
        <v>663</v>
      </c>
      <c r="F64">
        <v>38</v>
      </c>
      <c r="G64">
        <v>32821</v>
      </c>
      <c r="H64">
        <v>1247198</v>
      </c>
      <c r="I64">
        <v>5</v>
      </c>
      <c r="J64" t="s">
        <v>847</v>
      </c>
    </row>
    <row r="65" spans="1:10" x14ac:dyDescent="0.45">
      <c r="A65" t="s">
        <v>848</v>
      </c>
      <c r="B65" s="2">
        <v>45742</v>
      </c>
      <c r="C65" t="s">
        <v>849</v>
      </c>
      <c r="D65" t="s">
        <v>667</v>
      </c>
      <c r="E65" t="s">
        <v>654</v>
      </c>
      <c r="F65">
        <v>22</v>
      </c>
      <c r="G65">
        <v>16656</v>
      </c>
      <c r="H65">
        <v>366432</v>
      </c>
      <c r="I65">
        <v>5</v>
      </c>
      <c r="J65" t="s">
        <v>850</v>
      </c>
    </row>
    <row r="66" spans="1:10" x14ac:dyDescent="0.45">
      <c r="A66" t="s">
        <v>851</v>
      </c>
      <c r="B66" s="2">
        <v>45094</v>
      </c>
      <c r="C66" t="s">
        <v>852</v>
      </c>
      <c r="D66" t="s">
        <v>658</v>
      </c>
      <c r="E66" t="s">
        <v>654</v>
      </c>
      <c r="F66">
        <v>43</v>
      </c>
      <c r="G66">
        <v>11050</v>
      </c>
      <c r="H66">
        <v>475150</v>
      </c>
      <c r="I66">
        <v>5</v>
      </c>
      <c r="J66" t="s">
        <v>853</v>
      </c>
    </row>
    <row r="67" spans="1:10" x14ac:dyDescent="0.45">
      <c r="A67" t="s">
        <v>854</v>
      </c>
      <c r="B67" s="2">
        <v>45317</v>
      </c>
      <c r="C67" t="s">
        <v>855</v>
      </c>
      <c r="D67" t="s">
        <v>675</v>
      </c>
      <c r="E67" t="s">
        <v>702</v>
      </c>
      <c r="F67">
        <v>97</v>
      </c>
      <c r="G67">
        <v>3725</v>
      </c>
      <c r="H67">
        <v>361325</v>
      </c>
      <c r="I67">
        <v>0</v>
      </c>
      <c r="J67" t="s">
        <v>856</v>
      </c>
    </row>
    <row r="68" spans="1:10" x14ac:dyDescent="0.45">
      <c r="A68" t="s">
        <v>857</v>
      </c>
      <c r="B68" s="2">
        <v>45402</v>
      </c>
      <c r="C68" t="s">
        <v>858</v>
      </c>
      <c r="D68" t="s">
        <v>675</v>
      </c>
      <c r="E68" t="s">
        <v>668</v>
      </c>
      <c r="F68">
        <v>91</v>
      </c>
      <c r="G68">
        <v>5688</v>
      </c>
      <c r="H68">
        <v>517608</v>
      </c>
      <c r="I68">
        <v>15</v>
      </c>
      <c r="J68" t="s">
        <v>859</v>
      </c>
    </row>
    <row r="69" spans="1:10" x14ac:dyDescent="0.45">
      <c r="A69" t="s">
        <v>860</v>
      </c>
      <c r="B69" s="2">
        <v>44833</v>
      </c>
      <c r="C69" t="s">
        <v>861</v>
      </c>
      <c r="D69" t="s">
        <v>675</v>
      </c>
      <c r="E69" t="s">
        <v>702</v>
      </c>
      <c r="F69">
        <v>94</v>
      </c>
      <c r="G69">
        <v>38201</v>
      </c>
      <c r="H69">
        <v>3590894</v>
      </c>
      <c r="I69">
        <v>0</v>
      </c>
      <c r="J69" t="s">
        <v>862</v>
      </c>
    </row>
    <row r="70" spans="1:10" x14ac:dyDescent="0.45">
      <c r="A70" t="s">
        <v>863</v>
      </c>
      <c r="B70" s="2">
        <v>45607</v>
      </c>
      <c r="C70" t="s">
        <v>864</v>
      </c>
      <c r="D70" t="s">
        <v>675</v>
      </c>
      <c r="E70" t="s">
        <v>654</v>
      </c>
      <c r="F70">
        <v>90</v>
      </c>
      <c r="G70">
        <v>20280</v>
      </c>
      <c r="H70">
        <v>1825200</v>
      </c>
      <c r="I70">
        <v>10</v>
      </c>
      <c r="J70" t="s">
        <v>865</v>
      </c>
    </row>
    <row r="71" spans="1:10" x14ac:dyDescent="0.45">
      <c r="A71" t="s">
        <v>866</v>
      </c>
      <c r="B71" s="2">
        <v>44958</v>
      </c>
      <c r="C71" t="s">
        <v>867</v>
      </c>
      <c r="D71" t="s">
        <v>653</v>
      </c>
      <c r="E71" t="s">
        <v>702</v>
      </c>
      <c r="F71">
        <v>70</v>
      </c>
      <c r="G71">
        <v>31342</v>
      </c>
      <c r="H71">
        <v>2193940</v>
      </c>
      <c r="I71">
        <v>5</v>
      </c>
      <c r="J71" t="s">
        <v>868</v>
      </c>
    </row>
    <row r="72" spans="1:10" x14ac:dyDescent="0.45">
      <c r="A72" t="s">
        <v>869</v>
      </c>
      <c r="B72" s="2">
        <v>44814</v>
      </c>
      <c r="C72" t="s">
        <v>870</v>
      </c>
      <c r="D72" t="s">
        <v>658</v>
      </c>
      <c r="E72" t="s">
        <v>659</v>
      </c>
      <c r="F72">
        <v>80</v>
      </c>
      <c r="G72">
        <v>21588</v>
      </c>
      <c r="H72">
        <v>1727040</v>
      </c>
      <c r="I72">
        <v>15</v>
      </c>
      <c r="J72" t="s">
        <v>871</v>
      </c>
    </row>
    <row r="73" spans="1:10" x14ac:dyDescent="0.45">
      <c r="A73" t="s">
        <v>872</v>
      </c>
      <c r="B73" s="2">
        <v>45601</v>
      </c>
      <c r="C73" t="s">
        <v>873</v>
      </c>
      <c r="D73" t="s">
        <v>653</v>
      </c>
      <c r="E73" t="s">
        <v>659</v>
      </c>
      <c r="F73">
        <v>93</v>
      </c>
      <c r="G73">
        <v>39013</v>
      </c>
      <c r="H73">
        <v>3628209</v>
      </c>
      <c r="I73">
        <v>5</v>
      </c>
      <c r="J73" t="s">
        <v>874</v>
      </c>
    </row>
    <row r="74" spans="1:10" x14ac:dyDescent="0.45">
      <c r="A74" t="s">
        <v>875</v>
      </c>
      <c r="B74" s="2">
        <v>45811</v>
      </c>
      <c r="C74" t="s">
        <v>876</v>
      </c>
      <c r="D74" t="s">
        <v>667</v>
      </c>
      <c r="E74" t="s">
        <v>702</v>
      </c>
      <c r="F74">
        <v>18</v>
      </c>
      <c r="G74">
        <v>32121</v>
      </c>
      <c r="H74">
        <v>578178</v>
      </c>
      <c r="I74">
        <v>15</v>
      </c>
      <c r="J74" t="s">
        <v>877</v>
      </c>
    </row>
    <row r="75" spans="1:10" x14ac:dyDescent="0.45">
      <c r="A75" t="s">
        <v>878</v>
      </c>
      <c r="B75" s="2">
        <v>44776</v>
      </c>
      <c r="C75" t="s">
        <v>879</v>
      </c>
      <c r="D75" t="s">
        <v>675</v>
      </c>
      <c r="E75" t="s">
        <v>659</v>
      </c>
      <c r="F75">
        <v>51</v>
      </c>
      <c r="G75">
        <v>13278</v>
      </c>
      <c r="H75">
        <v>677178</v>
      </c>
      <c r="I75">
        <v>10</v>
      </c>
      <c r="J75" t="s">
        <v>880</v>
      </c>
    </row>
    <row r="76" spans="1:10" x14ac:dyDescent="0.45">
      <c r="A76" t="s">
        <v>881</v>
      </c>
      <c r="B76" s="2">
        <v>45286</v>
      </c>
      <c r="C76" t="s">
        <v>882</v>
      </c>
      <c r="D76" t="s">
        <v>667</v>
      </c>
      <c r="E76" t="s">
        <v>663</v>
      </c>
      <c r="F76">
        <v>44</v>
      </c>
      <c r="G76">
        <v>21077</v>
      </c>
      <c r="H76">
        <v>927388</v>
      </c>
      <c r="I76">
        <v>0</v>
      </c>
      <c r="J76" t="s">
        <v>883</v>
      </c>
    </row>
    <row r="77" spans="1:10" x14ac:dyDescent="0.45">
      <c r="A77" t="s">
        <v>884</v>
      </c>
      <c r="B77" s="2">
        <v>45473</v>
      </c>
      <c r="C77" t="s">
        <v>885</v>
      </c>
      <c r="D77" t="s">
        <v>675</v>
      </c>
      <c r="E77" t="s">
        <v>702</v>
      </c>
      <c r="F77">
        <v>49</v>
      </c>
      <c r="G77">
        <v>29409</v>
      </c>
      <c r="H77">
        <v>1441041</v>
      </c>
      <c r="I77">
        <v>5</v>
      </c>
      <c r="J77" t="s">
        <v>886</v>
      </c>
    </row>
    <row r="78" spans="1:10" x14ac:dyDescent="0.45">
      <c r="A78" t="s">
        <v>887</v>
      </c>
      <c r="B78" s="2">
        <v>45136</v>
      </c>
      <c r="C78" t="s">
        <v>888</v>
      </c>
      <c r="D78" t="s">
        <v>667</v>
      </c>
      <c r="E78" t="s">
        <v>659</v>
      </c>
      <c r="F78">
        <v>69</v>
      </c>
      <c r="G78">
        <v>29640</v>
      </c>
      <c r="H78">
        <v>2045160</v>
      </c>
      <c r="I78">
        <v>10</v>
      </c>
      <c r="J78" t="s">
        <v>889</v>
      </c>
    </row>
    <row r="79" spans="1:10" x14ac:dyDescent="0.45">
      <c r="A79" t="s">
        <v>890</v>
      </c>
      <c r="B79" s="2">
        <v>45252</v>
      </c>
      <c r="C79" t="s">
        <v>891</v>
      </c>
      <c r="D79" t="s">
        <v>667</v>
      </c>
      <c r="E79" t="s">
        <v>654</v>
      </c>
      <c r="F79">
        <v>57</v>
      </c>
      <c r="G79">
        <v>17297</v>
      </c>
      <c r="H79">
        <v>985929</v>
      </c>
      <c r="I79">
        <v>0</v>
      </c>
      <c r="J79" t="s">
        <v>892</v>
      </c>
    </row>
    <row r="80" spans="1:10" x14ac:dyDescent="0.45">
      <c r="A80" t="s">
        <v>893</v>
      </c>
      <c r="B80" s="2">
        <v>45554</v>
      </c>
      <c r="C80" t="s">
        <v>894</v>
      </c>
      <c r="D80" t="s">
        <v>667</v>
      </c>
      <c r="E80" t="s">
        <v>663</v>
      </c>
      <c r="F80">
        <v>73</v>
      </c>
      <c r="G80">
        <v>11618</v>
      </c>
      <c r="H80">
        <v>848114</v>
      </c>
      <c r="I80">
        <v>10</v>
      </c>
      <c r="J80" t="s">
        <v>895</v>
      </c>
    </row>
    <row r="81" spans="1:10" x14ac:dyDescent="0.45">
      <c r="A81" t="s">
        <v>896</v>
      </c>
      <c r="B81" s="2">
        <v>44890</v>
      </c>
      <c r="C81" t="s">
        <v>897</v>
      </c>
      <c r="D81" t="s">
        <v>675</v>
      </c>
      <c r="E81" t="s">
        <v>663</v>
      </c>
      <c r="F81">
        <v>1</v>
      </c>
      <c r="G81">
        <v>5236</v>
      </c>
      <c r="H81">
        <v>5236</v>
      </c>
      <c r="I81">
        <v>15</v>
      </c>
      <c r="J81" t="s">
        <v>898</v>
      </c>
    </row>
    <row r="82" spans="1:10" x14ac:dyDescent="0.45">
      <c r="A82" t="s">
        <v>899</v>
      </c>
      <c r="B82" s="2">
        <v>45312</v>
      </c>
      <c r="C82" t="s">
        <v>900</v>
      </c>
      <c r="D82" t="s">
        <v>675</v>
      </c>
      <c r="E82" t="s">
        <v>663</v>
      </c>
      <c r="F82">
        <v>38</v>
      </c>
      <c r="G82">
        <v>40786</v>
      </c>
      <c r="H82">
        <v>1549868</v>
      </c>
      <c r="I82">
        <v>10</v>
      </c>
      <c r="J82" t="s">
        <v>901</v>
      </c>
    </row>
    <row r="83" spans="1:10" x14ac:dyDescent="0.45">
      <c r="A83" t="s">
        <v>902</v>
      </c>
      <c r="B83" s="2">
        <v>44898</v>
      </c>
      <c r="C83" t="s">
        <v>903</v>
      </c>
      <c r="D83" t="s">
        <v>675</v>
      </c>
      <c r="E83" t="s">
        <v>663</v>
      </c>
      <c r="F83">
        <v>6</v>
      </c>
      <c r="G83">
        <v>4907</v>
      </c>
      <c r="H83">
        <v>29442</v>
      </c>
      <c r="I83">
        <v>5</v>
      </c>
      <c r="J83" t="s">
        <v>904</v>
      </c>
    </row>
    <row r="84" spans="1:10" x14ac:dyDescent="0.45">
      <c r="A84" t="s">
        <v>905</v>
      </c>
      <c r="B84" s="2">
        <v>44892</v>
      </c>
      <c r="C84" t="s">
        <v>906</v>
      </c>
      <c r="D84" t="s">
        <v>658</v>
      </c>
      <c r="E84" t="s">
        <v>702</v>
      </c>
      <c r="F84">
        <v>28</v>
      </c>
      <c r="G84">
        <v>35046</v>
      </c>
      <c r="H84">
        <v>981288</v>
      </c>
      <c r="I84">
        <v>0</v>
      </c>
      <c r="J84" t="s">
        <v>907</v>
      </c>
    </row>
    <row r="85" spans="1:10" x14ac:dyDescent="0.45">
      <c r="A85" t="s">
        <v>908</v>
      </c>
      <c r="B85" s="2">
        <v>44848</v>
      </c>
      <c r="C85" t="s">
        <v>909</v>
      </c>
      <c r="D85" t="s">
        <v>675</v>
      </c>
      <c r="E85" t="s">
        <v>654</v>
      </c>
      <c r="F85">
        <v>71</v>
      </c>
      <c r="G85">
        <v>11218</v>
      </c>
      <c r="H85">
        <v>796478</v>
      </c>
      <c r="I85">
        <v>5</v>
      </c>
      <c r="J85" t="s">
        <v>910</v>
      </c>
    </row>
    <row r="86" spans="1:10" x14ac:dyDescent="0.45">
      <c r="A86" t="s">
        <v>911</v>
      </c>
      <c r="B86" s="2">
        <v>45029</v>
      </c>
      <c r="C86" t="s">
        <v>912</v>
      </c>
      <c r="D86" t="s">
        <v>667</v>
      </c>
      <c r="E86" t="s">
        <v>663</v>
      </c>
      <c r="F86">
        <v>64</v>
      </c>
      <c r="G86">
        <v>42291</v>
      </c>
      <c r="H86">
        <v>2706624</v>
      </c>
      <c r="I86">
        <v>15</v>
      </c>
      <c r="J86" t="s">
        <v>913</v>
      </c>
    </row>
    <row r="87" spans="1:10" x14ac:dyDescent="0.45">
      <c r="A87" t="s">
        <v>914</v>
      </c>
      <c r="B87" s="2">
        <v>45019</v>
      </c>
      <c r="C87" t="s">
        <v>915</v>
      </c>
      <c r="D87" t="s">
        <v>653</v>
      </c>
      <c r="E87" t="s">
        <v>702</v>
      </c>
      <c r="F87">
        <v>49</v>
      </c>
      <c r="G87">
        <v>49982</v>
      </c>
      <c r="H87">
        <v>2449118</v>
      </c>
      <c r="I87">
        <v>10</v>
      </c>
      <c r="J87" t="s">
        <v>916</v>
      </c>
    </row>
    <row r="88" spans="1:10" x14ac:dyDescent="0.45">
      <c r="A88" t="s">
        <v>917</v>
      </c>
      <c r="B88" s="2">
        <v>45674</v>
      </c>
      <c r="C88" t="s">
        <v>918</v>
      </c>
      <c r="D88" t="s">
        <v>653</v>
      </c>
      <c r="E88" t="s">
        <v>663</v>
      </c>
      <c r="F88">
        <v>53</v>
      </c>
      <c r="G88">
        <v>33901</v>
      </c>
      <c r="H88">
        <v>1796753</v>
      </c>
      <c r="I88">
        <v>15</v>
      </c>
      <c r="J88" t="s">
        <v>919</v>
      </c>
    </row>
    <row r="89" spans="1:10" x14ac:dyDescent="0.45">
      <c r="A89" t="s">
        <v>920</v>
      </c>
      <c r="B89" s="2">
        <v>44834</v>
      </c>
      <c r="C89" t="s">
        <v>921</v>
      </c>
      <c r="D89" t="s">
        <v>653</v>
      </c>
      <c r="E89" t="s">
        <v>668</v>
      </c>
      <c r="F89">
        <v>13</v>
      </c>
      <c r="G89">
        <v>34593</v>
      </c>
      <c r="H89">
        <v>449709</v>
      </c>
      <c r="I89">
        <v>15</v>
      </c>
      <c r="J89" t="s">
        <v>922</v>
      </c>
    </row>
    <row r="90" spans="1:10" x14ac:dyDescent="0.45">
      <c r="A90" t="s">
        <v>923</v>
      </c>
      <c r="B90" s="2">
        <v>45540</v>
      </c>
      <c r="C90" t="s">
        <v>924</v>
      </c>
      <c r="D90" t="s">
        <v>653</v>
      </c>
      <c r="E90" t="s">
        <v>668</v>
      </c>
      <c r="F90">
        <v>51</v>
      </c>
      <c r="G90">
        <v>9620</v>
      </c>
      <c r="H90">
        <v>490620</v>
      </c>
      <c r="I90">
        <v>10</v>
      </c>
      <c r="J90" t="s">
        <v>925</v>
      </c>
    </row>
    <row r="91" spans="1:10" x14ac:dyDescent="0.45">
      <c r="A91" t="s">
        <v>926</v>
      </c>
      <c r="B91" s="2">
        <v>44837</v>
      </c>
      <c r="C91" t="s">
        <v>927</v>
      </c>
      <c r="D91" t="s">
        <v>667</v>
      </c>
      <c r="E91" t="s">
        <v>702</v>
      </c>
      <c r="F91">
        <v>12</v>
      </c>
      <c r="G91">
        <v>26873</v>
      </c>
      <c r="H91">
        <v>322476</v>
      </c>
      <c r="I91">
        <v>15</v>
      </c>
      <c r="J91" t="s">
        <v>928</v>
      </c>
    </row>
    <row r="92" spans="1:10" x14ac:dyDescent="0.45">
      <c r="A92" t="s">
        <v>929</v>
      </c>
      <c r="B92" s="2">
        <v>45357</v>
      </c>
      <c r="C92" t="s">
        <v>930</v>
      </c>
      <c r="D92" t="s">
        <v>675</v>
      </c>
      <c r="E92" t="s">
        <v>702</v>
      </c>
      <c r="F92">
        <v>17</v>
      </c>
      <c r="G92">
        <v>39175</v>
      </c>
      <c r="H92">
        <v>665975</v>
      </c>
      <c r="I92">
        <v>0</v>
      </c>
      <c r="J92" t="s">
        <v>931</v>
      </c>
    </row>
    <row r="93" spans="1:10" x14ac:dyDescent="0.45">
      <c r="A93" t="s">
        <v>932</v>
      </c>
      <c r="B93" s="2">
        <v>44882</v>
      </c>
      <c r="C93" t="s">
        <v>933</v>
      </c>
      <c r="D93" t="s">
        <v>667</v>
      </c>
      <c r="E93" t="s">
        <v>663</v>
      </c>
      <c r="F93">
        <v>70</v>
      </c>
      <c r="G93">
        <v>27507</v>
      </c>
      <c r="H93">
        <v>1925490</v>
      </c>
      <c r="I93">
        <v>0</v>
      </c>
      <c r="J93" t="s">
        <v>934</v>
      </c>
    </row>
    <row r="94" spans="1:10" x14ac:dyDescent="0.45">
      <c r="A94" t="s">
        <v>935</v>
      </c>
      <c r="B94" s="2">
        <v>45179</v>
      </c>
      <c r="C94" t="s">
        <v>936</v>
      </c>
      <c r="D94" t="s">
        <v>667</v>
      </c>
      <c r="E94" t="s">
        <v>702</v>
      </c>
      <c r="F94">
        <v>86</v>
      </c>
      <c r="G94">
        <v>34840</v>
      </c>
      <c r="H94">
        <v>2996240</v>
      </c>
      <c r="I94">
        <v>0</v>
      </c>
      <c r="J94" t="s">
        <v>937</v>
      </c>
    </row>
    <row r="95" spans="1:10" x14ac:dyDescent="0.45">
      <c r="A95" t="s">
        <v>938</v>
      </c>
      <c r="B95" s="2">
        <v>45049</v>
      </c>
      <c r="C95" t="s">
        <v>939</v>
      </c>
      <c r="D95" t="s">
        <v>658</v>
      </c>
      <c r="E95" t="s">
        <v>663</v>
      </c>
      <c r="F95">
        <v>89</v>
      </c>
      <c r="G95">
        <v>11919</v>
      </c>
      <c r="H95">
        <v>1060791</v>
      </c>
      <c r="I95">
        <v>0</v>
      </c>
      <c r="J95" t="s">
        <v>940</v>
      </c>
    </row>
    <row r="96" spans="1:10" x14ac:dyDescent="0.45">
      <c r="A96" t="s">
        <v>941</v>
      </c>
      <c r="B96" s="2">
        <v>45470</v>
      </c>
      <c r="C96" t="s">
        <v>942</v>
      </c>
      <c r="D96" t="s">
        <v>653</v>
      </c>
      <c r="E96" t="s">
        <v>659</v>
      </c>
      <c r="F96">
        <v>74</v>
      </c>
      <c r="G96">
        <v>29745</v>
      </c>
      <c r="H96">
        <v>2201130</v>
      </c>
      <c r="I96">
        <v>5</v>
      </c>
      <c r="J96" t="s">
        <v>943</v>
      </c>
    </row>
    <row r="97" spans="1:10" x14ac:dyDescent="0.45">
      <c r="A97" t="s">
        <v>944</v>
      </c>
      <c r="B97" s="2">
        <v>44802</v>
      </c>
      <c r="C97" t="s">
        <v>945</v>
      </c>
      <c r="D97" t="s">
        <v>658</v>
      </c>
      <c r="E97" t="s">
        <v>654</v>
      </c>
      <c r="F97">
        <v>92</v>
      </c>
      <c r="G97">
        <v>43322</v>
      </c>
      <c r="H97">
        <v>3985624</v>
      </c>
      <c r="I97">
        <v>0</v>
      </c>
      <c r="J97" t="s">
        <v>946</v>
      </c>
    </row>
    <row r="98" spans="1:10" x14ac:dyDescent="0.45">
      <c r="A98" t="s">
        <v>947</v>
      </c>
      <c r="B98" s="2">
        <v>45081</v>
      </c>
      <c r="C98" t="s">
        <v>948</v>
      </c>
      <c r="D98" t="s">
        <v>667</v>
      </c>
      <c r="E98" t="s">
        <v>659</v>
      </c>
      <c r="F98">
        <v>19</v>
      </c>
      <c r="G98">
        <v>23216</v>
      </c>
      <c r="H98">
        <v>441104</v>
      </c>
      <c r="I98">
        <v>0</v>
      </c>
      <c r="J98" t="s">
        <v>949</v>
      </c>
    </row>
    <row r="99" spans="1:10" x14ac:dyDescent="0.45">
      <c r="A99" t="s">
        <v>950</v>
      </c>
      <c r="B99" s="2">
        <v>45263</v>
      </c>
      <c r="C99" t="s">
        <v>951</v>
      </c>
      <c r="D99" t="s">
        <v>675</v>
      </c>
      <c r="E99" t="s">
        <v>702</v>
      </c>
      <c r="F99">
        <v>89</v>
      </c>
      <c r="G99">
        <v>33083</v>
      </c>
      <c r="H99">
        <v>2944387</v>
      </c>
      <c r="I99">
        <v>10</v>
      </c>
      <c r="J99" t="s">
        <v>952</v>
      </c>
    </row>
    <row r="100" spans="1:10" x14ac:dyDescent="0.45">
      <c r="A100" t="s">
        <v>953</v>
      </c>
      <c r="B100" s="2">
        <v>45317</v>
      </c>
      <c r="C100" t="s">
        <v>954</v>
      </c>
      <c r="D100" t="s">
        <v>658</v>
      </c>
      <c r="E100" t="s">
        <v>663</v>
      </c>
      <c r="F100">
        <v>27</v>
      </c>
      <c r="G100">
        <v>8569</v>
      </c>
      <c r="H100">
        <v>231363</v>
      </c>
      <c r="I100">
        <v>0</v>
      </c>
      <c r="J100" t="s">
        <v>955</v>
      </c>
    </row>
    <row r="101" spans="1:10" x14ac:dyDescent="0.45">
      <c r="A101" t="s">
        <v>956</v>
      </c>
      <c r="B101" s="2">
        <v>45817</v>
      </c>
      <c r="C101" t="s">
        <v>957</v>
      </c>
      <c r="D101" t="s">
        <v>653</v>
      </c>
      <c r="E101" t="s">
        <v>668</v>
      </c>
      <c r="F101">
        <v>63</v>
      </c>
      <c r="G101">
        <v>8445</v>
      </c>
      <c r="H101">
        <v>532035</v>
      </c>
      <c r="I101">
        <v>15</v>
      </c>
      <c r="J101" t="s">
        <v>958</v>
      </c>
    </row>
    <row r="102" spans="1:10" x14ac:dyDescent="0.45">
      <c r="A102" t="s">
        <v>959</v>
      </c>
      <c r="B102" s="2">
        <v>45556</v>
      </c>
      <c r="C102" t="s">
        <v>960</v>
      </c>
      <c r="D102" t="s">
        <v>653</v>
      </c>
      <c r="E102" t="s">
        <v>659</v>
      </c>
      <c r="F102">
        <v>27</v>
      </c>
      <c r="G102">
        <v>49095</v>
      </c>
      <c r="H102">
        <v>1325565</v>
      </c>
      <c r="I102">
        <v>0</v>
      </c>
      <c r="J102" t="s">
        <v>961</v>
      </c>
    </row>
    <row r="103" spans="1:10" x14ac:dyDescent="0.45">
      <c r="A103" t="s">
        <v>962</v>
      </c>
      <c r="B103" s="2">
        <v>45242</v>
      </c>
      <c r="C103" t="s">
        <v>963</v>
      </c>
      <c r="D103" t="s">
        <v>658</v>
      </c>
      <c r="E103" t="s">
        <v>659</v>
      </c>
      <c r="F103">
        <v>96</v>
      </c>
      <c r="G103">
        <v>48257</v>
      </c>
      <c r="H103">
        <v>4632672</v>
      </c>
      <c r="I103">
        <v>0</v>
      </c>
      <c r="J103" t="s">
        <v>964</v>
      </c>
    </row>
    <row r="104" spans="1:10" x14ac:dyDescent="0.45">
      <c r="A104" t="s">
        <v>965</v>
      </c>
      <c r="B104" s="2">
        <v>45698</v>
      </c>
      <c r="C104" t="s">
        <v>966</v>
      </c>
      <c r="D104" t="s">
        <v>675</v>
      </c>
      <c r="E104" t="s">
        <v>659</v>
      </c>
      <c r="F104">
        <v>43</v>
      </c>
      <c r="G104">
        <v>12181</v>
      </c>
      <c r="H104">
        <v>523783</v>
      </c>
      <c r="I104">
        <v>5</v>
      </c>
      <c r="J104" t="s">
        <v>967</v>
      </c>
    </row>
    <row r="105" spans="1:10" x14ac:dyDescent="0.45">
      <c r="A105" t="s">
        <v>968</v>
      </c>
      <c r="B105" s="2">
        <v>45392</v>
      </c>
      <c r="C105" t="s">
        <v>969</v>
      </c>
      <c r="D105" t="s">
        <v>658</v>
      </c>
      <c r="E105" t="s">
        <v>659</v>
      </c>
      <c r="F105">
        <v>64</v>
      </c>
      <c r="G105">
        <v>31890</v>
      </c>
      <c r="H105">
        <v>2040960</v>
      </c>
      <c r="I105">
        <v>10</v>
      </c>
      <c r="J105" t="s">
        <v>970</v>
      </c>
    </row>
    <row r="106" spans="1:10" x14ac:dyDescent="0.45">
      <c r="A106" t="s">
        <v>971</v>
      </c>
      <c r="B106" s="2">
        <v>44866</v>
      </c>
      <c r="C106" t="s">
        <v>972</v>
      </c>
      <c r="D106" t="s">
        <v>658</v>
      </c>
      <c r="E106" t="s">
        <v>654</v>
      </c>
      <c r="F106">
        <v>73</v>
      </c>
      <c r="G106">
        <v>28573</v>
      </c>
      <c r="H106">
        <v>2085829</v>
      </c>
      <c r="I106">
        <v>5</v>
      </c>
      <c r="J106" t="s">
        <v>973</v>
      </c>
    </row>
    <row r="107" spans="1:10" x14ac:dyDescent="0.45">
      <c r="A107" t="s">
        <v>974</v>
      </c>
      <c r="B107" s="2">
        <v>44984</v>
      </c>
      <c r="C107" t="s">
        <v>975</v>
      </c>
      <c r="D107" t="s">
        <v>667</v>
      </c>
      <c r="E107" t="s">
        <v>668</v>
      </c>
      <c r="F107">
        <v>45</v>
      </c>
      <c r="G107">
        <v>35123</v>
      </c>
      <c r="H107">
        <v>1580535</v>
      </c>
      <c r="I107">
        <v>10</v>
      </c>
      <c r="J107" t="s">
        <v>976</v>
      </c>
    </row>
    <row r="108" spans="1:10" x14ac:dyDescent="0.45">
      <c r="A108" t="s">
        <v>977</v>
      </c>
      <c r="B108" s="2">
        <v>45584</v>
      </c>
      <c r="C108" t="s">
        <v>978</v>
      </c>
      <c r="D108" t="s">
        <v>675</v>
      </c>
      <c r="E108" t="s">
        <v>668</v>
      </c>
      <c r="F108">
        <v>30</v>
      </c>
      <c r="G108">
        <v>42305</v>
      </c>
      <c r="H108">
        <v>1269150</v>
      </c>
      <c r="I108">
        <v>5</v>
      </c>
      <c r="J108" t="s">
        <v>979</v>
      </c>
    </row>
    <row r="109" spans="1:10" x14ac:dyDescent="0.45">
      <c r="A109" t="s">
        <v>980</v>
      </c>
      <c r="B109" s="2">
        <v>44733</v>
      </c>
      <c r="C109" t="s">
        <v>981</v>
      </c>
      <c r="D109" t="s">
        <v>667</v>
      </c>
      <c r="E109" t="s">
        <v>663</v>
      </c>
      <c r="F109">
        <v>98</v>
      </c>
      <c r="G109">
        <v>34799</v>
      </c>
      <c r="H109">
        <v>3410302</v>
      </c>
      <c r="I109">
        <v>15</v>
      </c>
      <c r="J109" t="s">
        <v>982</v>
      </c>
    </row>
    <row r="110" spans="1:10" x14ac:dyDescent="0.45">
      <c r="A110" t="s">
        <v>983</v>
      </c>
      <c r="B110" s="2">
        <v>45166</v>
      </c>
      <c r="C110" t="s">
        <v>984</v>
      </c>
      <c r="D110" t="s">
        <v>675</v>
      </c>
      <c r="E110" t="s">
        <v>702</v>
      </c>
      <c r="F110">
        <v>62</v>
      </c>
      <c r="G110">
        <v>29733</v>
      </c>
      <c r="H110">
        <v>1843446</v>
      </c>
      <c r="I110">
        <v>15</v>
      </c>
      <c r="J110" t="s">
        <v>985</v>
      </c>
    </row>
    <row r="111" spans="1:10" x14ac:dyDescent="0.45">
      <c r="A111" t="s">
        <v>986</v>
      </c>
      <c r="B111" s="2">
        <v>45015</v>
      </c>
      <c r="C111" t="s">
        <v>987</v>
      </c>
      <c r="D111" t="s">
        <v>667</v>
      </c>
      <c r="E111" t="s">
        <v>659</v>
      </c>
      <c r="F111">
        <v>4</v>
      </c>
      <c r="G111">
        <v>29057</v>
      </c>
      <c r="H111">
        <v>116228</v>
      </c>
      <c r="I111">
        <v>10</v>
      </c>
      <c r="J111" t="s">
        <v>988</v>
      </c>
    </row>
    <row r="112" spans="1:10" x14ac:dyDescent="0.45">
      <c r="A112" t="s">
        <v>989</v>
      </c>
      <c r="B112" s="2">
        <v>45468</v>
      </c>
      <c r="C112" t="s">
        <v>990</v>
      </c>
      <c r="D112" t="s">
        <v>675</v>
      </c>
      <c r="E112" t="s">
        <v>702</v>
      </c>
      <c r="F112">
        <v>29</v>
      </c>
      <c r="G112">
        <v>16542</v>
      </c>
      <c r="H112">
        <v>479718</v>
      </c>
      <c r="I112">
        <v>0</v>
      </c>
      <c r="J112" t="s">
        <v>991</v>
      </c>
    </row>
    <row r="113" spans="1:10" x14ac:dyDescent="0.45">
      <c r="A113" t="s">
        <v>992</v>
      </c>
      <c r="B113" s="2">
        <v>44874</v>
      </c>
      <c r="C113" t="s">
        <v>993</v>
      </c>
      <c r="D113" t="s">
        <v>667</v>
      </c>
      <c r="E113" t="s">
        <v>668</v>
      </c>
      <c r="F113">
        <v>46</v>
      </c>
      <c r="G113">
        <v>15237</v>
      </c>
      <c r="H113">
        <v>700902</v>
      </c>
      <c r="I113">
        <v>15</v>
      </c>
      <c r="J113" t="s">
        <v>994</v>
      </c>
    </row>
    <row r="114" spans="1:10" x14ac:dyDescent="0.45">
      <c r="A114" t="s">
        <v>995</v>
      </c>
      <c r="B114" s="2">
        <v>45718</v>
      </c>
      <c r="C114" t="s">
        <v>996</v>
      </c>
      <c r="D114" t="s">
        <v>675</v>
      </c>
      <c r="E114" t="s">
        <v>663</v>
      </c>
      <c r="F114">
        <v>52</v>
      </c>
      <c r="G114">
        <v>21300</v>
      </c>
      <c r="H114">
        <v>1107600</v>
      </c>
      <c r="I114">
        <v>0</v>
      </c>
      <c r="J114" t="s">
        <v>997</v>
      </c>
    </row>
    <row r="115" spans="1:10" x14ac:dyDescent="0.45">
      <c r="A115" t="s">
        <v>998</v>
      </c>
      <c r="B115" s="2">
        <v>44837</v>
      </c>
      <c r="C115" t="s">
        <v>999</v>
      </c>
      <c r="D115" t="s">
        <v>667</v>
      </c>
      <c r="E115" t="s">
        <v>663</v>
      </c>
      <c r="F115">
        <v>99</v>
      </c>
      <c r="G115">
        <v>25201</v>
      </c>
      <c r="H115">
        <v>2494899</v>
      </c>
      <c r="I115">
        <v>15</v>
      </c>
      <c r="J115" t="s">
        <v>1000</v>
      </c>
    </row>
    <row r="116" spans="1:10" x14ac:dyDescent="0.45">
      <c r="A116" t="s">
        <v>1001</v>
      </c>
      <c r="B116" s="2">
        <v>45362</v>
      </c>
      <c r="C116" t="s">
        <v>1002</v>
      </c>
      <c r="D116" t="s">
        <v>675</v>
      </c>
      <c r="E116" t="s">
        <v>668</v>
      </c>
      <c r="F116">
        <v>48</v>
      </c>
      <c r="G116">
        <v>30342</v>
      </c>
      <c r="H116">
        <v>1456416</v>
      </c>
      <c r="I116">
        <v>10</v>
      </c>
      <c r="J116" t="s">
        <v>1003</v>
      </c>
    </row>
    <row r="117" spans="1:10" x14ac:dyDescent="0.45">
      <c r="A117" t="s">
        <v>1004</v>
      </c>
      <c r="B117" s="2">
        <v>45594</v>
      </c>
      <c r="C117" t="s">
        <v>1005</v>
      </c>
      <c r="D117" t="s">
        <v>658</v>
      </c>
      <c r="E117" t="s">
        <v>663</v>
      </c>
      <c r="F117">
        <v>79</v>
      </c>
      <c r="G117">
        <v>30363</v>
      </c>
      <c r="H117">
        <v>2398677</v>
      </c>
      <c r="I117">
        <v>10</v>
      </c>
      <c r="J117" t="s">
        <v>1006</v>
      </c>
    </row>
    <row r="118" spans="1:10" x14ac:dyDescent="0.45">
      <c r="A118" t="s">
        <v>1007</v>
      </c>
      <c r="B118" s="2">
        <v>44833</v>
      </c>
      <c r="C118" t="s">
        <v>1008</v>
      </c>
      <c r="D118" t="s">
        <v>658</v>
      </c>
      <c r="E118" t="s">
        <v>659</v>
      </c>
      <c r="F118">
        <v>48</v>
      </c>
      <c r="G118">
        <v>36745</v>
      </c>
      <c r="H118">
        <v>1763760</v>
      </c>
      <c r="I118">
        <v>15</v>
      </c>
      <c r="J118" t="s">
        <v>1009</v>
      </c>
    </row>
    <row r="119" spans="1:10" x14ac:dyDescent="0.45">
      <c r="A119" t="s">
        <v>1010</v>
      </c>
      <c r="B119" s="2">
        <v>45194</v>
      </c>
      <c r="C119" t="s">
        <v>1011</v>
      </c>
      <c r="D119" t="s">
        <v>658</v>
      </c>
      <c r="E119" t="s">
        <v>654</v>
      </c>
      <c r="F119">
        <v>56</v>
      </c>
      <c r="G119">
        <v>5443</v>
      </c>
      <c r="H119">
        <v>304808</v>
      </c>
      <c r="I119">
        <v>0</v>
      </c>
      <c r="J119" t="s">
        <v>1012</v>
      </c>
    </row>
    <row r="120" spans="1:10" x14ac:dyDescent="0.45">
      <c r="A120" t="s">
        <v>1013</v>
      </c>
      <c r="B120" s="2">
        <v>45029</v>
      </c>
      <c r="C120" t="s">
        <v>1014</v>
      </c>
      <c r="D120" t="s">
        <v>675</v>
      </c>
      <c r="E120" t="s">
        <v>659</v>
      </c>
      <c r="F120">
        <v>61</v>
      </c>
      <c r="G120">
        <v>38461</v>
      </c>
      <c r="H120">
        <v>2346121</v>
      </c>
      <c r="I120">
        <v>10</v>
      </c>
      <c r="J120" t="s">
        <v>1015</v>
      </c>
    </row>
    <row r="121" spans="1:10" x14ac:dyDescent="0.45">
      <c r="A121" t="s">
        <v>1016</v>
      </c>
      <c r="B121" s="2">
        <v>45638</v>
      </c>
      <c r="C121" t="s">
        <v>1017</v>
      </c>
      <c r="D121" t="s">
        <v>675</v>
      </c>
      <c r="E121" t="s">
        <v>654</v>
      </c>
      <c r="F121">
        <v>42</v>
      </c>
      <c r="G121">
        <v>14953</v>
      </c>
      <c r="H121">
        <v>628026</v>
      </c>
      <c r="I121">
        <v>10</v>
      </c>
      <c r="J121" t="s">
        <v>1018</v>
      </c>
    </row>
    <row r="122" spans="1:10" x14ac:dyDescent="0.45">
      <c r="A122" t="s">
        <v>1019</v>
      </c>
      <c r="B122" s="2">
        <v>45482</v>
      </c>
      <c r="C122" t="s">
        <v>1020</v>
      </c>
      <c r="D122" t="s">
        <v>675</v>
      </c>
      <c r="E122" t="s">
        <v>663</v>
      </c>
      <c r="F122">
        <v>21</v>
      </c>
      <c r="G122">
        <v>24075</v>
      </c>
      <c r="H122">
        <v>505575</v>
      </c>
      <c r="I122">
        <v>15</v>
      </c>
      <c r="J122" t="s">
        <v>1021</v>
      </c>
    </row>
    <row r="123" spans="1:10" x14ac:dyDescent="0.45">
      <c r="A123" t="s">
        <v>1022</v>
      </c>
      <c r="B123" s="2">
        <v>45191</v>
      </c>
      <c r="C123" t="s">
        <v>1023</v>
      </c>
      <c r="D123" t="s">
        <v>653</v>
      </c>
      <c r="E123" t="s">
        <v>668</v>
      </c>
      <c r="F123">
        <v>57</v>
      </c>
      <c r="G123">
        <v>16750</v>
      </c>
      <c r="H123">
        <v>954750</v>
      </c>
      <c r="I123">
        <v>10</v>
      </c>
      <c r="J123" t="s">
        <v>1024</v>
      </c>
    </row>
    <row r="124" spans="1:10" x14ac:dyDescent="0.45">
      <c r="A124" t="s">
        <v>1025</v>
      </c>
      <c r="B124" s="2">
        <v>45740</v>
      </c>
      <c r="C124" t="s">
        <v>1026</v>
      </c>
      <c r="D124" t="s">
        <v>653</v>
      </c>
      <c r="E124" t="s">
        <v>702</v>
      </c>
      <c r="F124">
        <v>94</v>
      </c>
      <c r="G124">
        <v>37737</v>
      </c>
      <c r="H124">
        <v>3547278</v>
      </c>
      <c r="I124">
        <v>10</v>
      </c>
      <c r="J124" t="s">
        <v>1027</v>
      </c>
    </row>
    <row r="125" spans="1:10" x14ac:dyDescent="0.45">
      <c r="A125" t="s">
        <v>1028</v>
      </c>
      <c r="B125" s="2">
        <v>45475</v>
      </c>
      <c r="C125" t="s">
        <v>1029</v>
      </c>
      <c r="D125" t="s">
        <v>658</v>
      </c>
      <c r="E125" t="s">
        <v>702</v>
      </c>
      <c r="F125">
        <v>72</v>
      </c>
      <c r="G125">
        <v>49943</v>
      </c>
      <c r="H125">
        <v>3595896</v>
      </c>
      <c r="I125">
        <v>0</v>
      </c>
      <c r="J125" t="s">
        <v>1030</v>
      </c>
    </row>
    <row r="126" spans="1:10" x14ac:dyDescent="0.45">
      <c r="A126" t="s">
        <v>1031</v>
      </c>
      <c r="B126" s="2">
        <v>44811</v>
      </c>
      <c r="C126" t="s">
        <v>1032</v>
      </c>
      <c r="D126" t="s">
        <v>653</v>
      </c>
      <c r="E126" t="s">
        <v>659</v>
      </c>
      <c r="F126">
        <v>90</v>
      </c>
      <c r="G126">
        <v>7755</v>
      </c>
      <c r="H126">
        <v>697950</v>
      </c>
      <c r="I126">
        <v>5</v>
      </c>
      <c r="J126" t="s">
        <v>1033</v>
      </c>
    </row>
    <row r="127" spans="1:10" x14ac:dyDescent="0.45">
      <c r="A127" t="s">
        <v>1034</v>
      </c>
      <c r="B127" s="2">
        <v>45246</v>
      </c>
      <c r="C127" t="s">
        <v>1035</v>
      </c>
      <c r="D127" t="s">
        <v>653</v>
      </c>
      <c r="E127" t="s">
        <v>702</v>
      </c>
      <c r="F127">
        <v>53</v>
      </c>
      <c r="G127">
        <v>47687</v>
      </c>
      <c r="H127">
        <v>2527411</v>
      </c>
      <c r="I127">
        <v>15</v>
      </c>
      <c r="J127" t="s">
        <v>1036</v>
      </c>
    </row>
    <row r="128" spans="1:10" x14ac:dyDescent="0.45">
      <c r="A128" t="s">
        <v>1037</v>
      </c>
      <c r="B128" s="2">
        <v>45650</v>
      </c>
      <c r="C128" t="s">
        <v>1038</v>
      </c>
      <c r="D128" t="s">
        <v>675</v>
      </c>
      <c r="E128" t="s">
        <v>702</v>
      </c>
      <c r="F128">
        <v>65</v>
      </c>
      <c r="G128">
        <v>21470</v>
      </c>
      <c r="H128">
        <v>1395550</v>
      </c>
      <c r="I128">
        <v>15</v>
      </c>
      <c r="J128" t="s">
        <v>1039</v>
      </c>
    </row>
    <row r="129" spans="1:10" x14ac:dyDescent="0.45">
      <c r="A129" t="s">
        <v>1040</v>
      </c>
      <c r="B129" s="2">
        <v>45665</v>
      </c>
      <c r="C129" t="s">
        <v>1041</v>
      </c>
      <c r="D129" t="s">
        <v>667</v>
      </c>
      <c r="E129" t="s">
        <v>702</v>
      </c>
      <c r="F129">
        <v>21</v>
      </c>
      <c r="G129">
        <v>12775</v>
      </c>
      <c r="H129">
        <v>268275</v>
      </c>
      <c r="I129">
        <v>0</v>
      </c>
      <c r="J129" t="s">
        <v>1042</v>
      </c>
    </row>
    <row r="130" spans="1:10" x14ac:dyDescent="0.45">
      <c r="A130" t="s">
        <v>1043</v>
      </c>
      <c r="B130" s="2">
        <v>45369</v>
      </c>
      <c r="C130" t="s">
        <v>1044</v>
      </c>
      <c r="D130" t="s">
        <v>675</v>
      </c>
      <c r="E130" t="s">
        <v>654</v>
      </c>
      <c r="F130">
        <v>88</v>
      </c>
      <c r="G130">
        <v>40834</v>
      </c>
      <c r="H130">
        <v>3593392</v>
      </c>
      <c r="I130">
        <v>5</v>
      </c>
      <c r="J130" t="s">
        <v>1045</v>
      </c>
    </row>
    <row r="131" spans="1:10" x14ac:dyDescent="0.45">
      <c r="A131" t="s">
        <v>1046</v>
      </c>
      <c r="B131" s="2">
        <v>44962</v>
      </c>
      <c r="C131" t="s">
        <v>1047</v>
      </c>
      <c r="D131" t="s">
        <v>653</v>
      </c>
      <c r="E131" t="s">
        <v>659</v>
      </c>
      <c r="F131">
        <v>14</v>
      </c>
      <c r="G131">
        <v>17365</v>
      </c>
      <c r="H131">
        <v>243110</v>
      </c>
      <c r="I131">
        <v>5</v>
      </c>
      <c r="J131" t="s">
        <v>1048</v>
      </c>
    </row>
    <row r="132" spans="1:10" x14ac:dyDescent="0.45">
      <c r="A132" t="s">
        <v>1049</v>
      </c>
      <c r="B132" s="2">
        <v>45154</v>
      </c>
      <c r="C132" t="s">
        <v>1050</v>
      </c>
      <c r="D132" t="s">
        <v>658</v>
      </c>
      <c r="E132" t="s">
        <v>663</v>
      </c>
      <c r="F132">
        <v>85</v>
      </c>
      <c r="G132">
        <v>23447</v>
      </c>
      <c r="H132">
        <v>1992995</v>
      </c>
      <c r="I132">
        <v>15</v>
      </c>
      <c r="J132" t="s">
        <v>1051</v>
      </c>
    </row>
    <row r="133" spans="1:10" x14ac:dyDescent="0.45">
      <c r="A133" t="s">
        <v>1052</v>
      </c>
      <c r="B133" s="2">
        <v>44937</v>
      </c>
      <c r="C133" t="s">
        <v>1053</v>
      </c>
      <c r="D133" t="s">
        <v>653</v>
      </c>
      <c r="E133" t="s">
        <v>668</v>
      </c>
      <c r="F133">
        <v>21</v>
      </c>
      <c r="G133">
        <v>47565</v>
      </c>
      <c r="H133">
        <v>998865</v>
      </c>
      <c r="I133">
        <v>10</v>
      </c>
      <c r="J133" t="s">
        <v>1054</v>
      </c>
    </row>
    <row r="134" spans="1:10" x14ac:dyDescent="0.45">
      <c r="A134" t="s">
        <v>1055</v>
      </c>
      <c r="B134" s="2">
        <v>45274</v>
      </c>
      <c r="C134" t="s">
        <v>1056</v>
      </c>
      <c r="D134" t="s">
        <v>653</v>
      </c>
      <c r="E134" t="s">
        <v>702</v>
      </c>
      <c r="F134">
        <v>41</v>
      </c>
      <c r="G134">
        <v>2882</v>
      </c>
      <c r="H134">
        <v>118162</v>
      </c>
      <c r="I134">
        <v>0</v>
      </c>
      <c r="J134" t="s">
        <v>1057</v>
      </c>
    </row>
    <row r="135" spans="1:10" x14ac:dyDescent="0.45">
      <c r="A135" t="s">
        <v>1058</v>
      </c>
      <c r="B135" s="2">
        <v>45457</v>
      </c>
      <c r="C135" t="s">
        <v>1059</v>
      </c>
      <c r="D135" t="s">
        <v>675</v>
      </c>
      <c r="E135" t="s">
        <v>659</v>
      </c>
      <c r="F135">
        <v>88</v>
      </c>
      <c r="G135">
        <v>10004</v>
      </c>
      <c r="H135">
        <v>880352</v>
      </c>
      <c r="I135">
        <v>10</v>
      </c>
      <c r="J135" t="s">
        <v>1060</v>
      </c>
    </row>
    <row r="136" spans="1:10" x14ac:dyDescent="0.45">
      <c r="A136" t="s">
        <v>1061</v>
      </c>
      <c r="B136" s="2">
        <v>45364</v>
      </c>
      <c r="C136" t="s">
        <v>1062</v>
      </c>
      <c r="D136" t="s">
        <v>675</v>
      </c>
      <c r="E136" t="s">
        <v>668</v>
      </c>
      <c r="F136">
        <v>95</v>
      </c>
      <c r="G136">
        <v>13134</v>
      </c>
      <c r="H136">
        <v>1247730</v>
      </c>
      <c r="I136">
        <v>10</v>
      </c>
      <c r="J136" t="s">
        <v>1063</v>
      </c>
    </row>
    <row r="137" spans="1:10" x14ac:dyDescent="0.45">
      <c r="A137" t="s">
        <v>1064</v>
      </c>
      <c r="B137" s="2">
        <v>45755</v>
      </c>
      <c r="C137" t="s">
        <v>1065</v>
      </c>
      <c r="D137" t="s">
        <v>675</v>
      </c>
      <c r="E137" t="s">
        <v>654</v>
      </c>
      <c r="F137">
        <v>65</v>
      </c>
      <c r="G137">
        <v>33476</v>
      </c>
      <c r="H137">
        <v>2175940</v>
      </c>
      <c r="I137">
        <v>10</v>
      </c>
      <c r="J137" t="s">
        <v>1066</v>
      </c>
    </row>
    <row r="138" spans="1:10" x14ac:dyDescent="0.45">
      <c r="A138" t="s">
        <v>1067</v>
      </c>
      <c r="B138" s="2">
        <v>45008</v>
      </c>
      <c r="C138" t="s">
        <v>1068</v>
      </c>
      <c r="D138" t="s">
        <v>653</v>
      </c>
      <c r="E138" t="s">
        <v>659</v>
      </c>
      <c r="F138">
        <v>33</v>
      </c>
      <c r="G138">
        <v>49006</v>
      </c>
      <c r="H138">
        <v>1617198</v>
      </c>
      <c r="I138">
        <v>5</v>
      </c>
      <c r="J138" t="s">
        <v>1069</v>
      </c>
    </row>
    <row r="139" spans="1:10" x14ac:dyDescent="0.45">
      <c r="A139" t="s">
        <v>1070</v>
      </c>
      <c r="B139" s="2">
        <v>45684</v>
      </c>
      <c r="C139" t="s">
        <v>1071</v>
      </c>
      <c r="D139" t="s">
        <v>667</v>
      </c>
      <c r="E139" t="s">
        <v>668</v>
      </c>
      <c r="F139">
        <v>4</v>
      </c>
      <c r="G139">
        <v>46946</v>
      </c>
      <c r="H139">
        <v>187784</v>
      </c>
      <c r="I139">
        <v>10</v>
      </c>
      <c r="J139" t="s">
        <v>1072</v>
      </c>
    </row>
    <row r="140" spans="1:10" x14ac:dyDescent="0.45">
      <c r="A140" t="s">
        <v>1073</v>
      </c>
      <c r="B140" s="2">
        <v>44809</v>
      </c>
      <c r="C140" t="s">
        <v>982</v>
      </c>
      <c r="D140" t="s">
        <v>675</v>
      </c>
      <c r="E140" t="s">
        <v>702</v>
      </c>
      <c r="F140">
        <v>73</v>
      </c>
      <c r="G140">
        <v>12772</v>
      </c>
      <c r="H140">
        <v>932356</v>
      </c>
      <c r="I140">
        <v>15</v>
      </c>
      <c r="J140" t="s">
        <v>1074</v>
      </c>
    </row>
    <row r="141" spans="1:10" x14ac:dyDescent="0.45">
      <c r="A141" t="s">
        <v>1075</v>
      </c>
      <c r="B141" s="2">
        <v>45169</v>
      </c>
      <c r="C141" t="s">
        <v>1076</v>
      </c>
      <c r="D141" t="s">
        <v>675</v>
      </c>
      <c r="E141" t="s">
        <v>654</v>
      </c>
      <c r="F141">
        <v>84</v>
      </c>
      <c r="G141">
        <v>21958</v>
      </c>
      <c r="H141">
        <v>1844472</v>
      </c>
      <c r="I141">
        <v>5</v>
      </c>
      <c r="J141" t="s">
        <v>315</v>
      </c>
    </row>
    <row r="142" spans="1:10" x14ac:dyDescent="0.45">
      <c r="A142" t="s">
        <v>1077</v>
      </c>
      <c r="B142" s="2">
        <v>44822</v>
      </c>
      <c r="C142" t="s">
        <v>1078</v>
      </c>
      <c r="D142" t="s">
        <v>658</v>
      </c>
      <c r="E142" t="s">
        <v>663</v>
      </c>
      <c r="F142">
        <v>99</v>
      </c>
      <c r="G142">
        <v>20260</v>
      </c>
      <c r="H142">
        <v>2005740</v>
      </c>
      <c r="I142">
        <v>15</v>
      </c>
      <c r="J142" t="s">
        <v>1079</v>
      </c>
    </row>
    <row r="143" spans="1:10" x14ac:dyDescent="0.45">
      <c r="A143" t="s">
        <v>1080</v>
      </c>
      <c r="B143" s="2">
        <v>45552</v>
      </c>
      <c r="C143" t="s">
        <v>1081</v>
      </c>
      <c r="D143" t="s">
        <v>667</v>
      </c>
      <c r="E143" t="s">
        <v>702</v>
      </c>
      <c r="F143">
        <v>64</v>
      </c>
      <c r="G143">
        <v>36641</v>
      </c>
      <c r="H143">
        <v>2345024</v>
      </c>
      <c r="I143">
        <v>15</v>
      </c>
      <c r="J143" t="s">
        <v>1082</v>
      </c>
    </row>
    <row r="144" spans="1:10" x14ac:dyDescent="0.45">
      <c r="A144" t="s">
        <v>1083</v>
      </c>
      <c r="B144" s="2">
        <v>45134</v>
      </c>
      <c r="C144" t="s">
        <v>1084</v>
      </c>
      <c r="D144" t="s">
        <v>667</v>
      </c>
      <c r="E144" t="s">
        <v>702</v>
      </c>
      <c r="F144">
        <v>67</v>
      </c>
      <c r="G144">
        <v>3987</v>
      </c>
      <c r="H144">
        <v>267129</v>
      </c>
      <c r="I144">
        <v>15</v>
      </c>
      <c r="J144" t="s">
        <v>1085</v>
      </c>
    </row>
    <row r="145" spans="1:10" x14ac:dyDescent="0.45">
      <c r="A145" t="s">
        <v>1086</v>
      </c>
      <c r="B145" s="2">
        <v>45392</v>
      </c>
      <c r="C145" t="s">
        <v>1087</v>
      </c>
      <c r="D145" t="s">
        <v>667</v>
      </c>
      <c r="E145" t="s">
        <v>654</v>
      </c>
      <c r="F145">
        <v>1</v>
      </c>
      <c r="G145">
        <v>4583</v>
      </c>
      <c r="H145">
        <v>4583</v>
      </c>
      <c r="I145">
        <v>0</v>
      </c>
      <c r="J145" t="s">
        <v>1088</v>
      </c>
    </row>
    <row r="146" spans="1:10" x14ac:dyDescent="0.45">
      <c r="A146" t="s">
        <v>1089</v>
      </c>
      <c r="B146" s="2">
        <v>45447</v>
      </c>
      <c r="C146" t="s">
        <v>1090</v>
      </c>
      <c r="D146" t="s">
        <v>658</v>
      </c>
      <c r="E146" t="s">
        <v>663</v>
      </c>
      <c r="F146">
        <v>23</v>
      </c>
      <c r="G146">
        <v>30449</v>
      </c>
      <c r="H146">
        <v>700327</v>
      </c>
      <c r="I146">
        <v>15</v>
      </c>
      <c r="J146" t="s">
        <v>1091</v>
      </c>
    </row>
    <row r="147" spans="1:10" x14ac:dyDescent="0.45">
      <c r="A147" t="s">
        <v>1092</v>
      </c>
      <c r="B147" s="2">
        <v>45670</v>
      </c>
      <c r="C147" t="s">
        <v>1093</v>
      </c>
      <c r="D147" t="s">
        <v>653</v>
      </c>
      <c r="E147" t="s">
        <v>668</v>
      </c>
      <c r="F147">
        <v>50</v>
      </c>
      <c r="G147">
        <v>34626</v>
      </c>
      <c r="H147">
        <v>1731300</v>
      </c>
      <c r="I147">
        <v>15</v>
      </c>
      <c r="J147" t="s">
        <v>1094</v>
      </c>
    </row>
    <row r="148" spans="1:10" x14ac:dyDescent="0.45">
      <c r="A148" t="s">
        <v>1095</v>
      </c>
      <c r="B148" s="2">
        <v>44755</v>
      </c>
      <c r="C148" t="s">
        <v>1096</v>
      </c>
      <c r="D148" t="s">
        <v>658</v>
      </c>
      <c r="E148" t="s">
        <v>654</v>
      </c>
      <c r="F148">
        <v>67</v>
      </c>
      <c r="G148">
        <v>7041</v>
      </c>
      <c r="H148">
        <v>471747</v>
      </c>
      <c r="I148">
        <v>0</v>
      </c>
      <c r="J148" t="s">
        <v>1097</v>
      </c>
    </row>
    <row r="149" spans="1:10" x14ac:dyDescent="0.45">
      <c r="A149" t="s">
        <v>1098</v>
      </c>
      <c r="B149" s="2">
        <v>45420</v>
      </c>
      <c r="C149" t="s">
        <v>1099</v>
      </c>
      <c r="D149" t="s">
        <v>653</v>
      </c>
      <c r="E149" t="s">
        <v>663</v>
      </c>
      <c r="F149">
        <v>12</v>
      </c>
      <c r="G149">
        <v>21531</v>
      </c>
      <c r="H149">
        <v>258372</v>
      </c>
      <c r="I149">
        <v>5</v>
      </c>
      <c r="J149" t="s">
        <v>1100</v>
      </c>
    </row>
    <row r="150" spans="1:10" x14ac:dyDescent="0.45">
      <c r="A150" t="s">
        <v>1101</v>
      </c>
      <c r="B150" s="2">
        <v>44945</v>
      </c>
      <c r="C150" t="s">
        <v>1102</v>
      </c>
      <c r="D150" t="s">
        <v>667</v>
      </c>
      <c r="E150" t="s">
        <v>663</v>
      </c>
      <c r="F150">
        <v>19</v>
      </c>
      <c r="G150">
        <v>37162</v>
      </c>
      <c r="H150">
        <v>706078</v>
      </c>
      <c r="I150">
        <v>10</v>
      </c>
      <c r="J150" t="s">
        <v>1103</v>
      </c>
    </row>
    <row r="151" spans="1:10" x14ac:dyDescent="0.45">
      <c r="A151" t="s">
        <v>1104</v>
      </c>
      <c r="B151" s="2">
        <v>44843</v>
      </c>
      <c r="C151" t="s">
        <v>1105</v>
      </c>
      <c r="D151" t="s">
        <v>653</v>
      </c>
      <c r="E151" t="s">
        <v>702</v>
      </c>
      <c r="F151">
        <v>85</v>
      </c>
      <c r="G151">
        <v>4725</v>
      </c>
      <c r="H151">
        <v>401625</v>
      </c>
      <c r="I151">
        <v>10</v>
      </c>
      <c r="J151" t="s">
        <v>1106</v>
      </c>
    </row>
    <row r="152" spans="1:10" x14ac:dyDescent="0.45">
      <c r="A152" t="s">
        <v>1107</v>
      </c>
      <c r="B152" s="2">
        <v>45651</v>
      </c>
      <c r="C152" t="s">
        <v>1108</v>
      </c>
      <c r="D152" t="s">
        <v>667</v>
      </c>
      <c r="E152" t="s">
        <v>654</v>
      </c>
      <c r="F152">
        <v>34</v>
      </c>
      <c r="G152">
        <v>35407</v>
      </c>
      <c r="H152">
        <v>1203838</v>
      </c>
      <c r="I152">
        <v>0</v>
      </c>
      <c r="J152" t="s">
        <v>1109</v>
      </c>
    </row>
    <row r="153" spans="1:10" x14ac:dyDescent="0.45">
      <c r="A153" t="s">
        <v>1110</v>
      </c>
      <c r="B153" s="2">
        <v>45741</v>
      </c>
      <c r="C153" t="s">
        <v>1111</v>
      </c>
      <c r="D153" t="s">
        <v>653</v>
      </c>
      <c r="E153" t="s">
        <v>654</v>
      </c>
      <c r="F153">
        <v>8</v>
      </c>
      <c r="G153">
        <v>17045</v>
      </c>
      <c r="H153">
        <v>136360</v>
      </c>
      <c r="I153">
        <v>5</v>
      </c>
      <c r="J153" t="s">
        <v>1112</v>
      </c>
    </row>
    <row r="154" spans="1:10" x14ac:dyDescent="0.45">
      <c r="A154" t="s">
        <v>1113</v>
      </c>
      <c r="B154" s="2">
        <v>45765</v>
      </c>
      <c r="C154" t="s">
        <v>1114</v>
      </c>
      <c r="D154" t="s">
        <v>653</v>
      </c>
      <c r="E154" t="s">
        <v>659</v>
      </c>
      <c r="F154">
        <v>32</v>
      </c>
      <c r="G154">
        <v>49115</v>
      </c>
      <c r="H154">
        <v>1571680</v>
      </c>
      <c r="I154">
        <v>0</v>
      </c>
      <c r="J154" t="s">
        <v>1115</v>
      </c>
    </row>
    <row r="155" spans="1:10" x14ac:dyDescent="0.45">
      <c r="A155" t="s">
        <v>1116</v>
      </c>
      <c r="B155" s="2">
        <v>45746</v>
      </c>
      <c r="C155" t="s">
        <v>1117</v>
      </c>
      <c r="D155" t="s">
        <v>653</v>
      </c>
      <c r="E155" t="s">
        <v>654</v>
      </c>
      <c r="F155">
        <v>41</v>
      </c>
      <c r="G155">
        <v>24274</v>
      </c>
      <c r="H155">
        <v>995234</v>
      </c>
      <c r="I155">
        <v>15</v>
      </c>
      <c r="J155" t="s">
        <v>1118</v>
      </c>
    </row>
    <row r="156" spans="1:10" x14ac:dyDescent="0.45">
      <c r="A156" t="s">
        <v>1119</v>
      </c>
      <c r="B156" s="2">
        <v>44849</v>
      </c>
      <c r="C156" t="s">
        <v>1120</v>
      </c>
      <c r="D156" t="s">
        <v>675</v>
      </c>
      <c r="E156" t="s">
        <v>702</v>
      </c>
      <c r="F156">
        <v>87</v>
      </c>
      <c r="G156">
        <v>24342</v>
      </c>
      <c r="H156">
        <v>2117754</v>
      </c>
      <c r="I156">
        <v>15</v>
      </c>
      <c r="J156" t="s">
        <v>1121</v>
      </c>
    </row>
    <row r="157" spans="1:10" x14ac:dyDescent="0.45">
      <c r="A157" t="s">
        <v>1122</v>
      </c>
      <c r="B157" s="2">
        <v>45127</v>
      </c>
      <c r="C157" t="s">
        <v>1123</v>
      </c>
      <c r="D157" t="s">
        <v>667</v>
      </c>
      <c r="E157" t="s">
        <v>668</v>
      </c>
      <c r="F157">
        <v>51</v>
      </c>
      <c r="G157">
        <v>26771</v>
      </c>
      <c r="H157">
        <v>1365321</v>
      </c>
      <c r="I157">
        <v>15</v>
      </c>
      <c r="J157" t="s">
        <v>1124</v>
      </c>
    </row>
    <row r="158" spans="1:10" x14ac:dyDescent="0.45">
      <c r="A158" t="s">
        <v>1125</v>
      </c>
      <c r="B158" s="2">
        <v>44778</v>
      </c>
      <c r="C158" t="s">
        <v>1126</v>
      </c>
      <c r="D158" t="s">
        <v>667</v>
      </c>
      <c r="E158" t="s">
        <v>702</v>
      </c>
      <c r="F158">
        <v>62</v>
      </c>
      <c r="G158">
        <v>5413</v>
      </c>
      <c r="H158">
        <v>335606</v>
      </c>
      <c r="I158">
        <v>0</v>
      </c>
      <c r="J158" t="s">
        <v>1127</v>
      </c>
    </row>
    <row r="159" spans="1:10" x14ac:dyDescent="0.45">
      <c r="A159" t="s">
        <v>1128</v>
      </c>
      <c r="B159" s="2">
        <v>45362</v>
      </c>
      <c r="C159" t="s">
        <v>1129</v>
      </c>
      <c r="D159" t="s">
        <v>653</v>
      </c>
      <c r="E159" t="s">
        <v>654</v>
      </c>
      <c r="F159">
        <v>93</v>
      </c>
      <c r="G159">
        <v>25791</v>
      </c>
      <c r="H159">
        <v>2398563</v>
      </c>
      <c r="I159">
        <v>0</v>
      </c>
      <c r="J159" t="s">
        <v>1130</v>
      </c>
    </row>
    <row r="160" spans="1:10" x14ac:dyDescent="0.45">
      <c r="A160" t="s">
        <v>1131</v>
      </c>
      <c r="B160" s="2">
        <v>44820</v>
      </c>
      <c r="C160" t="s">
        <v>1132</v>
      </c>
      <c r="D160" t="s">
        <v>653</v>
      </c>
      <c r="E160" t="s">
        <v>668</v>
      </c>
      <c r="F160">
        <v>90</v>
      </c>
      <c r="G160">
        <v>31930</v>
      </c>
      <c r="H160">
        <v>2873700</v>
      </c>
      <c r="I160">
        <v>15</v>
      </c>
      <c r="J160" t="s">
        <v>1133</v>
      </c>
    </row>
    <row r="161" spans="1:10" x14ac:dyDescent="0.45">
      <c r="A161" t="s">
        <v>1134</v>
      </c>
      <c r="B161" s="2">
        <v>45282</v>
      </c>
      <c r="C161" t="s">
        <v>1135</v>
      </c>
      <c r="D161" t="s">
        <v>667</v>
      </c>
      <c r="E161" t="s">
        <v>659</v>
      </c>
      <c r="F161">
        <v>27</v>
      </c>
      <c r="G161">
        <v>28271</v>
      </c>
      <c r="H161">
        <v>763317</v>
      </c>
      <c r="I161">
        <v>0</v>
      </c>
      <c r="J161" t="s">
        <v>1136</v>
      </c>
    </row>
    <row r="162" spans="1:10" x14ac:dyDescent="0.45">
      <c r="A162" t="s">
        <v>1137</v>
      </c>
      <c r="B162" s="2">
        <v>45414</v>
      </c>
      <c r="C162" t="s">
        <v>1138</v>
      </c>
      <c r="D162" t="s">
        <v>675</v>
      </c>
      <c r="E162" t="s">
        <v>702</v>
      </c>
      <c r="F162">
        <v>85</v>
      </c>
      <c r="G162">
        <v>34698</v>
      </c>
      <c r="H162">
        <v>2949330</v>
      </c>
      <c r="I162">
        <v>0</v>
      </c>
      <c r="J162" t="s">
        <v>1139</v>
      </c>
    </row>
    <row r="163" spans="1:10" x14ac:dyDescent="0.45">
      <c r="A163" t="s">
        <v>1140</v>
      </c>
      <c r="B163" s="2">
        <v>45113</v>
      </c>
      <c r="C163" t="s">
        <v>1141</v>
      </c>
      <c r="D163" t="s">
        <v>667</v>
      </c>
      <c r="E163" t="s">
        <v>668</v>
      </c>
      <c r="F163">
        <v>6</v>
      </c>
      <c r="G163">
        <v>21669</v>
      </c>
      <c r="H163">
        <v>130014</v>
      </c>
      <c r="I163">
        <v>0</v>
      </c>
      <c r="J163" t="s">
        <v>1142</v>
      </c>
    </row>
    <row r="164" spans="1:10" x14ac:dyDescent="0.45">
      <c r="A164" t="s">
        <v>1143</v>
      </c>
      <c r="B164" s="2">
        <v>45031</v>
      </c>
      <c r="C164" t="s">
        <v>1144</v>
      </c>
      <c r="D164" t="s">
        <v>658</v>
      </c>
      <c r="E164" t="s">
        <v>659</v>
      </c>
      <c r="F164">
        <v>32</v>
      </c>
      <c r="G164">
        <v>18254</v>
      </c>
      <c r="H164">
        <v>584128</v>
      </c>
      <c r="I164">
        <v>5</v>
      </c>
      <c r="J164" t="s">
        <v>1145</v>
      </c>
    </row>
    <row r="165" spans="1:10" x14ac:dyDescent="0.45">
      <c r="A165" t="s">
        <v>1146</v>
      </c>
      <c r="B165" s="2">
        <v>45773</v>
      </c>
      <c r="C165" t="s">
        <v>1147</v>
      </c>
      <c r="D165" t="s">
        <v>675</v>
      </c>
      <c r="E165" t="s">
        <v>663</v>
      </c>
      <c r="F165">
        <v>51</v>
      </c>
      <c r="G165">
        <v>38134</v>
      </c>
      <c r="H165">
        <v>1944834</v>
      </c>
      <c r="I165">
        <v>5</v>
      </c>
      <c r="J165" t="s">
        <v>1148</v>
      </c>
    </row>
    <row r="166" spans="1:10" x14ac:dyDescent="0.45">
      <c r="A166" t="s">
        <v>1149</v>
      </c>
      <c r="B166" s="2">
        <v>45759</v>
      </c>
      <c r="C166" t="s">
        <v>315</v>
      </c>
      <c r="D166" t="s">
        <v>658</v>
      </c>
      <c r="E166" t="s">
        <v>663</v>
      </c>
      <c r="F166">
        <v>27</v>
      </c>
      <c r="G166">
        <v>22651</v>
      </c>
      <c r="H166">
        <v>611577</v>
      </c>
      <c r="I166">
        <v>5</v>
      </c>
      <c r="J166" t="s">
        <v>1150</v>
      </c>
    </row>
    <row r="167" spans="1:10" x14ac:dyDescent="0.45">
      <c r="A167" t="s">
        <v>1151</v>
      </c>
      <c r="B167" s="2">
        <v>45391</v>
      </c>
      <c r="C167" t="s">
        <v>1152</v>
      </c>
      <c r="D167" t="s">
        <v>658</v>
      </c>
      <c r="E167" t="s">
        <v>659</v>
      </c>
      <c r="F167">
        <v>59</v>
      </c>
      <c r="G167">
        <v>19271</v>
      </c>
      <c r="H167">
        <v>1136989</v>
      </c>
      <c r="I167">
        <v>15</v>
      </c>
      <c r="J167" t="s">
        <v>1153</v>
      </c>
    </row>
    <row r="168" spans="1:10" x14ac:dyDescent="0.45">
      <c r="A168" t="s">
        <v>1154</v>
      </c>
      <c r="B168" s="2">
        <v>45315</v>
      </c>
      <c r="C168" t="s">
        <v>1155</v>
      </c>
      <c r="D168" t="s">
        <v>667</v>
      </c>
      <c r="E168" t="s">
        <v>663</v>
      </c>
      <c r="F168">
        <v>11</v>
      </c>
      <c r="G168">
        <v>20762</v>
      </c>
      <c r="H168">
        <v>228382</v>
      </c>
      <c r="I168">
        <v>15</v>
      </c>
      <c r="J168" t="s">
        <v>1156</v>
      </c>
    </row>
    <row r="169" spans="1:10" x14ac:dyDescent="0.45">
      <c r="A169" t="s">
        <v>1157</v>
      </c>
      <c r="B169" s="2">
        <v>44814</v>
      </c>
      <c r="C169" t="s">
        <v>1158</v>
      </c>
      <c r="D169" t="s">
        <v>675</v>
      </c>
      <c r="E169" t="s">
        <v>663</v>
      </c>
      <c r="F169">
        <v>74</v>
      </c>
      <c r="G169">
        <v>35012</v>
      </c>
      <c r="H169">
        <v>2590888</v>
      </c>
      <c r="I169">
        <v>0</v>
      </c>
      <c r="J169" t="s">
        <v>1159</v>
      </c>
    </row>
    <row r="170" spans="1:10" x14ac:dyDescent="0.45">
      <c r="A170" t="s">
        <v>1160</v>
      </c>
      <c r="B170" s="2">
        <v>44905</v>
      </c>
      <c r="C170" t="s">
        <v>1161</v>
      </c>
      <c r="D170" t="s">
        <v>658</v>
      </c>
      <c r="E170" t="s">
        <v>702</v>
      </c>
      <c r="F170">
        <v>95</v>
      </c>
      <c r="G170">
        <v>17971</v>
      </c>
      <c r="H170">
        <v>1707245</v>
      </c>
      <c r="I170">
        <v>5</v>
      </c>
      <c r="J170" t="s">
        <v>1162</v>
      </c>
    </row>
    <row r="171" spans="1:10" x14ac:dyDescent="0.45">
      <c r="A171" t="s">
        <v>1163</v>
      </c>
      <c r="B171" s="2">
        <v>45310</v>
      </c>
      <c r="C171" t="s">
        <v>1164</v>
      </c>
      <c r="D171" t="s">
        <v>675</v>
      </c>
      <c r="E171" t="s">
        <v>663</v>
      </c>
      <c r="F171">
        <v>27</v>
      </c>
      <c r="G171">
        <v>42903</v>
      </c>
      <c r="H171">
        <v>1158381</v>
      </c>
      <c r="I171">
        <v>0</v>
      </c>
      <c r="J171" t="s">
        <v>1165</v>
      </c>
    </row>
    <row r="172" spans="1:10" x14ac:dyDescent="0.45">
      <c r="A172" t="s">
        <v>1166</v>
      </c>
      <c r="B172" s="2">
        <v>44990</v>
      </c>
      <c r="C172" t="s">
        <v>1167</v>
      </c>
      <c r="D172" t="s">
        <v>675</v>
      </c>
      <c r="E172" t="s">
        <v>702</v>
      </c>
      <c r="F172">
        <v>32</v>
      </c>
      <c r="G172">
        <v>16166</v>
      </c>
      <c r="H172">
        <v>517312</v>
      </c>
      <c r="I172">
        <v>0</v>
      </c>
      <c r="J172" t="s">
        <v>1168</v>
      </c>
    </row>
    <row r="173" spans="1:10" x14ac:dyDescent="0.45">
      <c r="A173" t="s">
        <v>1169</v>
      </c>
      <c r="B173" s="2">
        <v>45749</v>
      </c>
      <c r="C173" t="s">
        <v>1170</v>
      </c>
      <c r="D173" t="s">
        <v>667</v>
      </c>
      <c r="E173" t="s">
        <v>663</v>
      </c>
      <c r="F173">
        <v>28</v>
      </c>
      <c r="G173">
        <v>7034</v>
      </c>
      <c r="H173">
        <v>196952</v>
      </c>
      <c r="I173">
        <v>15</v>
      </c>
      <c r="J173" t="s">
        <v>1171</v>
      </c>
    </row>
    <row r="174" spans="1:10" x14ac:dyDescent="0.45">
      <c r="A174" t="s">
        <v>1172</v>
      </c>
      <c r="B174" s="2">
        <v>45025</v>
      </c>
      <c r="C174" t="s">
        <v>1173</v>
      </c>
      <c r="D174" t="s">
        <v>675</v>
      </c>
      <c r="E174" t="s">
        <v>663</v>
      </c>
      <c r="F174">
        <v>21</v>
      </c>
      <c r="G174">
        <v>22753</v>
      </c>
      <c r="H174">
        <v>477813</v>
      </c>
      <c r="I174">
        <v>5</v>
      </c>
      <c r="J174" t="s">
        <v>1174</v>
      </c>
    </row>
    <row r="175" spans="1:10" x14ac:dyDescent="0.45">
      <c r="A175" t="s">
        <v>1175</v>
      </c>
      <c r="B175" s="2">
        <v>45552</v>
      </c>
      <c r="C175" t="s">
        <v>1176</v>
      </c>
      <c r="D175" t="s">
        <v>653</v>
      </c>
      <c r="E175" t="s">
        <v>663</v>
      </c>
      <c r="F175">
        <v>97</v>
      </c>
      <c r="G175">
        <v>34933</v>
      </c>
      <c r="H175">
        <v>3388501</v>
      </c>
      <c r="I175">
        <v>5</v>
      </c>
      <c r="J175" t="s">
        <v>1177</v>
      </c>
    </row>
    <row r="176" spans="1:10" x14ac:dyDescent="0.45">
      <c r="A176" t="s">
        <v>1178</v>
      </c>
      <c r="B176" s="2">
        <v>45054</v>
      </c>
      <c r="C176" t="s">
        <v>1179</v>
      </c>
      <c r="D176" t="s">
        <v>675</v>
      </c>
      <c r="E176" t="s">
        <v>654</v>
      </c>
      <c r="F176">
        <v>98</v>
      </c>
      <c r="G176">
        <v>7217</v>
      </c>
      <c r="H176">
        <v>707266</v>
      </c>
      <c r="I176">
        <v>5</v>
      </c>
      <c r="J176" t="s">
        <v>1180</v>
      </c>
    </row>
    <row r="177" spans="1:10" x14ac:dyDescent="0.45">
      <c r="A177" t="s">
        <v>1181</v>
      </c>
      <c r="B177" s="2">
        <v>44934</v>
      </c>
      <c r="C177" t="s">
        <v>1182</v>
      </c>
      <c r="D177" t="s">
        <v>658</v>
      </c>
      <c r="E177" t="s">
        <v>654</v>
      </c>
      <c r="F177">
        <v>7</v>
      </c>
      <c r="G177">
        <v>39012</v>
      </c>
      <c r="H177">
        <v>273084</v>
      </c>
      <c r="I177">
        <v>10</v>
      </c>
      <c r="J177" t="s">
        <v>1183</v>
      </c>
    </row>
    <row r="178" spans="1:10" x14ac:dyDescent="0.45">
      <c r="A178" t="s">
        <v>1184</v>
      </c>
      <c r="B178" s="2">
        <v>45615</v>
      </c>
      <c r="C178" t="s">
        <v>1185</v>
      </c>
      <c r="D178" t="s">
        <v>667</v>
      </c>
      <c r="E178" t="s">
        <v>668</v>
      </c>
      <c r="F178">
        <v>46</v>
      </c>
      <c r="G178">
        <v>18909</v>
      </c>
      <c r="H178">
        <v>869814</v>
      </c>
      <c r="I178">
        <v>15</v>
      </c>
      <c r="J178" t="s">
        <v>1186</v>
      </c>
    </row>
    <row r="179" spans="1:10" x14ac:dyDescent="0.45">
      <c r="A179" t="s">
        <v>1187</v>
      </c>
      <c r="B179" s="2">
        <v>45365</v>
      </c>
      <c r="C179" t="s">
        <v>1188</v>
      </c>
      <c r="D179" t="s">
        <v>667</v>
      </c>
      <c r="E179" t="s">
        <v>659</v>
      </c>
      <c r="F179">
        <v>82</v>
      </c>
      <c r="G179">
        <v>45525</v>
      </c>
      <c r="H179">
        <v>3733050</v>
      </c>
      <c r="I179">
        <v>5</v>
      </c>
      <c r="J179" t="s">
        <v>1189</v>
      </c>
    </row>
    <row r="180" spans="1:10" x14ac:dyDescent="0.45">
      <c r="A180" t="s">
        <v>1190</v>
      </c>
      <c r="B180" s="2">
        <v>45397</v>
      </c>
      <c r="C180" t="s">
        <v>1191</v>
      </c>
      <c r="D180" t="s">
        <v>658</v>
      </c>
      <c r="E180" t="s">
        <v>702</v>
      </c>
      <c r="F180">
        <v>3</v>
      </c>
      <c r="G180">
        <v>43051</v>
      </c>
      <c r="H180">
        <v>129153</v>
      </c>
      <c r="I180">
        <v>0</v>
      </c>
      <c r="J180" t="s">
        <v>1192</v>
      </c>
    </row>
    <row r="181" spans="1:10" x14ac:dyDescent="0.45">
      <c r="A181" t="s">
        <v>1193</v>
      </c>
      <c r="B181" s="2">
        <v>45498</v>
      </c>
      <c r="C181" t="s">
        <v>1194</v>
      </c>
      <c r="D181" t="s">
        <v>667</v>
      </c>
      <c r="E181" t="s">
        <v>702</v>
      </c>
      <c r="F181">
        <v>56</v>
      </c>
      <c r="G181">
        <v>29984</v>
      </c>
      <c r="H181">
        <v>1679104</v>
      </c>
      <c r="I181">
        <v>15</v>
      </c>
      <c r="J181" t="s">
        <v>1195</v>
      </c>
    </row>
    <row r="182" spans="1:10" x14ac:dyDescent="0.45">
      <c r="A182" t="s">
        <v>1196</v>
      </c>
      <c r="B182" s="2">
        <v>45374</v>
      </c>
      <c r="C182" t="s">
        <v>1197</v>
      </c>
      <c r="D182" t="s">
        <v>653</v>
      </c>
      <c r="E182" t="s">
        <v>702</v>
      </c>
      <c r="F182">
        <v>47</v>
      </c>
      <c r="G182">
        <v>10768</v>
      </c>
      <c r="H182">
        <v>506096</v>
      </c>
      <c r="I182">
        <v>10</v>
      </c>
      <c r="J182" t="s">
        <v>1198</v>
      </c>
    </row>
    <row r="183" spans="1:10" x14ac:dyDescent="0.45">
      <c r="A183" t="s">
        <v>1199</v>
      </c>
      <c r="B183" s="2">
        <v>44741</v>
      </c>
      <c r="C183" t="s">
        <v>1200</v>
      </c>
      <c r="D183" t="s">
        <v>675</v>
      </c>
      <c r="E183" t="s">
        <v>659</v>
      </c>
      <c r="F183">
        <v>37</v>
      </c>
      <c r="G183">
        <v>6228</v>
      </c>
      <c r="H183">
        <v>230436</v>
      </c>
      <c r="I183">
        <v>0</v>
      </c>
      <c r="J183" t="s">
        <v>1201</v>
      </c>
    </row>
    <row r="184" spans="1:10" x14ac:dyDescent="0.45">
      <c r="A184" t="s">
        <v>1202</v>
      </c>
      <c r="B184" s="2">
        <v>45656</v>
      </c>
      <c r="C184" t="s">
        <v>1203</v>
      </c>
      <c r="D184" t="s">
        <v>667</v>
      </c>
      <c r="E184" t="s">
        <v>702</v>
      </c>
      <c r="F184">
        <v>75</v>
      </c>
      <c r="G184">
        <v>35979</v>
      </c>
      <c r="H184">
        <v>2698425</v>
      </c>
      <c r="I184">
        <v>5</v>
      </c>
      <c r="J184" t="s">
        <v>1204</v>
      </c>
    </row>
    <row r="185" spans="1:10" x14ac:dyDescent="0.45">
      <c r="A185" t="s">
        <v>1205</v>
      </c>
      <c r="B185" s="2">
        <v>44816</v>
      </c>
      <c r="C185" t="s">
        <v>1206</v>
      </c>
      <c r="D185" t="s">
        <v>653</v>
      </c>
      <c r="E185" t="s">
        <v>663</v>
      </c>
      <c r="F185">
        <v>50</v>
      </c>
      <c r="G185">
        <v>42985</v>
      </c>
      <c r="H185">
        <v>2149250</v>
      </c>
      <c r="I185">
        <v>10</v>
      </c>
      <c r="J185" t="s">
        <v>1207</v>
      </c>
    </row>
    <row r="186" spans="1:10" x14ac:dyDescent="0.45">
      <c r="A186" t="s">
        <v>1208</v>
      </c>
      <c r="B186" s="2">
        <v>45310</v>
      </c>
      <c r="C186" t="s">
        <v>1209</v>
      </c>
      <c r="D186" t="s">
        <v>653</v>
      </c>
      <c r="E186" t="s">
        <v>668</v>
      </c>
      <c r="F186">
        <v>15</v>
      </c>
      <c r="G186">
        <v>47907</v>
      </c>
      <c r="H186">
        <v>718605</v>
      </c>
      <c r="I186">
        <v>15</v>
      </c>
      <c r="J186" t="s">
        <v>1210</v>
      </c>
    </row>
    <row r="187" spans="1:10" x14ac:dyDescent="0.45">
      <c r="A187" t="s">
        <v>1211</v>
      </c>
      <c r="B187" s="2">
        <v>44886</v>
      </c>
      <c r="C187" t="s">
        <v>1212</v>
      </c>
      <c r="D187" t="s">
        <v>653</v>
      </c>
      <c r="E187" t="s">
        <v>659</v>
      </c>
      <c r="F187">
        <v>67</v>
      </c>
      <c r="G187">
        <v>47814</v>
      </c>
      <c r="H187">
        <v>3203538</v>
      </c>
      <c r="I187">
        <v>15</v>
      </c>
      <c r="J187" t="s">
        <v>1213</v>
      </c>
    </row>
    <row r="188" spans="1:10" x14ac:dyDescent="0.45">
      <c r="A188" t="s">
        <v>1214</v>
      </c>
      <c r="B188" s="2">
        <v>45007</v>
      </c>
      <c r="C188" t="s">
        <v>1215</v>
      </c>
      <c r="D188" t="s">
        <v>675</v>
      </c>
      <c r="E188" t="s">
        <v>659</v>
      </c>
      <c r="F188">
        <v>24</v>
      </c>
      <c r="G188">
        <v>13298</v>
      </c>
      <c r="H188">
        <v>319152</v>
      </c>
      <c r="I188">
        <v>10</v>
      </c>
      <c r="J188" t="s">
        <v>1216</v>
      </c>
    </row>
    <row r="189" spans="1:10" x14ac:dyDescent="0.45">
      <c r="A189" t="s">
        <v>1217</v>
      </c>
      <c r="B189" s="2">
        <v>45275</v>
      </c>
      <c r="C189" t="s">
        <v>1218</v>
      </c>
      <c r="D189" t="s">
        <v>675</v>
      </c>
      <c r="E189" t="s">
        <v>668</v>
      </c>
      <c r="F189">
        <v>32</v>
      </c>
      <c r="G189">
        <v>39746</v>
      </c>
      <c r="H189">
        <v>1271872</v>
      </c>
      <c r="I189">
        <v>5</v>
      </c>
      <c r="J189" t="s">
        <v>1219</v>
      </c>
    </row>
    <row r="190" spans="1:10" x14ac:dyDescent="0.45">
      <c r="A190" t="s">
        <v>1220</v>
      </c>
      <c r="B190" s="2">
        <v>45211</v>
      </c>
      <c r="C190" t="s">
        <v>1221</v>
      </c>
      <c r="D190" t="s">
        <v>675</v>
      </c>
      <c r="E190" t="s">
        <v>659</v>
      </c>
      <c r="F190">
        <v>19</v>
      </c>
      <c r="G190">
        <v>13971</v>
      </c>
      <c r="H190">
        <v>265449</v>
      </c>
      <c r="I190">
        <v>10</v>
      </c>
      <c r="J190" t="s">
        <v>1222</v>
      </c>
    </row>
    <row r="191" spans="1:10" x14ac:dyDescent="0.45">
      <c r="A191" t="s">
        <v>1223</v>
      </c>
      <c r="B191" s="2">
        <v>44842</v>
      </c>
      <c r="C191" t="s">
        <v>1224</v>
      </c>
      <c r="D191" t="s">
        <v>653</v>
      </c>
      <c r="E191" t="s">
        <v>702</v>
      </c>
      <c r="F191">
        <v>79</v>
      </c>
      <c r="G191">
        <v>27865</v>
      </c>
      <c r="H191">
        <v>2201335</v>
      </c>
      <c r="I191">
        <v>0</v>
      </c>
      <c r="J191" t="s">
        <v>1225</v>
      </c>
    </row>
    <row r="192" spans="1:10" x14ac:dyDescent="0.45">
      <c r="A192" t="s">
        <v>1226</v>
      </c>
      <c r="B192" s="2">
        <v>45137</v>
      </c>
      <c r="C192" t="s">
        <v>1227</v>
      </c>
      <c r="D192" t="s">
        <v>658</v>
      </c>
      <c r="E192" t="s">
        <v>668</v>
      </c>
      <c r="F192">
        <v>42</v>
      </c>
      <c r="G192">
        <v>2532</v>
      </c>
      <c r="H192">
        <v>106344</v>
      </c>
      <c r="I192">
        <v>5</v>
      </c>
      <c r="J192" t="s">
        <v>1228</v>
      </c>
    </row>
    <row r="193" spans="1:10" x14ac:dyDescent="0.45">
      <c r="A193" t="s">
        <v>1229</v>
      </c>
      <c r="B193" s="2">
        <v>45107</v>
      </c>
      <c r="C193" t="s">
        <v>1230</v>
      </c>
      <c r="D193" t="s">
        <v>675</v>
      </c>
      <c r="E193" t="s">
        <v>702</v>
      </c>
      <c r="F193">
        <v>97</v>
      </c>
      <c r="G193">
        <v>15413</v>
      </c>
      <c r="H193">
        <v>1495061</v>
      </c>
      <c r="I193">
        <v>10</v>
      </c>
      <c r="J193" t="s">
        <v>1231</v>
      </c>
    </row>
    <row r="194" spans="1:10" x14ac:dyDescent="0.45">
      <c r="A194" t="s">
        <v>1232</v>
      </c>
      <c r="B194" s="2">
        <v>45380</v>
      </c>
      <c r="C194" t="s">
        <v>1233</v>
      </c>
      <c r="D194" t="s">
        <v>653</v>
      </c>
      <c r="E194" t="s">
        <v>659</v>
      </c>
      <c r="F194">
        <v>64</v>
      </c>
      <c r="G194">
        <v>40943</v>
      </c>
      <c r="H194">
        <v>2620352</v>
      </c>
      <c r="I194">
        <v>0</v>
      </c>
      <c r="J194" t="s">
        <v>1234</v>
      </c>
    </row>
    <row r="195" spans="1:10" x14ac:dyDescent="0.45">
      <c r="A195" t="s">
        <v>1235</v>
      </c>
      <c r="B195" s="2">
        <v>44910</v>
      </c>
      <c r="C195" t="s">
        <v>1236</v>
      </c>
      <c r="D195" t="s">
        <v>658</v>
      </c>
      <c r="E195" t="s">
        <v>663</v>
      </c>
      <c r="F195">
        <v>58</v>
      </c>
      <c r="G195">
        <v>41341</v>
      </c>
      <c r="H195">
        <v>2397778</v>
      </c>
      <c r="I195">
        <v>5</v>
      </c>
      <c r="J195" t="s">
        <v>1237</v>
      </c>
    </row>
    <row r="196" spans="1:10" x14ac:dyDescent="0.45">
      <c r="A196" t="s">
        <v>1238</v>
      </c>
      <c r="B196" s="2">
        <v>45216</v>
      </c>
      <c r="C196" t="s">
        <v>1239</v>
      </c>
      <c r="D196" t="s">
        <v>675</v>
      </c>
      <c r="E196" t="s">
        <v>668</v>
      </c>
      <c r="F196">
        <v>31</v>
      </c>
      <c r="G196">
        <v>12515</v>
      </c>
      <c r="H196">
        <v>387965</v>
      </c>
      <c r="I196">
        <v>15</v>
      </c>
      <c r="J196" t="s">
        <v>1240</v>
      </c>
    </row>
    <row r="197" spans="1:10" x14ac:dyDescent="0.45">
      <c r="A197" t="s">
        <v>1241</v>
      </c>
      <c r="B197" s="2">
        <v>44925</v>
      </c>
      <c r="C197" t="s">
        <v>1242</v>
      </c>
      <c r="D197" t="s">
        <v>667</v>
      </c>
      <c r="E197" t="s">
        <v>659</v>
      </c>
      <c r="F197">
        <v>89</v>
      </c>
      <c r="G197">
        <v>10447</v>
      </c>
      <c r="H197">
        <v>929783</v>
      </c>
      <c r="I197">
        <v>5</v>
      </c>
      <c r="J197" t="s">
        <v>1243</v>
      </c>
    </row>
    <row r="198" spans="1:10" x14ac:dyDescent="0.45">
      <c r="A198" t="s">
        <v>1244</v>
      </c>
      <c r="B198" s="2">
        <v>45306</v>
      </c>
      <c r="C198" t="s">
        <v>1245</v>
      </c>
      <c r="D198" t="s">
        <v>653</v>
      </c>
      <c r="E198" t="s">
        <v>659</v>
      </c>
      <c r="F198">
        <v>85</v>
      </c>
      <c r="G198">
        <v>47588</v>
      </c>
      <c r="H198">
        <v>4044980</v>
      </c>
      <c r="I198">
        <v>10</v>
      </c>
      <c r="J198" t="s">
        <v>1246</v>
      </c>
    </row>
    <row r="199" spans="1:10" x14ac:dyDescent="0.45">
      <c r="A199" t="s">
        <v>1247</v>
      </c>
      <c r="B199" s="2">
        <v>45045</v>
      </c>
      <c r="C199" t="s">
        <v>1248</v>
      </c>
      <c r="D199" t="s">
        <v>653</v>
      </c>
      <c r="E199" t="s">
        <v>654</v>
      </c>
      <c r="F199">
        <v>40</v>
      </c>
      <c r="G199">
        <v>29083</v>
      </c>
      <c r="H199">
        <v>1163320</v>
      </c>
      <c r="I199">
        <v>10</v>
      </c>
      <c r="J199" t="s">
        <v>1249</v>
      </c>
    </row>
    <row r="200" spans="1:10" x14ac:dyDescent="0.45">
      <c r="A200" t="s">
        <v>1250</v>
      </c>
      <c r="B200" s="2">
        <v>45015</v>
      </c>
      <c r="C200" t="s">
        <v>1251</v>
      </c>
      <c r="D200" t="s">
        <v>653</v>
      </c>
      <c r="E200" t="s">
        <v>668</v>
      </c>
      <c r="F200">
        <v>22</v>
      </c>
      <c r="G200">
        <v>43948</v>
      </c>
      <c r="H200">
        <v>966856</v>
      </c>
      <c r="I200">
        <v>0</v>
      </c>
      <c r="J200" t="s">
        <v>1252</v>
      </c>
    </row>
    <row r="201" spans="1:10" x14ac:dyDescent="0.45">
      <c r="A201" t="s">
        <v>1253</v>
      </c>
      <c r="B201" s="2">
        <v>45262</v>
      </c>
      <c r="C201" t="s">
        <v>1254</v>
      </c>
      <c r="D201" t="s">
        <v>675</v>
      </c>
      <c r="E201" t="s">
        <v>659</v>
      </c>
      <c r="F201">
        <v>53</v>
      </c>
      <c r="G201">
        <v>10680</v>
      </c>
      <c r="H201">
        <v>566040</v>
      </c>
      <c r="I201">
        <v>0</v>
      </c>
      <c r="J201" t="s">
        <v>1255</v>
      </c>
    </row>
    <row r="202" spans="1:10" x14ac:dyDescent="0.45">
      <c r="A202" t="s">
        <v>1256</v>
      </c>
      <c r="B202" s="2">
        <v>45503</v>
      </c>
      <c r="C202" t="s">
        <v>1257</v>
      </c>
      <c r="D202" t="s">
        <v>675</v>
      </c>
      <c r="E202" t="s">
        <v>668</v>
      </c>
      <c r="F202">
        <v>10</v>
      </c>
      <c r="G202">
        <v>30655</v>
      </c>
      <c r="H202">
        <v>306550</v>
      </c>
      <c r="I202">
        <v>5</v>
      </c>
      <c r="J202" t="s">
        <v>1258</v>
      </c>
    </row>
    <row r="203" spans="1:10" x14ac:dyDescent="0.45">
      <c r="A203" t="s">
        <v>1259</v>
      </c>
      <c r="B203" s="2">
        <v>45418</v>
      </c>
      <c r="C203" t="s">
        <v>1260</v>
      </c>
      <c r="D203" t="s">
        <v>658</v>
      </c>
      <c r="E203" t="s">
        <v>663</v>
      </c>
      <c r="F203">
        <v>40</v>
      </c>
      <c r="G203">
        <v>14233</v>
      </c>
      <c r="H203">
        <v>569320</v>
      </c>
      <c r="I203">
        <v>15</v>
      </c>
      <c r="J203" t="s">
        <v>1261</v>
      </c>
    </row>
    <row r="204" spans="1:10" x14ac:dyDescent="0.45">
      <c r="A204" t="s">
        <v>1262</v>
      </c>
      <c r="B204" s="2">
        <v>44887</v>
      </c>
      <c r="C204" t="s">
        <v>1263</v>
      </c>
      <c r="D204" t="s">
        <v>658</v>
      </c>
      <c r="E204" t="s">
        <v>654</v>
      </c>
      <c r="F204">
        <v>21</v>
      </c>
      <c r="G204">
        <v>27598</v>
      </c>
      <c r="H204">
        <v>579558</v>
      </c>
      <c r="I204">
        <v>10</v>
      </c>
      <c r="J204" t="s">
        <v>1264</v>
      </c>
    </row>
    <row r="205" spans="1:10" x14ac:dyDescent="0.45">
      <c r="A205" t="s">
        <v>1265</v>
      </c>
      <c r="B205" s="2">
        <v>45353</v>
      </c>
      <c r="C205" t="s">
        <v>1266</v>
      </c>
      <c r="D205" t="s">
        <v>675</v>
      </c>
      <c r="E205" t="s">
        <v>668</v>
      </c>
      <c r="F205">
        <v>32</v>
      </c>
      <c r="G205">
        <v>23075</v>
      </c>
      <c r="H205">
        <v>738400</v>
      </c>
      <c r="I205">
        <v>0</v>
      </c>
      <c r="J205" t="s">
        <v>1267</v>
      </c>
    </row>
    <row r="206" spans="1:10" x14ac:dyDescent="0.45">
      <c r="A206" t="s">
        <v>1268</v>
      </c>
      <c r="B206" s="2">
        <v>45765</v>
      </c>
      <c r="C206" t="s">
        <v>1269</v>
      </c>
      <c r="D206" t="s">
        <v>675</v>
      </c>
      <c r="E206" t="s">
        <v>659</v>
      </c>
      <c r="F206">
        <v>23</v>
      </c>
      <c r="G206">
        <v>36615</v>
      </c>
      <c r="H206">
        <v>842145</v>
      </c>
      <c r="I206">
        <v>10</v>
      </c>
      <c r="J206" t="s">
        <v>1270</v>
      </c>
    </row>
    <row r="207" spans="1:10" x14ac:dyDescent="0.45">
      <c r="A207" t="s">
        <v>1271</v>
      </c>
      <c r="B207" s="2">
        <v>45691</v>
      </c>
      <c r="C207" t="s">
        <v>1272</v>
      </c>
      <c r="D207" t="s">
        <v>653</v>
      </c>
      <c r="E207" t="s">
        <v>668</v>
      </c>
      <c r="F207">
        <v>94</v>
      </c>
      <c r="G207">
        <v>45923</v>
      </c>
      <c r="H207">
        <v>4316762</v>
      </c>
      <c r="I207">
        <v>15</v>
      </c>
      <c r="J207" t="s">
        <v>1273</v>
      </c>
    </row>
    <row r="208" spans="1:10" x14ac:dyDescent="0.45">
      <c r="A208" t="s">
        <v>1274</v>
      </c>
      <c r="B208" s="2">
        <v>45592</v>
      </c>
      <c r="C208" t="s">
        <v>1275</v>
      </c>
      <c r="D208" t="s">
        <v>653</v>
      </c>
      <c r="E208" t="s">
        <v>668</v>
      </c>
      <c r="F208">
        <v>15</v>
      </c>
      <c r="G208">
        <v>39460</v>
      </c>
      <c r="H208">
        <v>591900</v>
      </c>
      <c r="I208">
        <v>10</v>
      </c>
      <c r="J208" t="s">
        <v>1276</v>
      </c>
    </row>
    <row r="209" spans="1:10" x14ac:dyDescent="0.45">
      <c r="A209" t="s">
        <v>1277</v>
      </c>
      <c r="B209" s="2">
        <v>45317</v>
      </c>
      <c r="C209" t="s">
        <v>1278</v>
      </c>
      <c r="D209" t="s">
        <v>658</v>
      </c>
      <c r="E209" t="s">
        <v>668</v>
      </c>
      <c r="F209">
        <v>57</v>
      </c>
      <c r="G209">
        <v>45796</v>
      </c>
      <c r="H209">
        <v>2610372</v>
      </c>
      <c r="I209">
        <v>5</v>
      </c>
      <c r="J209" t="s">
        <v>1279</v>
      </c>
    </row>
    <row r="210" spans="1:10" x14ac:dyDescent="0.45">
      <c r="A210" t="s">
        <v>1280</v>
      </c>
      <c r="B210" s="2">
        <v>45177</v>
      </c>
      <c r="C210" t="s">
        <v>1281</v>
      </c>
      <c r="D210" t="s">
        <v>658</v>
      </c>
      <c r="E210" t="s">
        <v>654</v>
      </c>
      <c r="F210">
        <v>57</v>
      </c>
      <c r="G210">
        <v>40194</v>
      </c>
      <c r="H210">
        <v>2291058</v>
      </c>
      <c r="I210">
        <v>10</v>
      </c>
      <c r="J210" t="s">
        <v>1282</v>
      </c>
    </row>
    <row r="211" spans="1:10" x14ac:dyDescent="0.45">
      <c r="A211" t="s">
        <v>1283</v>
      </c>
      <c r="B211" s="2">
        <v>45715</v>
      </c>
      <c r="C211" t="s">
        <v>810</v>
      </c>
      <c r="D211" t="s">
        <v>653</v>
      </c>
      <c r="E211" t="s">
        <v>702</v>
      </c>
      <c r="F211">
        <v>94</v>
      </c>
      <c r="G211">
        <v>10665</v>
      </c>
      <c r="H211">
        <v>1002510</v>
      </c>
      <c r="I211">
        <v>10</v>
      </c>
      <c r="J211" t="s">
        <v>1284</v>
      </c>
    </row>
    <row r="212" spans="1:10" x14ac:dyDescent="0.45">
      <c r="A212" t="s">
        <v>1285</v>
      </c>
      <c r="B212" s="2">
        <v>45757</v>
      </c>
      <c r="C212" t="s">
        <v>1286</v>
      </c>
      <c r="D212" t="s">
        <v>667</v>
      </c>
      <c r="E212" t="s">
        <v>663</v>
      </c>
      <c r="F212">
        <v>62</v>
      </c>
      <c r="G212">
        <v>35861</v>
      </c>
      <c r="H212">
        <v>2223382</v>
      </c>
      <c r="I212">
        <v>10</v>
      </c>
      <c r="J212" t="s">
        <v>1287</v>
      </c>
    </row>
    <row r="213" spans="1:10" x14ac:dyDescent="0.45">
      <c r="A213" t="s">
        <v>1288</v>
      </c>
      <c r="B213" s="2">
        <v>45632</v>
      </c>
      <c r="C213" t="s">
        <v>1289</v>
      </c>
      <c r="D213" t="s">
        <v>658</v>
      </c>
      <c r="E213" t="s">
        <v>654</v>
      </c>
      <c r="F213">
        <v>40</v>
      </c>
      <c r="G213">
        <v>11299</v>
      </c>
      <c r="H213">
        <v>451960</v>
      </c>
      <c r="I213">
        <v>10</v>
      </c>
      <c r="J213" t="s">
        <v>1290</v>
      </c>
    </row>
    <row r="214" spans="1:10" x14ac:dyDescent="0.45">
      <c r="A214" t="s">
        <v>1291</v>
      </c>
      <c r="B214" s="2">
        <v>45428</v>
      </c>
      <c r="C214" t="s">
        <v>1292</v>
      </c>
      <c r="D214" t="s">
        <v>675</v>
      </c>
      <c r="E214" t="s">
        <v>702</v>
      </c>
      <c r="F214">
        <v>82</v>
      </c>
      <c r="G214">
        <v>25667</v>
      </c>
      <c r="H214">
        <v>2104694</v>
      </c>
      <c r="I214">
        <v>10</v>
      </c>
      <c r="J214" t="s">
        <v>1293</v>
      </c>
    </row>
    <row r="215" spans="1:10" x14ac:dyDescent="0.45">
      <c r="A215" t="s">
        <v>1294</v>
      </c>
      <c r="B215" s="2">
        <v>45560</v>
      </c>
      <c r="C215" t="s">
        <v>1295</v>
      </c>
      <c r="D215" t="s">
        <v>653</v>
      </c>
      <c r="E215" t="s">
        <v>702</v>
      </c>
      <c r="F215">
        <v>94</v>
      </c>
      <c r="G215">
        <v>13532</v>
      </c>
      <c r="H215">
        <v>1272008</v>
      </c>
      <c r="I215">
        <v>15</v>
      </c>
      <c r="J215" t="s">
        <v>1296</v>
      </c>
    </row>
    <row r="216" spans="1:10" x14ac:dyDescent="0.45">
      <c r="A216" t="s">
        <v>1297</v>
      </c>
      <c r="B216" s="2">
        <v>44983</v>
      </c>
      <c r="C216" t="s">
        <v>1298</v>
      </c>
      <c r="D216" t="s">
        <v>675</v>
      </c>
      <c r="E216" t="s">
        <v>659</v>
      </c>
      <c r="F216">
        <v>70</v>
      </c>
      <c r="G216">
        <v>30934</v>
      </c>
      <c r="H216">
        <v>2165380</v>
      </c>
      <c r="I216">
        <v>5</v>
      </c>
      <c r="J216" t="s">
        <v>1299</v>
      </c>
    </row>
    <row r="217" spans="1:10" x14ac:dyDescent="0.45">
      <c r="A217" t="s">
        <v>1300</v>
      </c>
      <c r="B217" s="2">
        <v>45353</v>
      </c>
      <c r="C217" t="s">
        <v>1301</v>
      </c>
      <c r="D217" t="s">
        <v>653</v>
      </c>
      <c r="E217" t="s">
        <v>668</v>
      </c>
      <c r="F217">
        <v>92</v>
      </c>
      <c r="G217">
        <v>19035</v>
      </c>
      <c r="H217">
        <v>1751220</v>
      </c>
      <c r="I217">
        <v>5</v>
      </c>
      <c r="J217" t="s">
        <v>1302</v>
      </c>
    </row>
    <row r="218" spans="1:10" x14ac:dyDescent="0.45">
      <c r="A218" t="s">
        <v>1303</v>
      </c>
      <c r="B218" s="2">
        <v>44797</v>
      </c>
      <c r="C218" t="s">
        <v>1304</v>
      </c>
      <c r="D218" t="s">
        <v>675</v>
      </c>
      <c r="E218" t="s">
        <v>654</v>
      </c>
      <c r="F218">
        <v>34</v>
      </c>
      <c r="G218">
        <v>31457</v>
      </c>
      <c r="H218">
        <v>1069538</v>
      </c>
      <c r="I218">
        <v>10</v>
      </c>
      <c r="J218" t="s">
        <v>1305</v>
      </c>
    </row>
    <row r="219" spans="1:10" x14ac:dyDescent="0.45">
      <c r="A219" t="s">
        <v>1306</v>
      </c>
      <c r="B219" s="2">
        <v>45305</v>
      </c>
      <c r="C219" t="s">
        <v>1307</v>
      </c>
      <c r="D219" t="s">
        <v>667</v>
      </c>
      <c r="E219" t="s">
        <v>702</v>
      </c>
      <c r="F219">
        <v>61</v>
      </c>
      <c r="G219">
        <v>44954</v>
      </c>
      <c r="H219">
        <v>2742194</v>
      </c>
      <c r="I219">
        <v>0</v>
      </c>
      <c r="J219" t="s">
        <v>1308</v>
      </c>
    </row>
    <row r="220" spans="1:10" x14ac:dyDescent="0.45">
      <c r="A220" t="s">
        <v>1309</v>
      </c>
      <c r="B220" s="2">
        <v>45631</v>
      </c>
      <c r="C220" t="s">
        <v>1310</v>
      </c>
      <c r="D220" t="s">
        <v>658</v>
      </c>
      <c r="E220" t="s">
        <v>668</v>
      </c>
      <c r="F220">
        <v>85</v>
      </c>
      <c r="G220">
        <v>19417</v>
      </c>
      <c r="H220">
        <v>1650445</v>
      </c>
      <c r="I220">
        <v>0</v>
      </c>
      <c r="J220" t="s">
        <v>1311</v>
      </c>
    </row>
    <row r="221" spans="1:10" x14ac:dyDescent="0.45">
      <c r="A221" t="s">
        <v>1312</v>
      </c>
      <c r="B221" s="2">
        <v>44867</v>
      </c>
      <c r="C221" t="s">
        <v>1313</v>
      </c>
      <c r="D221" t="s">
        <v>653</v>
      </c>
      <c r="E221" t="s">
        <v>663</v>
      </c>
      <c r="F221">
        <v>88</v>
      </c>
      <c r="G221">
        <v>16158</v>
      </c>
      <c r="H221">
        <v>1421904</v>
      </c>
      <c r="I221">
        <v>10</v>
      </c>
      <c r="J221" t="s">
        <v>1314</v>
      </c>
    </row>
    <row r="222" spans="1:10" x14ac:dyDescent="0.45">
      <c r="A222" t="s">
        <v>1315</v>
      </c>
      <c r="B222" s="2">
        <v>45372</v>
      </c>
      <c r="C222" t="s">
        <v>1316</v>
      </c>
      <c r="D222" t="s">
        <v>675</v>
      </c>
      <c r="E222" t="s">
        <v>668</v>
      </c>
      <c r="F222">
        <v>51</v>
      </c>
      <c r="G222">
        <v>46721</v>
      </c>
      <c r="H222">
        <v>2382771</v>
      </c>
      <c r="I222">
        <v>0</v>
      </c>
      <c r="J222" t="s">
        <v>1317</v>
      </c>
    </row>
    <row r="223" spans="1:10" x14ac:dyDescent="0.45">
      <c r="A223" t="s">
        <v>1318</v>
      </c>
      <c r="B223" s="2">
        <v>45764</v>
      </c>
      <c r="C223" t="s">
        <v>1319</v>
      </c>
      <c r="D223" t="s">
        <v>675</v>
      </c>
      <c r="E223" t="s">
        <v>668</v>
      </c>
      <c r="F223">
        <v>4</v>
      </c>
      <c r="G223">
        <v>24246</v>
      </c>
      <c r="H223">
        <v>96984</v>
      </c>
      <c r="I223">
        <v>15</v>
      </c>
      <c r="J223" t="s">
        <v>1320</v>
      </c>
    </row>
    <row r="224" spans="1:10" x14ac:dyDescent="0.45">
      <c r="A224" t="s">
        <v>1321</v>
      </c>
      <c r="B224" s="2">
        <v>44837</v>
      </c>
      <c r="C224" t="s">
        <v>1322</v>
      </c>
      <c r="D224" t="s">
        <v>653</v>
      </c>
      <c r="E224" t="s">
        <v>702</v>
      </c>
      <c r="F224">
        <v>33</v>
      </c>
      <c r="G224">
        <v>44219</v>
      </c>
      <c r="H224">
        <v>1459227</v>
      </c>
      <c r="I224">
        <v>15</v>
      </c>
      <c r="J224" t="s">
        <v>1323</v>
      </c>
    </row>
    <row r="225" spans="1:10" x14ac:dyDescent="0.45">
      <c r="A225" t="s">
        <v>1324</v>
      </c>
      <c r="B225" s="2">
        <v>45280</v>
      </c>
      <c r="C225" t="s">
        <v>1325</v>
      </c>
      <c r="D225" t="s">
        <v>653</v>
      </c>
      <c r="E225" t="s">
        <v>663</v>
      </c>
      <c r="F225">
        <v>63</v>
      </c>
      <c r="G225">
        <v>31993</v>
      </c>
      <c r="H225">
        <v>2015559</v>
      </c>
      <c r="I225">
        <v>0</v>
      </c>
      <c r="J225" t="s">
        <v>1326</v>
      </c>
    </row>
    <row r="226" spans="1:10" x14ac:dyDescent="0.45">
      <c r="A226" t="s">
        <v>1327</v>
      </c>
      <c r="B226" s="2">
        <v>44851</v>
      </c>
      <c r="C226" t="s">
        <v>1328</v>
      </c>
      <c r="D226" t="s">
        <v>667</v>
      </c>
      <c r="E226" t="s">
        <v>654</v>
      </c>
      <c r="F226">
        <v>25</v>
      </c>
      <c r="G226">
        <v>28815</v>
      </c>
      <c r="H226">
        <v>720375</v>
      </c>
      <c r="I226">
        <v>15</v>
      </c>
      <c r="J226" t="s">
        <v>1329</v>
      </c>
    </row>
    <row r="227" spans="1:10" x14ac:dyDescent="0.45">
      <c r="A227" t="s">
        <v>1330</v>
      </c>
      <c r="B227" s="2">
        <v>45476</v>
      </c>
      <c r="C227" t="s">
        <v>1331</v>
      </c>
      <c r="D227" t="s">
        <v>653</v>
      </c>
      <c r="E227" t="s">
        <v>663</v>
      </c>
      <c r="F227">
        <v>98</v>
      </c>
      <c r="G227">
        <v>38347</v>
      </c>
      <c r="H227">
        <v>3758006</v>
      </c>
      <c r="I227">
        <v>15</v>
      </c>
      <c r="J227" t="s">
        <v>1332</v>
      </c>
    </row>
    <row r="228" spans="1:10" x14ac:dyDescent="0.45">
      <c r="A228" t="s">
        <v>1333</v>
      </c>
      <c r="B228" s="2">
        <v>45359</v>
      </c>
      <c r="C228" t="s">
        <v>1334</v>
      </c>
      <c r="D228" t="s">
        <v>658</v>
      </c>
      <c r="E228" t="s">
        <v>659</v>
      </c>
      <c r="F228">
        <v>26</v>
      </c>
      <c r="G228">
        <v>45392</v>
      </c>
      <c r="H228">
        <v>1180192</v>
      </c>
      <c r="I228">
        <v>10</v>
      </c>
      <c r="J228" t="s">
        <v>1335</v>
      </c>
    </row>
    <row r="229" spans="1:10" x14ac:dyDescent="0.45">
      <c r="A229" t="s">
        <v>1336</v>
      </c>
      <c r="B229" s="2">
        <v>45813</v>
      </c>
      <c r="C229" t="s">
        <v>1337</v>
      </c>
      <c r="D229" t="s">
        <v>675</v>
      </c>
      <c r="E229" t="s">
        <v>654</v>
      </c>
      <c r="F229">
        <v>55</v>
      </c>
      <c r="G229">
        <v>32454</v>
      </c>
      <c r="H229">
        <v>1784970</v>
      </c>
      <c r="I229">
        <v>15</v>
      </c>
      <c r="J229" t="s">
        <v>1338</v>
      </c>
    </row>
    <row r="230" spans="1:10" x14ac:dyDescent="0.45">
      <c r="A230" t="s">
        <v>1339</v>
      </c>
      <c r="B230" s="2">
        <v>45443</v>
      </c>
      <c r="C230" t="s">
        <v>1340</v>
      </c>
      <c r="D230" t="s">
        <v>658</v>
      </c>
      <c r="E230" t="s">
        <v>668</v>
      </c>
      <c r="F230">
        <v>54</v>
      </c>
      <c r="G230">
        <v>41821</v>
      </c>
      <c r="H230">
        <v>2258334</v>
      </c>
      <c r="I230">
        <v>15</v>
      </c>
      <c r="J230" t="s">
        <v>1341</v>
      </c>
    </row>
    <row r="231" spans="1:10" x14ac:dyDescent="0.45">
      <c r="A231" t="s">
        <v>1342</v>
      </c>
      <c r="B231" s="2">
        <v>45516</v>
      </c>
      <c r="C231" t="s">
        <v>1343</v>
      </c>
      <c r="D231" t="s">
        <v>653</v>
      </c>
      <c r="E231" t="s">
        <v>654</v>
      </c>
      <c r="F231">
        <v>52</v>
      </c>
      <c r="G231">
        <v>2189</v>
      </c>
      <c r="H231">
        <v>113828</v>
      </c>
      <c r="I231">
        <v>5</v>
      </c>
      <c r="J231" t="s">
        <v>1344</v>
      </c>
    </row>
    <row r="232" spans="1:10" x14ac:dyDescent="0.45">
      <c r="A232" t="s">
        <v>1345</v>
      </c>
      <c r="B232" s="2">
        <v>45631</v>
      </c>
      <c r="C232" t="s">
        <v>1346</v>
      </c>
      <c r="D232" t="s">
        <v>653</v>
      </c>
      <c r="E232" t="s">
        <v>663</v>
      </c>
      <c r="F232">
        <v>33</v>
      </c>
      <c r="G232">
        <v>43688</v>
      </c>
      <c r="H232">
        <v>1441704</v>
      </c>
      <c r="I232">
        <v>15</v>
      </c>
      <c r="J232" t="s">
        <v>1347</v>
      </c>
    </row>
    <row r="233" spans="1:10" x14ac:dyDescent="0.45">
      <c r="A233" t="s">
        <v>1348</v>
      </c>
      <c r="B233" s="2">
        <v>45728</v>
      </c>
      <c r="C233" t="s">
        <v>1349</v>
      </c>
      <c r="D233" t="s">
        <v>675</v>
      </c>
      <c r="E233" t="s">
        <v>663</v>
      </c>
      <c r="F233">
        <v>36</v>
      </c>
      <c r="G233">
        <v>33526</v>
      </c>
      <c r="H233">
        <v>1206936</v>
      </c>
      <c r="I233">
        <v>15</v>
      </c>
      <c r="J233" t="s">
        <v>1350</v>
      </c>
    </row>
    <row r="234" spans="1:10" x14ac:dyDescent="0.45">
      <c r="A234" t="s">
        <v>1351</v>
      </c>
      <c r="B234" s="2">
        <v>45421</v>
      </c>
      <c r="C234" t="s">
        <v>1352</v>
      </c>
      <c r="D234" t="s">
        <v>667</v>
      </c>
      <c r="E234" t="s">
        <v>659</v>
      </c>
      <c r="F234">
        <v>92</v>
      </c>
      <c r="G234">
        <v>21197</v>
      </c>
      <c r="H234">
        <v>1950124</v>
      </c>
      <c r="I234">
        <v>0</v>
      </c>
      <c r="J234" t="s">
        <v>1353</v>
      </c>
    </row>
    <row r="235" spans="1:10" x14ac:dyDescent="0.45">
      <c r="A235" t="s">
        <v>1354</v>
      </c>
      <c r="B235" s="2">
        <v>44835</v>
      </c>
      <c r="C235" t="s">
        <v>1355</v>
      </c>
      <c r="D235" t="s">
        <v>675</v>
      </c>
      <c r="E235" t="s">
        <v>654</v>
      </c>
      <c r="F235">
        <v>41</v>
      </c>
      <c r="G235">
        <v>49490</v>
      </c>
      <c r="H235">
        <v>2029090</v>
      </c>
      <c r="I235">
        <v>15</v>
      </c>
      <c r="J235" t="s">
        <v>1356</v>
      </c>
    </row>
    <row r="236" spans="1:10" x14ac:dyDescent="0.45">
      <c r="A236" t="s">
        <v>1357</v>
      </c>
      <c r="B236" s="2">
        <v>45519</v>
      </c>
      <c r="C236" t="s">
        <v>1358</v>
      </c>
      <c r="D236" t="s">
        <v>658</v>
      </c>
      <c r="E236" t="s">
        <v>663</v>
      </c>
      <c r="F236">
        <v>67</v>
      </c>
      <c r="G236">
        <v>9068</v>
      </c>
      <c r="H236">
        <v>607556</v>
      </c>
      <c r="I236">
        <v>10</v>
      </c>
      <c r="J236" t="s">
        <v>1359</v>
      </c>
    </row>
    <row r="237" spans="1:10" x14ac:dyDescent="0.45">
      <c r="A237" t="s">
        <v>1360</v>
      </c>
      <c r="B237" s="2">
        <v>45353</v>
      </c>
      <c r="C237" t="s">
        <v>1361</v>
      </c>
      <c r="D237" t="s">
        <v>653</v>
      </c>
      <c r="E237" t="s">
        <v>702</v>
      </c>
      <c r="F237">
        <v>70</v>
      </c>
      <c r="G237">
        <v>1914</v>
      </c>
      <c r="H237">
        <v>133980</v>
      </c>
      <c r="I237">
        <v>5</v>
      </c>
      <c r="J237" t="s">
        <v>1362</v>
      </c>
    </row>
    <row r="238" spans="1:10" x14ac:dyDescent="0.45">
      <c r="A238" t="s">
        <v>1363</v>
      </c>
      <c r="B238" s="2">
        <v>45380</v>
      </c>
      <c r="C238" t="s">
        <v>1364</v>
      </c>
      <c r="D238" t="s">
        <v>667</v>
      </c>
      <c r="E238" t="s">
        <v>659</v>
      </c>
      <c r="F238">
        <v>52</v>
      </c>
      <c r="G238">
        <v>43417</v>
      </c>
      <c r="H238">
        <v>2257684</v>
      </c>
      <c r="I238">
        <v>15</v>
      </c>
      <c r="J238" t="s">
        <v>1365</v>
      </c>
    </row>
    <row r="239" spans="1:10" x14ac:dyDescent="0.45">
      <c r="A239" t="s">
        <v>1366</v>
      </c>
      <c r="B239" s="2">
        <v>45336</v>
      </c>
      <c r="C239" t="s">
        <v>1367</v>
      </c>
      <c r="D239" t="s">
        <v>675</v>
      </c>
      <c r="E239" t="s">
        <v>668</v>
      </c>
      <c r="F239">
        <v>42</v>
      </c>
      <c r="G239">
        <v>14096</v>
      </c>
      <c r="H239">
        <v>592032</v>
      </c>
      <c r="I239">
        <v>10</v>
      </c>
      <c r="J239" t="s">
        <v>1368</v>
      </c>
    </row>
    <row r="240" spans="1:10" x14ac:dyDescent="0.45">
      <c r="A240" t="s">
        <v>1369</v>
      </c>
      <c r="B240" s="2">
        <v>45164</v>
      </c>
      <c r="C240" t="s">
        <v>1370</v>
      </c>
      <c r="D240" t="s">
        <v>675</v>
      </c>
      <c r="E240" t="s">
        <v>702</v>
      </c>
      <c r="F240">
        <v>35</v>
      </c>
      <c r="G240">
        <v>26627</v>
      </c>
      <c r="H240">
        <v>931945</v>
      </c>
      <c r="I240">
        <v>5</v>
      </c>
      <c r="J240" t="s">
        <v>1371</v>
      </c>
    </row>
    <row r="241" spans="1:10" x14ac:dyDescent="0.45">
      <c r="A241" t="s">
        <v>1372</v>
      </c>
      <c r="B241" s="2">
        <v>45518</v>
      </c>
      <c r="C241" t="s">
        <v>1373</v>
      </c>
      <c r="D241" t="s">
        <v>675</v>
      </c>
      <c r="E241" t="s">
        <v>702</v>
      </c>
      <c r="F241">
        <v>67</v>
      </c>
      <c r="G241">
        <v>46398</v>
      </c>
      <c r="H241">
        <v>3108666</v>
      </c>
      <c r="I241">
        <v>15</v>
      </c>
      <c r="J241" t="s">
        <v>1374</v>
      </c>
    </row>
    <row r="242" spans="1:10" x14ac:dyDescent="0.45">
      <c r="A242" t="s">
        <v>1375</v>
      </c>
      <c r="B242" s="2">
        <v>45518</v>
      </c>
      <c r="C242" t="s">
        <v>1376</v>
      </c>
      <c r="D242" t="s">
        <v>653</v>
      </c>
      <c r="E242" t="s">
        <v>663</v>
      </c>
      <c r="F242">
        <v>59</v>
      </c>
      <c r="G242">
        <v>16217</v>
      </c>
      <c r="H242">
        <v>956803</v>
      </c>
      <c r="I242">
        <v>0</v>
      </c>
      <c r="J242" t="s">
        <v>1377</v>
      </c>
    </row>
    <row r="243" spans="1:10" x14ac:dyDescent="0.45">
      <c r="A243" t="s">
        <v>1378</v>
      </c>
      <c r="B243" s="2">
        <v>45097</v>
      </c>
      <c r="C243" t="s">
        <v>1379</v>
      </c>
      <c r="D243" t="s">
        <v>653</v>
      </c>
      <c r="E243" t="s">
        <v>702</v>
      </c>
      <c r="F243">
        <v>95</v>
      </c>
      <c r="G243">
        <v>35029</v>
      </c>
      <c r="H243">
        <v>3327755</v>
      </c>
      <c r="I243">
        <v>5</v>
      </c>
      <c r="J243" t="s">
        <v>1380</v>
      </c>
    </row>
    <row r="244" spans="1:10" x14ac:dyDescent="0.45">
      <c r="A244" t="s">
        <v>1381</v>
      </c>
      <c r="B244" s="2">
        <v>45323</v>
      </c>
      <c r="C244" t="s">
        <v>1382</v>
      </c>
      <c r="D244" t="s">
        <v>667</v>
      </c>
      <c r="E244" t="s">
        <v>663</v>
      </c>
      <c r="F244">
        <v>18</v>
      </c>
      <c r="G244">
        <v>29731</v>
      </c>
      <c r="H244">
        <v>535158</v>
      </c>
      <c r="I244">
        <v>15</v>
      </c>
      <c r="J244" t="s">
        <v>1383</v>
      </c>
    </row>
    <row r="245" spans="1:10" x14ac:dyDescent="0.45">
      <c r="A245" t="s">
        <v>1384</v>
      </c>
      <c r="B245" s="2">
        <v>45705</v>
      </c>
      <c r="C245" t="s">
        <v>1385</v>
      </c>
      <c r="D245" t="s">
        <v>653</v>
      </c>
      <c r="E245" t="s">
        <v>663</v>
      </c>
      <c r="F245">
        <v>87</v>
      </c>
      <c r="G245">
        <v>17706</v>
      </c>
      <c r="H245">
        <v>1540422</v>
      </c>
      <c r="I245">
        <v>5</v>
      </c>
      <c r="J245" t="s">
        <v>915</v>
      </c>
    </row>
    <row r="246" spans="1:10" x14ac:dyDescent="0.45">
      <c r="A246" t="s">
        <v>1386</v>
      </c>
      <c r="B246" s="2">
        <v>45359</v>
      </c>
      <c r="C246" t="s">
        <v>523</v>
      </c>
      <c r="D246" t="s">
        <v>675</v>
      </c>
      <c r="E246" t="s">
        <v>702</v>
      </c>
      <c r="F246">
        <v>73</v>
      </c>
      <c r="G246">
        <v>33052</v>
      </c>
      <c r="H246">
        <v>2412796</v>
      </c>
      <c r="I246">
        <v>0</v>
      </c>
      <c r="J246" t="s">
        <v>1387</v>
      </c>
    </row>
    <row r="247" spans="1:10" x14ac:dyDescent="0.45">
      <c r="A247" t="s">
        <v>1388</v>
      </c>
      <c r="B247" s="2">
        <v>44976</v>
      </c>
      <c r="C247" t="s">
        <v>1389</v>
      </c>
      <c r="D247" t="s">
        <v>675</v>
      </c>
      <c r="E247" t="s">
        <v>668</v>
      </c>
      <c r="F247">
        <v>61</v>
      </c>
      <c r="G247">
        <v>2278</v>
      </c>
      <c r="H247">
        <v>138958</v>
      </c>
      <c r="I247">
        <v>0</v>
      </c>
      <c r="J247" t="s">
        <v>1390</v>
      </c>
    </row>
    <row r="248" spans="1:10" x14ac:dyDescent="0.45">
      <c r="A248" t="s">
        <v>1391</v>
      </c>
      <c r="B248" s="2">
        <v>45596</v>
      </c>
      <c r="C248" t="s">
        <v>1392</v>
      </c>
      <c r="D248" t="s">
        <v>675</v>
      </c>
      <c r="E248" t="s">
        <v>654</v>
      </c>
      <c r="F248">
        <v>82</v>
      </c>
      <c r="G248">
        <v>24133</v>
      </c>
      <c r="H248">
        <v>1978906</v>
      </c>
      <c r="I248">
        <v>10</v>
      </c>
      <c r="J248" t="s">
        <v>1393</v>
      </c>
    </row>
    <row r="249" spans="1:10" x14ac:dyDescent="0.45">
      <c r="A249" t="s">
        <v>1394</v>
      </c>
      <c r="B249" s="2">
        <v>45355</v>
      </c>
      <c r="C249" t="s">
        <v>1395</v>
      </c>
      <c r="D249" t="s">
        <v>653</v>
      </c>
      <c r="E249" t="s">
        <v>663</v>
      </c>
      <c r="F249">
        <v>94</v>
      </c>
      <c r="G249">
        <v>46662</v>
      </c>
      <c r="H249">
        <v>4386228</v>
      </c>
      <c r="I249">
        <v>0</v>
      </c>
      <c r="J249" t="s">
        <v>1396</v>
      </c>
    </row>
    <row r="250" spans="1:10" x14ac:dyDescent="0.45">
      <c r="A250" t="s">
        <v>1397</v>
      </c>
      <c r="B250" s="2">
        <v>45626</v>
      </c>
      <c r="C250" t="s">
        <v>1398</v>
      </c>
      <c r="D250" t="s">
        <v>658</v>
      </c>
      <c r="E250" t="s">
        <v>659</v>
      </c>
      <c r="F250">
        <v>40</v>
      </c>
      <c r="G250">
        <v>23032</v>
      </c>
      <c r="H250">
        <v>921280</v>
      </c>
      <c r="I250">
        <v>0</v>
      </c>
      <c r="J250" t="s">
        <v>1399</v>
      </c>
    </row>
    <row r="251" spans="1:10" x14ac:dyDescent="0.45">
      <c r="A251" t="s">
        <v>1400</v>
      </c>
      <c r="B251" s="2">
        <v>44896</v>
      </c>
      <c r="C251" t="s">
        <v>1401</v>
      </c>
      <c r="D251" t="s">
        <v>658</v>
      </c>
      <c r="E251" t="s">
        <v>663</v>
      </c>
      <c r="F251">
        <v>95</v>
      </c>
      <c r="G251">
        <v>27808</v>
      </c>
      <c r="H251">
        <v>2641760</v>
      </c>
      <c r="I251">
        <v>10</v>
      </c>
      <c r="J251" t="s">
        <v>1402</v>
      </c>
    </row>
    <row r="252" spans="1:10" x14ac:dyDescent="0.45">
      <c r="A252" t="s">
        <v>1403</v>
      </c>
      <c r="B252" s="2">
        <v>45662</v>
      </c>
      <c r="C252" t="s">
        <v>1404</v>
      </c>
      <c r="D252" t="s">
        <v>658</v>
      </c>
      <c r="E252" t="s">
        <v>663</v>
      </c>
      <c r="F252">
        <v>39</v>
      </c>
      <c r="G252">
        <v>40705</v>
      </c>
      <c r="H252">
        <v>1587495</v>
      </c>
      <c r="I252">
        <v>5</v>
      </c>
      <c r="J252" t="s">
        <v>1405</v>
      </c>
    </row>
    <row r="253" spans="1:10" x14ac:dyDescent="0.45">
      <c r="A253" t="s">
        <v>1406</v>
      </c>
      <c r="B253" s="2">
        <v>45470</v>
      </c>
      <c r="C253" t="s">
        <v>1407</v>
      </c>
      <c r="D253" t="s">
        <v>658</v>
      </c>
      <c r="E253" t="s">
        <v>702</v>
      </c>
      <c r="F253">
        <v>54</v>
      </c>
      <c r="G253">
        <v>3445</v>
      </c>
      <c r="H253">
        <v>186030</v>
      </c>
      <c r="I253">
        <v>15</v>
      </c>
      <c r="J253" t="s">
        <v>1408</v>
      </c>
    </row>
    <row r="254" spans="1:10" x14ac:dyDescent="0.45">
      <c r="A254" t="s">
        <v>1409</v>
      </c>
      <c r="B254" s="2">
        <v>45020</v>
      </c>
      <c r="C254" t="s">
        <v>1410</v>
      </c>
      <c r="D254" t="s">
        <v>675</v>
      </c>
      <c r="E254" t="s">
        <v>702</v>
      </c>
      <c r="F254">
        <v>8</v>
      </c>
      <c r="G254">
        <v>47929</v>
      </c>
      <c r="H254">
        <v>383432</v>
      </c>
      <c r="I254">
        <v>5</v>
      </c>
      <c r="J254" t="s">
        <v>1411</v>
      </c>
    </row>
    <row r="255" spans="1:10" x14ac:dyDescent="0.45">
      <c r="A255" t="s">
        <v>1412</v>
      </c>
      <c r="B255" s="2">
        <v>45102</v>
      </c>
      <c r="C255" t="s">
        <v>1413</v>
      </c>
      <c r="D255" t="s">
        <v>667</v>
      </c>
      <c r="E255" t="s">
        <v>702</v>
      </c>
      <c r="F255">
        <v>69</v>
      </c>
      <c r="G255">
        <v>28317</v>
      </c>
      <c r="H255">
        <v>1953873</v>
      </c>
      <c r="I255">
        <v>15</v>
      </c>
      <c r="J255" t="s">
        <v>1414</v>
      </c>
    </row>
    <row r="256" spans="1:10" x14ac:dyDescent="0.45">
      <c r="A256" t="s">
        <v>1415</v>
      </c>
      <c r="B256" s="2">
        <v>45288</v>
      </c>
      <c r="C256" t="s">
        <v>1416</v>
      </c>
      <c r="D256" t="s">
        <v>653</v>
      </c>
      <c r="E256" t="s">
        <v>663</v>
      </c>
      <c r="F256">
        <v>89</v>
      </c>
      <c r="G256">
        <v>7426</v>
      </c>
      <c r="H256">
        <v>660914</v>
      </c>
      <c r="I256">
        <v>10</v>
      </c>
      <c r="J256" t="s">
        <v>1417</v>
      </c>
    </row>
    <row r="257" spans="1:10" x14ac:dyDescent="0.45">
      <c r="A257" t="s">
        <v>1418</v>
      </c>
      <c r="B257" s="2">
        <v>45567</v>
      </c>
      <c r="C257" t="s">
        <v>1419</v>
      </c>
      <c r="D257" t="s">
        <v>653</v>
      </c>
      <c r="E257" t="s">
        <v>663</v>
      </c>
      <c r="F257">
        <v>50</v>
      </c>
      <c r="G257">
        <v>8102</v>
      </c>
      <c r="H257">
        <v>405100</v>
      </c>
      <c r="I257">
        <v>0</v>
      </c>
      <c r="J257" t="s">
        <v>1420</v>
      </c>
    </row>
    <row r="258" spans="1:10" x14ac:dyDescent="0.45">
      <c r="A258" t="s">
        <v>1421</v>
      </c>
      <c r="B258" s="2">
        <v>45435</v>
      </c>
      <c r="C258" t="s">
        <v>1422</v>
      </c>
      <c r="D258" t="s">
        <v>653</v>
      </c>
      <c r="E258" t="s">
        <v>668</v>
      </c>
      <c r="F258">
        <v>68</v>
      </c>
      <c r="G258">
        <v>49634</v>
      </c>
      <c r="H258">
        <v>3375112</v>
      </c>
      <c r="I258">
        <v>10</v>
      </c>
      <c r="J258" t="s">
        <v>1423</v>
      </c>
    </row>
    <row r="259" spans="1:10" x14ac:dyDescent="0.45">
      <c r="A259" t="s">
        <v>1424</v>
      </c>
      <c r="B259" s="2">
        <v>45468</v>
      </c>
      <c r="C259" t="s">
        <v>1425</v>
      </c>
      <c r="D259" t="s">
        <v>653</v>
      </c>
      <c r="E259" t="s">
        <v>659</v>
      </c>
      <c r="F259">
        <v>59</v>
      </c>
      <c r="G259">
        <v>40969</v>
      </c>
      <c r="H259">
        <v>2417171</v>
      </c>
      <c r="I259">
        <v>10</v>
      </c>
      <c r="J259" t="s">
        <v>1426</v>
      </c>
    </row>
    <row r="260" spans="1:10" x14ac:dyDescent="0.45">
      <c r="A260" t="s">
        <v>1427</v>
      </c>
      <c r="B260" s="2">
        <v>44922</v>
      </c>
      <c r="C260" t="s">
        <v>1428</v>
      </c>
      <c r="D260" t="s">
        <v>658</v>
      </c>
      <c r="E260" t="s">
        <v>702</v>
      </c>
      <c r="F260">
        <v>15</v>
      </c>
      <c r="G260">
        <v>26318</v>
      </c>
      <c r="H260">
        <v>394770</v>
      </c>
      <c r="I260">
        <v>0</v>
      </c>
      <c r="J260" t="s">
        <v>1429</v>
      </c>
    </row>
    <row r="261" spans="1:10" x14ac:dyDescent="0.45">
      <c r="A261" t="s">
        <v>1430</v>
      </c>
      <c r="B261" s="2">
        <v>44947</v>
      </c>
      <c r="C261" t="s">
        <v>1431</v>
      </c>
      <c r="D261" t="s">
        <v>675</v>
      </c>
      <c r="E261" t="s">
        <v>702</v>
      </c>
      <c r="F261">
        <v>68</v>
      </c>
      <c r="G261">
        <v>48720</v>
      </c>
      <c r="H261">
        <v>3312960</v>
      </c>
      <c r="I261">
        <v>0</v>
      </c>
      <c r="J261" t="s">
        <v>1432</v>
      </c>
    </row>
    <row r="262" spans="1:10" x14ac:dyDescent="0.45">
      <c r="A262" t="s">
        <v>1433</v>
      </c>
      <c r="B262" s="2">
        <v>44766</v>
      </c>
      <c r="C262" t="s">
        <v>1434</v>
      </c>
      <c r="D262" t="s">
        <v>667</v>
      </c>
      <c r="E262" t="s">
        <v>654</v>
      </c>
      <c r="F262">
        <v>70</v>
      </c>
      <c r="G262">
        <v>23673</v>
      </c>
      <c r="H262">
        <v>1657110</v>
      </c>
      <c r="I262">
        <v>15</v>
      </c>
      <c r="J262" t="s">
        <v>1435</v>
      </c>
    </row>
    <row r="263" spans="1:10" x14ac:dyDescent="0.45">
      <c r="A263" t="s">
        <v>1436</v>
      </c>
      <c r="B263" s="2">
        <v>44850</v>
      </c>
      <c r="C263" t="s">
        <v>1437</v>
      </c>
      <c r="D263" t="s">
        <v>658</v>
      </c>
      <c r="E263" t="s">
        <v>702</v>
      </c>
      <c r="F263">
        <v>50</v>
      </c>
      <c r="G263">
        <v>6386</v>
      </c>
      <c r="H263">
        <v>319300</v>
      </c>
      <c r="I263">
        <v>0</v>
      </c>
      <c r="J263" t="s">
        <v>1438</v>
      </c>
    </row>
    <row r="264" spans="1:10" x14ac:dyDescent="0.45">
      <c r="A264" t="s">
        <v>1439</v>
      </c>
      <c r="B264" s="2">
        <v>44795</v>
      </c>
      <c r="C264" t="s">
        <v>1440</v>
      </c>
      <c r="D264" t="s">
        <v>653</v>
      </c>
      <c r="E264" t="s">
        <v>659</v>
      </c>
      <c r="F264">
        <v>49</v>
      </c>
      <c r="G264">
        <v>1304</v>
      </c>
      <c r="H264">
        <v>63896</v>
      </c>
      <c r="I264">
        <v>10</v>
      </c>
      <c r="J264" t="s">
        <v>1441</v>
      </c>
    </row>
    <row r="265" spans="1:10" x14ac:dyDescent="0.45">
      <c r="A265" t="s">
        <v>1442</v>
      </c>
      <c r="B265" s="2">
        <v>45368</v>
      </c>
      <c r="C265" t="s">
        <v>1443</v>
      </c>
      <c r="D265" t="s">
        <v>658</v>
      </c>
      <c r="E265" t="s">
        <v>668</v>
      </c>
      <c r="F265">
        <v>24</v>
      </c>
      <c r="G265">
        <v>38863</v>
      </c>
      <c r="H265">
        <v>932712</v>
      </c>
      <c r="I265">
        <v>15</v>
      </c>
      <c r="J265" t="s">
        <v>1444</v>
      </c>
    </row>
    <row r="266" spans="1:10" x14ac:dyDescent="0.45">
      <c r="A266" t="s">
        <v>1445</v>
      </c>
      <c r="B266" s="2">
        <v>44835</v>
      </c>
      <c r="C266" t="s">
        <v>1446</v>
      </c>
      <c r="D266" t="s">
        <v>675</v>
      </c>
      <c r="E266" t="s">
        <v>663</v>
      </c>
      <c r="F266">
        <v>32</v>
      </c>
      <c r="G266">
        <v>30537</v>
      </c>
      <c r="H266">
        <v>977184</v>
      </c>
      <c r="I266">
        <v>15</v>
      </c>
      <c r="J266" t="s">
        <v>1447</v>
      </c>
    </row>
    <row r="267" spans="1:10" x14ac:dyDescent="0.45">
      <c r="A267" t="s">
        <v>1448</v>
      </c>
      <c r="B267" s="2">
        <v>44926</v>
      </c>
      <c r="C267" t="s">
        <v>1449</v>
      </c>
      <c r="D267" t="s">
        <v>658</v>
      </c>
      <c r="E267" t="s">
        <v>702</v>
      </c>
      <c r="F267">
        <v>74</v>
      </c>
      <c r="G267">
        <v>29868</v>
      </c>
      <c r="H267">
        <v>2210232</v>
      </c>
      <c r="I267">
        <v>10</v>
      </c>
      <c r="J267" t="s">
        <v>1450</v>
      </c>
    </row>
    <row r="268" spans="1:10" x14ac:dyDescent="0.45">
      <c r="A268" t="s">
        <v>1451</v>
      </c>
      <c r="B268" s="2">
        <v>44927</v>
      </c>
      <c r="C268" t="s">
        <v>1452</v>
      </c>
      <c r="D268" t="s">
        <v>675</v>
      </c>
      <c r="E268" t="s">
        <v>702</v>
      </c>
      <c r="F268">
        <v>70</v>
      </c>
      <c r="G268">
        <v>41762</v>
      </c>
      <c r="H268">
        <v>2923340</v>
      </c>
      <c r="I268">
        <v>15</v>
      </c>
      <c r="J268" t="s">
        <v>1453</v>
      </c>
    </row>
    <row r="269" spans="1:10" x14ac:dyDescent="0.45">
      <c r="A269" t="s">
        <v>1454</v>
      </c>
      <c r="B269" s="2">
        <v>44847</v>
      </c>
      <c r="C269" t="s">
        <v>1455</v>
      </c>
      <c r="D269" t="s">
        <v>675</v>
      </c>
      <c r="E269" t="s">
        <v>654</v>
      </c>
      <c r="F269">
        <v>43</v>
      </c>
      <c r="G269">
        <v>46905</v>
      </c>
      <c r="H269">
        <v>2016915</v>
      </c>
      <c r="I269">
        <v>5</v>
      </c>
      <c r="J269" t="s">
        <v>1456</v>
      </c>
    </row>
    <row r="270" spans="1:10" x14ac:dyDescent="0.45">
      <c r="A270" t="s">
        <v>1457</v>
      </c>
      <c r="B270" s="2">
        <v>44870</v>
      </c>
      <c r="C270" t="s">
        <v>1458</v>
      </c>
      <c r="D270" t="s">
        <v>667</v>
      </c>
      <c r="E270" t="s">
        <v>663</v>
      </c>
      <c r="F270">
        <v>38</v>
      </c>
      <c r="G270">
        <v>25333</v>
      </c>
      <c r="H270">
        <v>962654</v>
      </c>
      <c r="I270">
        <v>5</v>
      </c>
      <c r="J270" t="s">
        <v>1459</v>
      </c>
    </row>
    <row r="271" spans="1:10" x14ac:dyDescent="0.45">
      <c r="A271" t="s">
        <v>1460</v>
      </c>
      <c r="B271" s="2">
        <v>45392</v>
      </c>
      <c r="C271" t="s">
        <v>1461</v>
      </c>
      <c r="D271" t="s">
        <v>653</v>
      </c>
      <c r="E271" t="s">
        <v>702</v>
      </c>
      <c r="F271">
        <v>89</v>
      </c>
      <c r="G271">
        <v>2730</v>
      </c>
      <c r="H271">
        <v>242970</v>
      </c>
      <c r="I271">
        <v>0</v>
      </c>
      <c r="J271" t="s">
        <v>1462</v>
      </c>
    </row>
    <row r="272" spans="1:10" x14ac:dyDescent="0.45">
      <c r="A272" t="s">
        <v>1463</v>
      </c>
      <c r="B272" s="2">
        <v>45134</v>
      </c>
      <c r="C272" t="s">
        <v>1464</v>
      </c>
      <c r="D272" t="s">
        <v>675</v>
      </c>
      <c r="E272" t="s">
        <v>659</v>
      </c>
      <c r="F272">
        <v>22</v>
      </c>
      <c r="G272">
        <v>31586</v>
      </c>
      <c r="H272">
        <v>694892</v>
      </c>
      <c r="I272">
        <v>0</v>
      </c>
      <c r="J272" t="s">
        <v>1465</v>
      </c>
    </row>
    <row r="273" spans="1:10" x14ac:dyDescent="0.45">
      <c r="A273" t="s">
        <v>1466</v>
      </c>
      <c r="B273" s="2">
        <v>45178</v>
      </c>
      <c r="C273" t="s">
        <v>1467</v>
      </c>
      <c r="D273" t="s">
        <v>658</v>
      </c>
      <c r="E273" t="s">
        <v>659</v>
      </c>
      <c r="F273">
        <v>67</v>
      </c>
      <c r="G273">
        <v>12661</v>
      </c>
      <c r="H273">
        <v>848287</v>
      </c>
      <c r="I273">
        <v>5</v>
      </c>
      <c r="J273" t="s">
        <v>1468</v>
      </c>
    </row>
    <row r="274" spans="1:10" x14ac:dyDescent="0.45">
      <c r="A274" t="s">
        <v>1469</v>
      </c>
      <c r="B274" s="2">
        <v>45025</v>
      </c>
      <c r="C274" t="s">
        <v>1470</v>
      </c>
      <c r="D274" t="s">
        <v>653</v>
      </c>
      <c r="E274" t="s">
        <v>654</v>
      </c>
      <c r="F274">
        <v>5</v>
      </c>
      <c r="G274">
        <v>26567</v>
      </c>
      <c r="H274">
        <v>132835</v>
      </c>
      <c r="I274">
        <v>15</v>
      </c>
      <c r="J274" t="s">
        <v>1471</v>
      </c>
    </row>
    <row r="275" spans="1:10" x14ac:dyDescent="0.45">
      <c r="A275" t="s">
        <v>1472</v>
      </c>
      <c r="B275" s="2">
        <v>45221</v>
      </c>
      <c r="C275" t="s">
        <v>1473</v>
      </c>
      <c r="D275" t="s">
        <v>675</v>
      </c>
      <c r="E275" t="s">
        <v>702</v>
      </c>
      <c r="F275">
        <v>63</v>
      </c>
      <c r="G275">
        <v>27100</v>
      </c>
      <c r="H275">
        <v>1707300</v>
      </c>
      <c r="I275">
        <v>15</v>
      </c>
      <c r="J275" t="s">
        <v>733</v>
      </c>
    </row>
    <row r="276" spans="1:10" x14ac:dyDescent="0.45">
      <c r="A276" t="s">
        <v>1474</v>
      </c>
      <c r="B276" s="2">
        <v>45419</v>
      </c>
      <c r="C276" t="s">
        <v>1475</v>
      </c>
      <c r="D276" t="s">
        <v>653</v>
      </c>
      <c r="E276" t="s">
        <v>668</v>
      </c>
      <c r="F276">
        <v>69</v>
      </c>
      <c r="G276">
        <v>36051</v>
      </c>
      <c r="H276">
        <v>2487519</v>
      </c>
      <c r="I276">
        <v>0</v>
      </c>
      <c r="J276" t="s">
        <v>1476</v>
      </c>
    </row>
    <row r="277" spans="1:10" x14ac:dyDescent="0.45">
      <c r="A277" t="s">
        <v>1477</v>
      </c>
      <c r="B277" s="2">
        <v>45449</v>
      </c>
      <c r="C277" t="s">
        <v>1478</v>
      </c>
      <c r="D277" t="s">
        <v>667</v>
      </c>
      <c r="E277" t="s">
        <v>668</v>
      </c>
      <c r="F277">
        <v>58</v>
      </c>
      <c r="G277">
        <v>47971</v>
      </c>
      <c r="H277">
        <v>2782318</v>
      </c>
      <c r="I277">
        <v>10</v>
      </c>
      <c r="J277" t="s">
        <v>1479</v>
      </c>
    </row>
    <row r="278" spans="1:10" x14ac:dyDescent="0.45">
      <c r="A278" t="s">
        <v>1480</v>
      </c>
      <c r="B278" s="2">
        <v>45759</v>
      </c>
      <c r="C278" t="s">
        <v>1481</v>
      </c>
      <c r="D278" t="s">
        <v>667</v>
      </c>
      <c r="E278" t="s">
        <v>663</v>
      </c>
      <c r="F278">
        <v>75</v>
      </c>
      <c r="G278">
        <v>40230</v>
      </c>
      <c r="H278">
        <v>3017250</v>
      </c>
      <c r="I278">
        <v>15</v>
      </c>
      <c r="J278" t="s">
        <v>1482</v>
      </c>
    </row>
    <row r="279" spans="1:10" x14ac:dyDescent="0.45">
      <c r="A279" t="s">
        <v>1483</v>
      </c>
      <c r="B279" s="2">
        <v>45199</v>
      </c>
      <c r="C279" t="s">
        <v>1484</v>
      </c>
      <c r="D279" t="s">
        <v>667</v>
      </c>
      <c r="E279" t="s">
        <v>668</v>
      </c>
      <c r="F279">
        <v>69</v>
      </c>
      <c r="G279">
        <v>15953</v>
      </c>
      <c r="H279">
        <v>1100757</v>
      </c>
      <c r="I279">
        <v>5</v>
      </c>
      <c r="J279" t="s">
        <v>1485</v>
      </c>
    </row>
    <row r="280" spans="1:10" x14ac:dyDescent="0.45">
      <c r="A280" t="s">
        <v>1486</v>
      </c>
      <c r="B280" s="2">
        <v>45271</v>
      </c>
      <c r="C280" t="s">
        <v>1487</v>
      </c>
      <c r="D280" t="s">
        <v>658</v>
      </c>
      <c r="E280" t="s">
        <v>659</v>
      </c>
      <c r="F280">
        <v>75</v>
      </c>
      <c r="G280">
        <v>11492</v>
      </c>
      <c r="H280">
        <v>861900</v>
      </c>
      <c r="I280">
        <v>5</v>
      </c>
      <c r="J280" t="s">
        <v>1488</v>
      </c>
    </row>
    <row r="281" spans="1:10" x14ac:dyDescent="0.45">
      <c r="A281" t="s">
        <v>1489</v>
      </c>
      <c r="B281" s="2">
        <v>44810</v>
      </c>
      <c r="C281" t="s">
        <v>1490</v>
      </c>
      <c r="D281" t="s">
        <v>658</v>
      </c>
      <c r="E281" t="s">
        <v>663</v>
      </c>
      <c r="F281">
        <v>37</v>
      </c>
      <c r="G281">
        <v>13910</v>
      </c>
      <c r="H281">
        <v>514670</v>
      </c>
      <c r="I281">
        <v>0</v>
      </c>
      <c r="J281" t="s">
        <v>1491</v>
      </c>
    </row>
    <row r="282" spans="1:10" x14ac:dyDescent="0.45">
      <c r="A282" t="s">
        <v>1492</v>
      </c>
      <c r="B282" s="2">
        <v>45031</v>
      </c>
      <c r="C282" t="s">
        <v>1493</v>
      </c>
      <c r="D282" t="s">
        <v>658</v>
      </c>
      <c r="E282" t="s">
        <v>654</v>
      </c>
      <c r="F282">
        <v>93</v>
      </c>
      <c r="G282">
        <v>10247</v>
      </c>
      <c r="H282">
        <v>952971</v>
      </c>
      <c r="I282">
        <v>10</v>
      </c>
      <c r="J282" t="s">
        <v>1494</v>
      </c>
    </row>
    <row r="283" spans="1:10" x14ac:dyDescent="0.45">
      <c r="A283" t="s">
        <v>1495</v>
      </c>
      <c r="B283" s="2">
        <v>44988</v>
      </c>
      <c r="C283" t="s">
        <v>1496</v>
      </c>
      <c r="D283" t="s">
        <v>675</v>
      </c>
      <c r="E283" t="s">
        <v>654</v>
      </c>
      <c r="F283">
        <v>62</v>
      </c>
      <c r="G283">
        <v>24485</v>
      </c>
      <c r="H283">
        <v>1518070</v>
      </c>
      <c r="I283">
        <v>5</v>
      </c>
      <c r="J283" t="s">
        <v>1497</v>
      </c>
    </row>
    <row r="284" spans="1:10" x14ac:dyDescent="0.45">
      <c r="A284" t="s">
        <v>1498</v>
      </c>
      <c r="B284" s="2">
        <v>44863</v>
      </c>
      <c r="C284" t="s">
        <v>1499</v>
      </c>
      <c r="D284" t="s">
        <v>653</v>
      </c>
      <c r="E284" t="s">
        <v>668</v>
      </c>
      <c r="F284">
        <v>54</v>
      </c>
      <c r="G284">
        <v>24357</v>
      </c>
      <c r="H284">
        <v>1315278</v>
      </c>
      <c r="I284">
        <v>0</v>
      </c>
      <c r="J284" t="s">
        <v>1500</v>
      </c>
    </row>
    <row r="285" spans="1:10" x14ac:dyDescent="0.45">
      <c r="A285" t="s">
        <v>1501</v>
      </c>
      <c r="B285" s="2">
        <v>45264</v>
      </c>
      <c r="C285" t="s">
        <v>1502</v>
      </c>
      <c r="D285" t="s">
        <v>658</v>
      </c>
      <c r="E285" t="s">
        <v>668</v>
      </c>
      <c r="F285">
        <v>30</v>
      </c>
      <c r="G285">
        <v>44654</v>
      </c>
      <c r="H285">
        <v>1339620</v>
      </c>
      <c r="I285">
        <v>15</v>
      </c>
      <c r="J285" t="s">
        <v>1503</v>
      </c>
    </row>
    <row r="286" spans="1:10" x14ac:dyDescent="0.45">
      <c r="A286" t="s">
        <v>1504</v>
      </c>
      <c r="B286" s="2">
        <v>44915</v>
      </c>
      <c r="C286" t="s">
        <v>1505</v>
      </c>
      <c r="D286" t="s">
        <v>658</v>
      </c>
      <c r="E286" t="s">
        <v>654</v>
      </c>
      <c r="F286">
        <v>79</v>
      </c>
      <c r="G286">
        <v>21701</v>
      </c>
      <c r="H286">
        <v>1714379</v>
      </c>
      <c r="I286">
        <v>0</v>
      </c>
      <c r="J286" t="s">
        <v>1506</v>
      </c>
    </row>
    <row r="287" spans="1:10" x14ac:dyDescent="0.45">
      <c r="A287" t="s">
        <v>1507</v>
      </c>
      <c r="B287" s="2">
        <v>44759</v>
      </c>
      <c r="C287" t="s">
        <v>1508</v>
      </c>
      <c r="D287" t="s">
        <v>653</v>
      </c>
      <c r="E287" t="s">
        <v>654</v>
      </c>
      <c r="F287">
        <v>32</v>
      </c>
      <c r="G287">
        <v>39324</v>
      </c>
      <c r="H287">
        <v>1258368</v>
      </c>
      <c r="I287">
        <v>5</v>
      </c>
      <c r="J287" t="s">
        <v>1509</v>
      </c>
    </row>
    <row r="288" spans="1:10" x14ac:dyDescent="0.45">
      <c r="A288" t="s">
        <v>1510</v>
      </c>
      <c r="B288" s="2">
        <v>45462</v>
      </c>
      <c r="C288" t="s">
        <v>1511</v>
      </c>
      <c r="D288" t="s">
        <v>653</v>
      </c>
      <c r="E288" t="s">
        <v>654</v>
      </c>
      <c r="F288">
        <v>85</v>
      </c>
      <c r="G288">
        <v>38829</v>
      </c>
      <c r="H288">
        <v>3300465</v>
      </c>
      <c r="I288">
        <v>10</v>
      </c>
      <c r="J288" t="s">
        <v>1512</v>
      </c>
    </row>
    <row r="289" spans="1:10" x14ac:dyDescent="0.45">
      <c r="A289" t="s">
        <v>1513</v>
      </c>
      <c r="B289" s="2">
        <v>45559</v>
      </c>
      <c r="C289" t="s">
        <v>1514</v>
      </c>
      <c r="D289" t="s">
        <v>653</v>
      </c>
      <c r="E289" t="s">
        <v>654</v>
      </c>
      <c r="F289">
        <v>31</v>
      </c>
      <c r="G289">
        <v>18830</v>
      </c>
      <c r="H289">
        <v>583730</v>
      </c>
      <c r="I289">
        <v>0</v>
      </c>
      <c r="J289" t="s">
        <v>1515</v>
      </c>
    </row>
    <row r="290" spans="1:10" x14ac:dyDescent="0.45">
      <c r="A290" t="s">
        <v>1516</v>
      </c>
      <c r="B290" s="2">
        <v>45406</v>
      </c>
      <c r="C290" t="s">
        <v>1517</v>
      </c>
      <c r="D290" t="s">
        <v>667</v>
      </c>
      <c r="E290" t="s">
        <v>654</v>
      </c>
      <c r="F290">
        <v>67</v>
      </c>
      <c r="G290">
        <v>16716</v>
      </c>
      <c r="H290">
        <v>1119972</v>
      </c>
      <c r="I290">
        <v>0</v>
      </c>
      <c r="J290" t="s">
        <v>1518</v>
      </c>
    </row>
    <row r="291" spans="1:10" x14ac:dyDescent="0.45">
      <c r="A291" t="s">
        <v>1519</v>
      </c>
      <c r="B291" s="2">
        <v>45251</v>
      </c>
      <c r="C291" t="s">
        <v>1520</v>
      </c>
      <c r="D291" t="s">
        <v>675</v>
      </c>
      <c r="E291" t="s">
        <v>663</v>
      </c>
      <c r="F291">
        <v>9</v>
      </c>
      <c r="G291">
        <v>24925</v>
      </c>
      <c r="H291">
        <v>224325</v>
      </c>
      <c r="I291">
        <v>15</v>
      </c>
      <c r="J291" t="s">
        <v>1521</v>
      </c>
    </row>
    <row r="292" spans="1:10" x14ac:dyDescent="0.45">
      <c r="A292" t="s">
        <v>1522</v>
      </c>
      <c r="B292" s="2">
        <v>45668</v>
      </c>
      <c r="C292" t="s">
        <v>799</v>
      </c>
      <c r="D292" t="s">
        <v>675</v>
      </c>
      <c r="E292" t="s">
        <v>659</v>
      </c>
      <c r="F292">
        <v>45</v>
      </c>
      <c r="G292">
        <v>33052</v>
      </c>
      <c r="H292">
        <v>1487340</v>
      </c>
      <c r="I292">
        <v>5</v>
      </c>
      <c r="J292" t="s">
        <v>1523</v>
      </c>
    </row>
    <row r="293" spans="1:10" x14ac:dyDescent="0.45">
      <c r="A293" t="s">
        <v>1524</v>
      </c>
      <c r="B293" s="2">
        <v>45010</v>
      </c>
      <c r="C293" t="s">
        <v>1525</v>
      </c>
      <c r="D293" t="s">
        <v>658</v>
      </c>
      <c r="E293" t="s">
        <v>659</v>
      </c>
      <c r="F293">
        <v>35</v>
      </c>
      <c r="G293">
        <v>27856</v>
      </c>
      <c r="H293">
        <v>974960</v>
      </c>
      <c r="I293">
        <v>10</v>
      </c>
      <c r="J293" t="s">
        <v>1526</v>
      </c>
    </row>
    <row r="294" spans="1:10" x14ac:dyDescent="0.45">
      <c r="A294" t="s">
        <v>1527</v>
      </c>
      <c r="B294" s="2">
        <v>44965</v>
      </c>
      <c r="C294" t="s">
        <v>1528</v>
      </c>
      <c r="D294" t="s">
        <v>667</v>
      </c>
      <c r="E294" t="s">
        <v>702</v>
      </c>
      <c r="F294">
        <v>79</v>
      </c>
      <c r="G294">
        <v>13149</v>
      </c>
      <c r="H294">
        <v>1038771</v>
      </c>
      <c r="I294">
        <v>10</v>
      </c>
      <c r="J294" t="s">
        <v>1529</v>
      </c>
    </row>
    <row r="295" spans="1:10" x14ac:dyDescent="0.45">
      <c r="A295" t="s">
        <v>1530</v>
      </c>
      <c r="B295" s="2">
        <v>45071</v>
      </c>
      <c r="C295" t="s">
        <v>1531</v>
      </c>
      <c r="D295" t="s">
        <v>667</v>
      </c>
      <c r="E295" t="s">
        <v>702</v>
      </c>
      <c r="F295">
        <v>76</v>
      </c>
      <c r="G295">
        <v>45929</v>
      </c>
      <c r="H295">
        <v>3490604</v>
      </c>
      <c r="I295">
        <v>15</v>
      </c>
      <c r="J295" t="s">
        <v>1532</v>
      </c>
    </row>
    <row r="296" spans="1:10" x14ac:dyDescent="0.45">
      <c r="A296" t="s">
        <v>1533</v>
      </c>
      <c r="B296" s="2">
        <v>44846</v>
      </c>
      <c r="C296" t="s">
        <v>1534</v>
      </c>
      <c r="D296" t="s">
        <v>675</v>
      </c>
      <c r="E296" t="s">
        <v>663</v>
      </c>
      <c r="F296">
        <v>3</v>
      </c>
      <c r="G296">
        <v>34354</v>
      </c>
      <c r="H296">
        <v>103062</v>
      </c>
      <c r="I296">
        <v>0</v>
      </c>
      <c r="J296" t="s">
        <v>1535</v>
      </c>
    </row>
    <row r="297" spans="1:10" x14ac:dyDescent="0.45">
      <c r="A297" t="s">
        <v>1536</v>
      </c>
      <c r="B297" s="2">
        <v>44848</v>
      </c>
      <c r="C297" t="s">
        <v>1537</v>
      </c>
      <c r="D297" t="s">
        <v>675</v>
      </c>
      <c r="E297" t="s">
        <v>654</v>
      </c>
      <c r="F297">
        <v>33</v>
      </c>
      <c r="G297">
        <v>34911</v>
      </c>
      <c r="H297">
        <v>1152063</v>
      </c>
      <c r="I297">
        <v>5</v>
      </c>
      <c r="J297" t="s">
        <v>1538</v>
      </c>
    </row>
    <row r="298" spans="1:10" x14ac:dyDescent="0.45">
      <c r="A298" t="s">
        <v>1539</v>
      </c>
      <c r="B298" s="2">
        <v>45060</v>
      </c>
      <c r="C298" t="s">
        <v>1540</v>
      </c>
      <c r="D298" t="s">
        <v>667</v>
      </c>
      <c r="E298" t="s">
        <v>663</v>
      </c>
      <c r="F298">
        <v>35</v>
      </c>
      <c r="G298">
        <v>574</v>
      </c>
      <c r="H298">
        <v>20090</v>
      </c>
      <c r="I298">
        <v>10</v>
      </c>
      <c r="J298" t="s">
        <v>1541</v>
      </c>
    </row>
    <row r="299" spans="1:10" x14ac:dyDescent="0.45">
      <c r="A299" t="s">
        <v>1542</v>
      </c>
      <c r="B299" s="2">
        <v>44937</v>
      </c>
      <c r="C299" t="s">
        <v>1543</v>
      </c>
      <c r="D299" t="s">
        <v>653</v>
      </c>
      <c r="E299" t="s">
        <v>659</v>
      </c>
      <c r="F299">
        <v>83</v>
      </c>
      <c r="G299">
        <v>18051</v>
      </c>
      <c r="H299">
        <v>1498233</v>
      </c>
      <c r="I299">
        <v>15</v>
      </c>
      <c r="J299" t="s">
        <v>1544</v>
      </c>
    </row>
    <row r="300" spans="1:10" x14ac:dyDescent="0.45">
      <c r="A300" t="s">
        <v>1545</v>
      </c>
      <c r="B300" s="2">
        <v>44848</v>
      </c>
      <c r="C300" t="s">
        <v>1331</v>
      </c>
      <c r="D300" t="s">
        <v>667</v>
      </c>
      <c r="E300" t="s">
        <v>659</v>
      </c>
      <c r="F300">
        <v>19</v>
      </c>
      <c r="G300">
        <v>28473</v>
      </c>
      <c r="H300">
        <v>540987</v>
      </c>
      <c r="I300">
        <v>5</v>
      </c>
      <c r="J300" t="s">
        <v>1546</v>
      </c>
    </row>
    <row r="301" spans="1:10" x14ac:dyDescent="0.45">
      <c r="A301" t="s">
        <v>1547</v>
      </c>
      <c r="B301" s="2">
        <v>45358</v>
      </c>
      <c r="C301" t="s">
        <v>1548</v>
      </c>
      <c r="D301" t="s">
        <v>653</v>
      </c>
      <c r="E301" t="s">
        <v>702</v>
      </c>
      <c r="F301">
        <v>95</v>
      </c>
      <c r="G301">
        <v>19963</v>
      </c>
      <c r="H301">
        <v>1896485</v>
      </c>
      <c r="I301">
        <v>0</v>
      </c>
      <c r="J301" t="s">
        <v>1549</v>
      </c>
    </row>
  </sheetData>
  <conditionalFormatting sqref="I1:I301">
    <cfRule type="cellIs" dxfId="0" priority="1" operator="greaterThan">
      <formula>10</formula>
    </cfRule>
  </conditionalFormatting>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3C7AC-C106-49DB-A5E6-D7F8EC5569CC}">
  <dimension ref="B3:O135"/>
  <sheetViews>
    <sheetView tabSelected="1" topLeftCell="A74" zoomScale="66" workbookViewId="0">
      <selection activeCell="N29" sqref="N29"/>
    </sheetView>
  </sheetViews>
  <sheetFormatPr defaultRowHeight="14.25" x14ac:dyDescent="0.45"/>
  <cols>
    <col min="1" max="1" width="12.06640625" bestFit="1" customWidth="1"/>
    <col min="2" max="2" width="7.796875" customWidth="1"/>
    <col min="3" max="3" width="12.06640625" bestFit="1" customWidth="1"/>
    <col min="4" max="4" width="18.796875" bestFit="1" customWidth="1"/>
    <col min="5" max="5" width="15.6640625" bestFit="1" customWidth="1"/>
    <col min="11" max="11" width="16.59765625" bestFit="1" customWidth="1"/>
    <col min="15" max="15" width="70.9296875" bestFit="1" customWidth="1"/>
  </cols>
  <sheetData>
    <row r="3" spans="2:15" x14ac:dyDescent="0.45">
      <c r="B3" t="s">
        <v>1551</v>
      </c>
    </row>
    <row r="5" spans="2:15" x14ac:dyDescent="0.45">
      <c r="C5" s="26" t="s">
        <v>1593</v>
      </c>
      <c r="D5" t="s">
        <v>1595</v>
      </c>
      <c r="O5" s="1" t="s">
        <v>1550</v>
      </c>
    </row>
    <row r="6" spans="2:15" x14ac:dyDescent="0.45">
      <c r="C6" s="27" t="s">
        <v>675</v>
      </c>
      <c r="D6" s="29">
        <v>113105558</v>
      </c>
    </row>
    <row r="7" spans="2:15" x14ac:dyDescent="0.45">
      <c r="C7" s="28" t="s">
        <v>654</v>
      </c>
      <c r="D7" s="29">
        <v>26986611</v>
      </c>
    </row>
    <row r="8" spans="2:15" x14ac:dyDescent="0.45">
      <c r="C8" s="28" t="s">
        <v>659</v>
      </c>
      <c r="D8" s="29">
        <v>18562860</v>
      </c>
    </row>
    <row r="9" spans="2:15" x14ac:dyDescent="0.45">
      <c r="C9" s="28" t="s">
        <v>663</v>
      </c>
      <c r="D9" s="29">
        <v>14755733</v>
      </c>
    </row>
    <row r="10" spans="2:15" x14ac:dyDescent="0.45">
      <c r="C10" s="28" t="s">
        <v>668</v>
      </c>
      <c r="D10" s="29">
        <v>11575478</v>
      </c>
    </row>
    <row r="11" spans="2:15" x14ac:dyDescent="0.45">
      <c r="C11" s="28" t="s">
        <v>702</v>
      </c>
      <c r="D11" s="29">
        <v>41224876</v>
      </c>
    </row>
    <row r="12" spans="2:15" x14ac:dyDescent="0.45">
      <c r="C12" s="27" t="s">
        <v>658</v>
      </c>
      <c r="D12" s="29">
        <v>88400642</v>
      </c>
    </row>
    <row r="13" spans="2:15" x14ac:dyDescent="0.45">
      <c r="C13" s="28" t="s">
        <v>654</v>
      </c>
      <c r="D13" s="29">
        <v>25079369</v>
      </c>
    </row>
    <row r="14" spans="2:15" x14ac:dyDescent="0.45">
      <c r="C14" s="28" t="s">
        <v>659</v>
      </c>
      <c r="D14" s="29">
        <v>17422708</v>
      </c>
    </row>
    <row r="15" spans="2:15" x14ac:dyDescent="0.45">
      <c r="C15" s="28" t="s">
        <v>663</v>
      </c>
      <c r="D15" s="29">
        <v>20060387</v>
      </c>
    </row>
    <row r="16" spans="2:15" x14ac:dyDescent="0.45">
      <c r="C16" s="28" t="s">
        <v>668</v>
      </c>
      <c r="D16" s="29">
        <v>11178460</v>
      </c>
    </row>
    <row r="17" spans="3:4" x14ac:dyDescent="0.45">
      <c r="C17" s="28" t="s">
        <v>702</v>
      </c>
      <c r="D17" s="29">
        <v>14659718</v>
      </c>
    </row>
    <row r="18" spans="3:4" x14ac:dyDescent="0.45">
      <c r="C18" s="27" t="s">
        <v>653</v>
      </c>
      <c r="D18" s="29">
        <v>129341012</v>
      </c>
    </row>
    <row r="19" spans="3:4" x14ac:dyDescent="0.45">
      <c r="C19" s="28" t="s">
        <v>654</v>
      </c>
      <c r="D19" s="29">
        <v>18242448</v>
      </c>
    </row>
    <row r="20" spans="3:4" x14ac:dyDescent="0.45">
      <c r="C20" s="28" t="s">
        <v>659</v>
      </c>
      <c r="D20" s="29">
        <v>28696567</v>
      </c>
    </row>
    <row r="21" spans="3:4" x14ac:dyDescent="0.45">
      <c r="C21" s="28" t="s">
        <v>663</v>
      </c>
      <c r="D21" s="29">
        <v>29038611</v>
      </c>
    </row>
    <row r="22" spans="3:4" x14ac:dyDescent="0.45">
      <c r="C22" s="28" t="s">
        <v>668</v>
      </c>
      <c r="D22" s="29">
        <v>28280576</v>
      </c>
    </row>
    <row r="23" spans="3:4" x14ac:dyDescent="0.45">
      <c r="C23" s="28" t="s">
        <v>702</v>
      </c>
      <c r="D23" s="29">
        <v>25082810</v>
      </c>
    </row>
    <row r="24" spans="3:4" x14ac:dyDescent="0.45">
      <c r="C24" s="27" t="s">
        <v>667</v>
      </c>
      <c r="D24" s="29">
        <v>91381308</v>
      </c>
    </row>
    <row r="25" spans="3:4" x14ac:dyDescent="0.45">
      <c r="C25" s="28" t="s">
        <v>654</v>
      </c>
      <c r="D25" s="29">
        <v>11770743</v>
      </c>
    </row>
    <row r="26" spans="3:4" x14ac:dyDescent="0.45">
      <c r="C26" s="28" t="s">
        <v>659</v>
      </c>
      <c r="D26" s="29">
        <v>12879767</v>
      </c>
    </row>
    <row r="27" spans="3:4" x14ac:dyDescent="0.45">
      <c r="C27" s="28" t="s">
        <v>663</v>
      </c>
      <c r="D27" s="29">
        <v>25541964</v>
      </c>
    </row>
    <row r="28" spans="3:4" x14ac:dyDescent="0.45">
      <c r="C28" s="28" t="s">
        <v>668</v>
      </c>
      <c r="D28" s="29">
        <v>14423427</v>
      </c>
    </row>
    <row r="29" spans="3:4" x14ac:dyDescent="0.45">
      <c r="C29" s="28" t="s">
        <v>702</v>
      </c>
      <c r="D29" s="29">
        <v>26765407</v>
      </c>
    </row>
    <row r="30" spans="3:4" x14ac:dyDescent="0.45">
      <c r="C30" s="27" t="s">
        <v>1594</v>
      </c>
      <c r="D30" s="29">
        <v>422228520</v>
      </c>
    </row>
    <row r="33" spans="2:4" x14ac:dyDescent="0.45">
      <c r="B33" t="s">
        <v>1552</v>
      </c>
    </row>
    <row r="36" spans="2:4" x14ac:dyDescent="0.45">
      <c r="C36" s="26" t="s">
        <v>1593</v>
      </c>
      <c r="D36" t="s">
        <v>1596</v>
      </c>
    </row>
    <row r="37" spans="2:4" x14ac:dyDescent="0.45">
      <c r="C37" s="27" t="s">
        <v>654</v>
      </c>
      <c r="D37" s="29">
        <v>3092</v>
      </c>
    </row>
    <row r="38" spans="2:4" x14ac:dyDescent="0.45">
      <c r="C38" s="27" t="s">
        <v>659</v>
      </c>
      <c r="D38" s="29">
        <v>2730</v>
      </c>
    </row>
    <row r="39" spans="2:4" x14ac:dyDescent="0.45">
      <c r="C39" s="27" t="s">
        <v>663</v>
      </c>
      <c r="D39" s="29">
        <v>3397</v>
      </c>
    </row>
    <row r="40" spans="2:4" x14ac:dyDescent="0.45">
      <c r="C40" s="27" t="s">
        <v>668</v>
      </c>
      <c r="D40" s="29">
        <v>2424</v>
      </c>
    </row>
    <row r="41" spans="2:4" x14ac:dyDescent="0.45">
      <c r="C41" s="27" t="s">
        <v>702</v>
      </c>
      <c r="D41" s="29">
        <v>4158</v>
      </c>
    </row>
    <row r="42" spans="2:4" x14ac:dyDescent="0.45">
      <c r="C42" s="27" t="s">
        <v>1594</v>
      </c>
      <c r="D42" s="29">
        <v>15801</v>
      </c>
    </row>
    <row r="46" spans="2:4" x14ac:dyDescent="0.45">
      <c r="B46" t="s">
        <v>1553</v>
      </c>
    </row>
    <row r="48" spans="2:4" x14ac:dyDescent="0.45">
      <c r="C48" s="26" t="s">
        <v>1593</v>
      </c>
      <c r="D48" t="s">
        <v>1595</v>
      </c>
    </row>
    <row r="49" spans="2:4" x14ac:dyDescent="0.45">
      <c r="C49" s="27" t="s">
        <v>963</v>
      </c>
      <c r="D49" s="29">
        <v>4632672</v>
      </c>
    </row>
    <row r="50" spans="2:4" x14ac:dyDescent="0.45">
      <c r="C50" s="27" t="s">
        <v>810</v>
      </c>
      <c r="D50" s="29">
        <v>4582086</v>
      </c>
    </row>
    <row r="51" spans="2:4" x14ac:dyDescent="0.45">
      <c r="C51" s="27" t="s">
        <v>1395</v>
      </c>
      <c r="D51" s="29">
        <v>4386228</v>
      </c>
    </row>
    <row r="52" spans="2:4" x14ac:dyDescent="0.45">
      <c r="C52" s="27" t="s">
        <v>1272</v>
      </c>
      <c r="D52" s="29">
        <v>4316762</v>
      </c>
    </row>
    <row r="53" spans="2:4" x14ac:dyDescent="0.45">
      <c r="C53" s="27" t="s">
        <v>1331</v>
      </c>
      <c r="D53" s="29">
        <v>4298993</v>
      </c>
    </row>
    <row r="54" spans="2:4" x14ac:dyDescent="0.45">
      <c r="C54" s="27" t="s">
        <v>1594</v>
      </c>
      <c r="D54" s="29">
        <v>22216741</v>
      </c>
    </row>
    <row r="57" spans="2:4" x14ac:dyDescent="0.45">
      <c r="B57" t="s">
        <v>1554</v>
      </c>
    </row>
    <row r="59" spans="2:4" x14ac:dyDescent="0.45">
      <c r="C59" s="26" t="s">
        <v>1593</v>
      </c>
      <c r="D59" t="s">
        <v>1595</v>
      </c>
    </row>
    <row r="60" spans="2:4" x14ac:dyDescent="0.45">
      <c r="C60" s="27" t="s">
        <v>1601</v>
      </c>
      <c r="D60" s="29">
        <v>36260726</v>
      </c>
    </row>
    <row r="61" spans="2:4" x14ac:dyDescent="0.45">
      <c r="C61" s="27" t="s">
        <v>1602</v>
      </c>
      <c r="D61" s="29">
        <v>23872488</v>
      </c>
    </row>
    <row r="62" spans="2:4" x14ac:dyDescent="0.45">
      <c r="C62" s="27" t="s">
        <v>1603</v>
      </c>
      <c r="D62" s="29">
        <v>54083161</v>
      </c>
    </row>
    <row r="63" spans="2:4" x14ac:dyDescent="0.45">
      <c r="C63" s="27" t="s">
        <v>1604</v>
      </c>
      <c r="D63" s="29">
        <v>39273913</v>
      </c>
    </row>
    <row r="64" spans="2:4" x14ac:dyDescent="0.45">
      <c r="C64" s="27" t="s">
        <v>1605</v>
      </c>
      <c r="D64" s="29">
        <v>29908440</v>
      </c>
    </row>
    <row r="65" spans="2:4" x14ac:dyDescent="0.45">
      <c r="C65" s="27" t="s">
        <v>1606</v>
      </c>
      <c r="D65" s="29">
        <v>31012883</v>
      </c>
    </row>
    <row r="66" spans="2:4" x14ac:dyDescent="0.45">
      <c r="C66" s="27" t="s">
        <v>1607</v>
      </c>
      <c r="D66" s="29">
        <v>23407463</v>
      </c>
    </row>
    <row r="67" spans="2:4" x14ac:dyDescent="0.45">
      <c r="C67" s="27" t="s">
        <v>1608</v>
      </c>
      <c r="D67" s="29">
        <v>24969830</v>
      </c>
    </row>
    <row r="68" spans="2:4" x14ac:dyDescent="0.45">
      <c r="C68" s="27" t="s">
        <v>1609</v>
      </c>
      <c r="D68" s="29">
        <v>43650848</v>
      </c>
    </row>
    <row r="69" spans="2:4" x14ac:dyDescent="0.45">
      <c r="C69" s="27" t="s">
        <v>1610</v>
      </c>
      <c r="D69" s="29">
        <v>41034839</v>
      </c>
    </row>
    <row r="70" spans="2:4" x14ac:dyDescent="0.45">
      <c r="C70" s="27" t="s">
        <v>1611</v>
      </c>
      <c r="D70" s="29">
        <v>32965458</v>
      </c>
    </row>
    <row r="71" spans="2:4" x14ac:dyDescent="0.45">
      <c r="C71" s="27" t="s">
        <v>1612</v>
      </c>
      <c r="D71" s="29">
        <v>41788471</v>
      </c>
    </row>
    <row r="72" spans="2:4" x14ac:dyDescent="0.45">
      <c r="C72" s="27" t="s">
        <v>1594</v>
      </c>
      <c r="D72" s="29">
        <v>422228520</v>
      </c>
    </row>
    <row r="76" spans="2:4" x14ac:dyDescent="0.45">
      <c r="B76" t="s">
        <v>1555</v>
      </c>
    </row>
    <row r="88" spans="2:3" x14ac:dyDescent="0.45">
      <c r="B88" t="s">
        <v>1556</v>
      </c>
    </row>
    <row r="90" spans="2:3" x14ac:dyDescent="0.45">
      <c r="C90" t="s">
        <v>1613</v>
      </c>
    </row>
    <row r="101" spans="2:4" x14ac:dyDescent="0.45">
      <c r="B101" t="s">
        <v>1557</v>
      </c>
    </row>
    <row r="103" spans="2:4" x14ac:dyDescent="0.45">
      <c r="C103" s="26" t="s">
        <v>1593</v>
      </c>
      <c r="D103" t="s">
        <v>1595</v>
      </c>
    </row>
    <row r="104" spans="2:4" x14ac:dyDescent="0.45">
      <c r="C104" s="27" t="s">
        <v>1597</v>
      </c>
      <c r="D104" s="29">
        <v>114216375</v>
      </c>
    </row>
    <row r="105" spans="2:4" x14ac:dyDescent="0.45">
      <c r="C105" s="28" t="s">
        <v>1601</v>
      </c>
      <c r="D105" s="29">
        <v>36260726</v>
      </c>
    </row>
    <row r="106" spans="2:4" x14ac:dyDescent="0.45">
      <c r="C106" s="28" t="s">
        <v>1602</v>
      </c>
      <c r="D106" s="29">
        <v>23872488</v>
      </c>
    </row>
    <row r="107" spans="2:4" x14ac:dyDescent="0.45">
      <c r="C107" s="28" t="s">
        <v>1603</v>
      </c>
      <c r="D107" s="29">
        <v>54083161</v>
      </c>
    </row>
    <row r="108" spans="2:4" x14ac:dyDescent="0.45">
      <c r="C108" s="27" t="s">
        <v>1598</v>
      </c>
      <c r="D108" s="29">
        <v>100195236</v>
      </c>
    </row>
    <row r="109" spans="2:4" x14ac:dyDescent="0.45">
      <c r="C109" s="27" t="s">
        <v>1599</v>
      </c>
      <c r="D109" s="29">
        <v>92028141</v>
      </c>
    </row>
    <row r="110" spans="2:4" x14ac:dyDescent="0.45">
      <c r="C110" s="27" t="s">
        <v>1600</v>
      </c>
      <c r="D110" s="29">
        <v>115788768</v>
      </c>
    </row>
    <row r="111" spans="2:4" x14ac:dyDescent="0.45">
      <c r="C111" s="27" t="s">
        <v>1594</v>
      </c>
      <c r="D111" s="29">
        <v>422228520</v>
      </c>
    </row>
    <row r="114" spans="2:4" x14ac:dyDescent="0.45">
      <c r="B114" t="s">
        <v>1558</v>
      </c>
    </row>
    <row r="116" spans="2:4" x14ac:dyDescent="0.45">
      <c r="C116" s="26" t="s">
        <v>1593</v>
      </c>
      <c r="D116" t="s">
        <v>1595</v>
      </c>
    </row>
    <row r="117" spans="2:4" x14ac:dyDescent="0.45">
      <c r="C117" s="27" t="s">
        <v>675</v>
      </c>
      <c r="D117" s="29">
        <v>113105558</v>
      </c>
    </row>
    <row r="118" spans="2:4" x14ac:dyDescent="0.45">
      <c r="C118" s="27" t="s">
        <v>658</v>
      </c>
      <c r="D118" s="29">
        <v>88400642</v>
      </c>
    </row>
    <row r="119" spans="2:4" x14ac:dyDescent="0.45">
      <c r="C119" s="27" t="s">
        <v>653</v>
      </c>
      <c r="D119" s="29">
        <v>129341012</v>
      </c>
    </row>
    <row r="120" spans="2:4" x14ac:dyDescent="0.45">
      <c r="C120" s="27" t="s">
        <v>667</v>
      </c>
      <c r="D120" s="29">
        <v>91381308</v>
      </c>
    </row>
    <row r="121" spans="2:4" x14ac:dyDescent="0.45">
      <c r="C121" s="27" t="s">
        <v>1594</v>
      </c>
      <c r="D121" s="29">
        <v>422228520</v>
      </c>
    </row>
    <row r="125" spans="2:4" x14ac:dyDescent="0.45">
      <c r="B125" t="s">
        <v>1559</v>
      </c>
    </row>
    <row r="127" spans="2:4" x14ac:dyDescent="0.45">
      <c r="C127" s="26" t="s">
        <v>1593</v>
      </c>
      <c r="D127" t="s">
        <v>1614</v>
      </c>
    </row>
    <row r="128" spans="2:4" x14ac:dyDescent="0.45">
      <c r="C128" s="27" t="s">
        <v>964</v>
      </c>
      <c r="D128" s="29">
        <v>4632672</v>
      </c>
    </row>
    <row r="129" spans="2:11" x14ac:dyDescent="0.45">
      <c r="C129" s="27" t="s">
        <v>1594</v>
      </c>
      <c r="D129" s="29">
        <v>4632672</v>
      </c>
    </row>
    <row r="132" spans="2:11" x14ac:dyDescent="0.45">
      <c r="B132" t="s">
        <v>1560</v>
      </c>
    </row>
    <row r="135" spans="2:11" x14ac:dyDescent="0.45">
      <c r="K135" s="30">
        <f>SUM('Practical Q2 - Dataset'!H2:H301)</f>
        <v>422228520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election activeCell="E21" sqref="E21"/>
    </sheetView>
  </sheetViews>
  <sheetFormatPr defaultRowHeight="14.25" x14ac:dyDescent="0.45"/>
  <cols>
    <col min="1" max="1" width="70.9296875" bestFit="1" customWidth="1"/>
  </cols>
  <sheetData>
    <row r="1" spans="1:1" x14ac:dyDescent="0.45">
      <c r="A1" s="1" t="s">
        <v>1550</v>
      </c>
    </row>
    <row r="2" spans="1:1" x14ac:dyDescent="0.45">
      <c r="A2" t="s">
        <v>1551</v>
      </c>
    </row>
    <row r="3" spans="1:1" x14ac:dyDescent="0.45">
      <c r="A3" t="s">
        <v>1552</v>
      </c>
    </row>
    <row r="4" spans="1:1" x14ac:dyDescent="0.45">
      <c r="A4" t="s">
        <v>1553</v>
      </c>
    </row>
    <row r="5" spans="1:1" x14ac:dyDescent="0.45">
      <c r="A5" t="s">
        <v>1554</v>
      </c>
    </row>
    <row r="6" spans="1:1" x14ac:dyDescent="0.45">
      <c r="A6" t="s">
        <v>1555</v>
      </c>
    </row>
    <row r="7" spans="1:1" x14ac:dyDescent="0.45">
      <c r="A7" t="s">
        <v>1556</v>
      </c>
    </row>
    <row r="8" spans="1:1" x14ac:dyDescent="0.45">
      <c r="A8" t="s">
        <v>1557</v>
      </c>
    </row>
    <row r="9" spans="1:1" x14ac:dyDescent="0.45">
      <c r="A9" t="s">
        <v>1558</v>
      </c>
    </row>
    <row r="10" spans="1:1" x14ac:dyDescent="0.45">
      <c r="A10" t="s">
        <v>1559</v>
      </c>
    </row>
    <row r="11" spans="1:1" x14ac:dyDescent="0.45">
      <c r="A11" t="s">
        <v>1560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Conceptual Questions</vt:lpstr>
      <vt:lpstr>Practical Q1 - Dataset</vt:lpstr>
      <vt:lpstr>Practical Q1 - Formulas</vt:lpstr>
      <vt:lpstr>Practical Q2 - Dataset</vt:lpstr>
      <vt:lpstr>Sheet1</vt:lpstr>
      <vt:lpstr>Practical Q2 - EDA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Venkatesh Venky</cp:lastModifiedBy>
  <dcterms:created xsi:type="dcterms:W3CDTF">2025-06-19T13:35:58Z</dcterms:created>
  <dcterms:modified xsi:type="dcterms:W3CDTF">2026-02-18T05:17:18Z</dcterms:modified>
</cp:coreProperties>
</file>