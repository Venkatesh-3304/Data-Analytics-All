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\Practice_DataSets\"/>
    </mc:Choice>
  </mc:AlternateContent>
  <xr:revisionPtr revIDLastSave="0" documentId="13_ncr:1_{0613D969-14D1-492B-8CF2-D3ECE4F646E5}" xr6:coauthVersionLast="47" xr6:coauthVersionMax="47" xr10:uidLastSave="{00000000-0000-0000-0000-000000000000}"/>
  <bookViews>
    <workbookView xWindow="-98" yWindow="-98" windowWidth="21795" windowHeight="13695" firstSheet="1" activeTab="4" xr2:uid="{00000000-000D-0000-FFFF-FFFF00000000}"/>
  </bookViews>
  <sheets>
    <sheet name="Conceptual Questions" sheetId="1" r:id="rId1"/>
    <sheet name="Practical Q1 -Dataset" sheetId="2" r:id="rId2"/>
    <sheet name="Practical Q1 - Formulas" sheetId="3" r:id="rId3"/>
    <sheet name="Practical Q2 - Dataset" sheetId="4" r:id="rId4"/>
    <sheet name="Practical Q2 - ED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9" i="2" l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P44" i="2" a="1"/>
  <c r="P44" i="2" s="1"/>
  <c r="V37" i="2" a="1"/>
  <c r="V37" i="2" s="1"/>
  <c r="P33" i="2"/>
  <c r="P29" i="2"/>
  <c r="P25" i="2"/>
  <c r="P21" i="2"/>
  <c r="R17" i="2"/>
  <c r="P1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P1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<sst xmlns="http://schemas.openxmlformats.org/spreadsheetml/2006/main" count="3438" uniqueCount="981">
  <si>
    <t>Question No.</t>
  </si>
  <si>
    <t>Question</t>
  </si>
  <si>
    <t>How can Excel be integrated with Power Query to automate recurring data cleaning tasks in a retail environment?</t>
  </si>
  <si>
    <t>Explain how named formulas and Excel Tables can improve the scalability of financial templates.</t>
  </si>
  <si>
    <t>Item_Code</t>
  </si>
  <si>
    <t>Warehouse</t>
  </si>
  <si>
    <t>Product_Category</t>
  </si>
  <si>
    <t>Stock_Level</t>
  </si>
  <si>
    <t>Reorder_Threshold</t>
  </si>
  <si>
    <t>Unit_Cost</t>
  </si>
  <si>
    <t>Units_Sold_Last_Month</t>
  </si>
  <si>
    <t>Lead_Time_Days</t>
  </si>
  <si>
    <t>Supplier</t>
  </si>
  <si>
    <t>Last_Stocked_Date</t>
  </si>
  <si>
    <t>ITM10000</t>
  </si>
  <si>
    <t>WH-West</t>
  </si>
  <si>
    <t>Electronics</t>
  </si>
  <si>
    <t>Vendor_B</t>
  </si>
  <si>
    <t>ITM10001</t>
  </si>
  <si>
    <t>WH-North</t>
  </si>
  <si>
    <t>Furniture</t>
  </si>
  <si>
    <t>Vendor_C</t>
  </si>
  <si>
    <t>2024-03-11</t>
  </si>
  <si>
    <t>ITM10002</t>
  </si>
  <si>
    <t>WH-South</t>
  </si>
  <si>
    <t>Clothing</t>
  </si>
  <si>
    <t>Vendor_A</t>
  </si>
  <si>
    <t>ITM10003</t>
  </si>
  <si>
    <t>ITM10004</t>
  </si>
  <si>
    <t>WH-East</t>
  </si>
  <si>
    <t>ITM10005</t>
  </si>
  <si>
    <t>ITM10006</t>
  </si>
  <si>
    <t>Stationery</t>
  </si>
  <si>
    <t>ITM10007</t>
  </si>
  <si>
    <t>ITM10008</t>
  </si>
  <si>
    <t>ITM10009</t>
  </si>
  <si>
    <t>2024-05-04</t>
  </si>
  <si>
    <t>ITM10010</t>
  </si>
  <si>
    <t>ITM10011</t>
  </si>
  <si>
    <t>2024-12-19</t>
  </si>
  <si>
    <t>ITM10012</t>
  </si>
  <si>
    <t>ITM10013</t>
  </si>
  <si>
    <t>ITM10014</t>
  </si>
  <si>
    <t>ITM10015</t>
  </si>
  <si>
    <t>ITM10016</t>
  </si>
  <si>
    <t>ITM10017</t>
  </si>
  <si>
    <t>ITM10018</t>
  </si>
  <si>
    <t>ITM10019</t>
  </si>
  <si>
    <t>ITM10020</t>
  </si>
  <si>
    <t>ITM10021</t>
  </si>
  <si>
    <t>ITM10022</t>
  </si>
  <si>
    <t>ITM10023</t>
  </si>
  <si>
    <t>ITM10024</t>
  </si>
  <si>
    <t>2023-03-09</t>
  </si>
  <si>
    <t>ITM10025</t>
  </si>
  <si>
    <t>ITM10026</t>
  </si>
  <si>
    <t>ITM10027</t>
  </si>
  <si>
    <t>2024-04-25</t>
  </si>
  <si>
    <t>ITM10028</t>
  </si>
  <si>
    <t>2023-06-22</t>
  </si>
  <si>
    <t>ITM10029</t>
  </si>
  <si>
    <t>ITM10030</t>
  </si>
  <si>
    <t>ITM10031</t>
  </si>
  <si>
    <t>ITM10032</t>
  </si>
  <si>
    <t>ITM10033</t>
  </si>
  <si>
    <t>ITM10034</t>
  </si>
  <si>
    <t>ITM10035</t>
  </si>
  <si>
    <t>ITM10036</t>
  </si>
  <si>
    <t>2023-05-06</t>
  </si>
  <si>
    <t>ITM10037</t>
  </si>
  <si>
    <t>2024-02-05</t>
  </si>
  <si>
    <t>ITM10038</t>
  </si>
  <si>
    <t>ITM10039</t>
  </si>
  <si>
    <t>2023-11-30</t>
  </si>
  <si>
    <t>ITM10040</t>
  </si>
  <si>
    <t>2024-03-27</t>
  </si>
  <si>
    <t>ITM10041</t>
  </si>
  <si>
    <t>ITM10042</t>
  </si>
  <si>
    <t>ITM10043</t>
  </si>
  <si>
    <t>ITM10044</t>
  </si>
  <si>
    <t>ITM10045</t>
  </si>
  <si>
    <t>ITM10046</t>
  </si>
  <si>
    <t>ITM10047</t>
  </si>
  <si>
    <t>ITM10048</t>
  </si>
  <si>
    <t>ITM10049</t>
  </si>
  <si>
    <t>2024-12-28</t>
  </si>
  <si>
    <t>ITM10050</t>
  </si>
  <si>
    <t>ITM10051</t>
  </si>
  <si>
    <t>ITM10052</t>
  </si>
  <si>
    <t>ITM10053</t>
  </si>
  <si>
    <t>2023-09-11</t>
  </si>
  <si>
    <t>ITM10054</t>
  </si>
  <si>
    <t>ITM10055</t>
  </si>
  <si>
    <t>ITM10056</t>
  </si>
  <si>
    <t>2024-01-18</t>
  </si>
  <si>
    <t>ITM10057</t>
  </si>
  <si>
    <t>ITM10058</t>
  </si>
  <si>
    <t>ITM10059</t>
  </si>
  <si>
    <t>ITM10060</t>
  </si>
  <si>
    <t>ITM10061</t>
  </si>
  <si>
    <t>ITM10062</t>
  </si>
  <si>
    <t>ITM10063</t>
  </si>
  <si>
    <t>ITM10064</t>
  </si>
  <si>
    <t>ITM10065</t>
  </si>
  <si>
    <t>ITM10066</t>
  </si>
  <si>
    <t>ITM10067</t>
  </si>
  <si>
    <t>ITM10068</t>
  </si>
  <si>
    <t>ITM10069</t>
  </si>
  <si>
    <t>ITM10070</t>
  </si>
  <si>
    <t>ITM10071</t>
  </si>
  <si>
    <t>2024-05-28</t>
  </si>
  <si>
    <t>ITM10072</t>
  </si>
  <si>
    <t>2023-12-08</t>
  </si>
  <si>
    <t>ITM10073</t>
  </si>
  <si>
    <t>ITM10074</t>
  </si>
  <si>
    <t>ITM10075</t>
  </si>
  <si>
    <t>ITM10076</t>
  </si>
  <si>
    <t>ITM10077</t>
  </si>
  <si>
    <t>ITM10078</t>
  </si>
  <si>
    <t>ITM10079</t>
  </si>
  <si>
    <t>ITM10080</t>
  </si>
  <si>
    <t>ITM10081</t>
  </si>
  <si>
    <t>ITM10082</t>
  </si>
  <si>
    <t>ITM10083</t>
  </si>
  <si>
    <t>ITM10084</t>
  </si>
  <si>
    <t>ITM10085</t>
  </si>
  <si>
    <t>ITM10086</t>
  </si>
  <si>
    <t>ITM10087</t>
  </si>
  <si>
    <t>ITM10088</t>
  </si>
  <si>
    <t>ITM10089</t>
  </si>
  <si>
    <t>2023-03-19</t>
  </si>
  <si>
    <t>ITM10090</t>
  </si>
  <si>
    <t>ITM10091</t>
  </si>
  <si>
    <t>2024-01-13</t>
  </si>
  <si>
    <t>ITM10092</t>
  </si>
  <si>
    <t>ITM10093</t>
  </si>
  <si>
    <t>ITM10094</t>
  </si>
  <si>
    <t>2023-01-10</t>
  </si>
  <si>
    <t>ITM10095</t>
  </si>
  <si>
    <t>ITM10096</t>
  </si>
  <si>
    <t>ITM10097</t>
  </si>
  <si>
    <t>ITM10098</t>
  </si>
  <si>
    <t>ITM10099</t>
  </si>
  <si>
    <t>ITM10100</t>
  </si>
  <si>
    <t>2023-04-23</t>
  </si>
  <si>
    <t>ITM10101</t>
  </si>
  <si>
    <t>ITM10102</t>
  </si>
  <si>
    <t>ITM10103</t>
  </si>
  <si>
    <t>ITM10104</t>
  </si>
  <si>
    <t>ITM10105</t>
  </si>
  <si>
    <t>2024-05-01</t>
  </si>
  <si>
    <t>ITM10106</t>
  </si>
  <si>
    <t>ITM10107</t>
  </si>
  <si>
    <t>2023-07-21</t>
  </si>
  <si>
    <t>ITM10108</t>
  </si>
  <si>
    <t>ITM10109</t>
  </si>
  <si>
    <t>ITM10110</t>
  </si>
  <si>
    <t>ITM10111</t>
  </si>
  <si>
    <t>ITM10112</t>
  </si>
  <si>
    <t>2023-03-03</t>
  </si>
  <si>
    <t>ITM10113</t>
  </si>
  <si>
    <t>ITM10114</t>
  </si>
  <si>
    <t>ITM10115</t>
  </si>
  <si>
    <t>ITM10116</t>
  </si>
  <si>
    <t>ITM10117</t>
  </si>
  <si>
    <t>ITM10118</t>
  </si>
  <si>
    <t>ITM10119</t>
  </si>
  <si>
    <t>ITM10120</t>
  </si>
  <si>
    <t>ITM10121</t>
  </si>
  <si>
    <t>ITM10122</t>
  </si>
  <si>
    <t>ITM10123</t>
  </si>
  <si>
    <t>ITM10124</t>
  </si>
  <si>
    <t>ITM10125</t>
  </si>
  <si>
    <t>ITM10126</t>
  </si>
  <si>
    <t>2023-02-25</t>
  </si>
  <si>
    <t>ITM10127</t>
  </si>
  <si>
    <t>ITM10128</t>
  </si>
  <si>
    <t>2024-03-26</t>
  </si>
  <si>
    <t>ITM10129</t>
  </si>
  <si>
    <t>2023-02-10</t>
  </si>
  <si>
    <t>ITM10130</t>
  </si>
  <si>
    <t>ITM10131</t>
  </si>
  <si>
    <t>ITM10132</t>
  </si>
  <si>
    <t>ITM10133</t>
  </si>
  <si>
    <t>ITM10134</t>
  </si>
  <si>
    <t>2023-10-11</t>
  </si>
  <si>
    <t>ITM10135</t>
  </si>
  <si>
    <t>ITM10136</t>
  </si>
  <si>
    <t>ITM10137</t>
  </si>
  <si>
    <t>ITM10138</t>
  </si>
  <si>
    <t>ITM10139</t>
  </si>
  <si>
    <t>2023-03-13</t>
  </si>
  <si>
    <t>ITM10140</t>
  </si>
  <si>
    <t>2023-12-17</t>
  </si>
  <si>
    <t>ITM10141</t>
  </si>
  <si>
    <t>ITM10142</t>
  </si>
  <si>
    <t>ITM10143</t>
  </si>
  <si>
    <t>ITM10144</t>
  </si>
  <si>
    <t>ITM10145</t>
  </si>
  <si>
    <t>ITM10146</t>
  </si>
  <si>
    <t>ITM10147</t>
  </si>
  <si>
    <t>ITM10148</t>
  </si>
  <si>
    <t>ITM10149</t>
  </si>
  <si>
    <t>2023-09-14</t>
  </si>
  <si>
    <t>ITM10150</t>
  </si>
  <si>
    <t>ITM10151</t>
  </si>
  <si>
    <t>ITM10152</t>
  </si>
  <si>
    <t>ITM10153</t>
  </si>
  <si>
    <t>ITM10154</t>
  </si>
  <si>
    <t>2024-05-07</t>
  </si>
  <si>
    <t>ITM10155</t>
  </si>
  <si>
    <t>ITM10156</t>
  </si>
  <si>
    <t>2023-05-31</t>
  </si>
  <si>
    <t>ITM10157</t>
  </si>
  <si>
    <t>2023-10-24</t>
  </si>
  <si>
    <t>ITM10158</t>
  </si>
  <si>
    <t>ITM10159</t>
  </si>
  <si>
    <t>ITM10160</t>
  </si>
  <si>
    <t>ITM10161</t>
  </si>
  <si>
    <t>ITM10162</t>
  </si>
  <si>
    <t>ITM10163</t>
  </si>
  <si>
    <t>ITM10164</t>
  </si>
  <si>
    <t>ITM10165</t>
  </si>
  <si>
    <t>ITM10166</t>
  </si>
  <si>
    <t>ITM10167</t>
  </si>
  <si>
    <t>ITM10168</t>
  </si>
  <si>
    <t>ITM10169</t>
  </si>
  <si>
    <t>ITM10170</t>
  </si>
  <si>
    <t>ITM10171</t>
  </si>
  <si>
    <t>ITM10172</t>
  </si>
  <si>
    <t>2023-04-17</t>
  </si>
  <si>
    <t>ITM10173</t>
  </si>
  <si>
    <t>ITM10174</t>
  </si>
  <si>
    <t>ITM10175</t>
  </si>
  <si>
    <t>ITM10176</t>
  </si>
  <si>
    <t>ITM10177</t>
  </si>
  <si>
    <t>ITM10178</t>
  </si>
  <si>
    <t>ITM10179</t>
  </si>
  <si>
    <t>ITM10180</t>
  </si>
  <si>
    <t>ITM10181</t>
  </si>
  <si>
    <t>ITM10182</t>
  </si>
  <si>
    <t>ITM10183</t>
  </si>
  <si>
    <t>ITM10184</t>
  </si>
  <si>
    <t>ITM10185</t>
  </si>
  <si>
    <t>2024-01-01</t>
  </si>
  <si>
    <t>ITM10186</t>
  </si>
  <si>
    <t>ITM10187</t>
  </si>
  <si>
    <t>ITM10188</t>
  </si>
  <si>
    <t>2024-05-08</t>
  </si>
  <si>
    <t>ITM10189</t>
  </si>
  <si>
    <t>2023-10-10</t>
  </si>
  <si>
    <t>ITM10190</t>
  </si>
  <si>
    <t>2024-03-08</t>
  </si>
  <si>
    <t>ITM10191</t>
  </si>
  <si>
    <t>ITM10192</t>
  </si>
  <si>
    <t>ITM10193</t>
  </si>
  <si>
    <t>ITM10194</t>
  </si>
  <si>
    <t>ITM10195</t>
  </si>
  <si>
    <t>ITM10196</t>
  </si>
  <si>
    <t>2024-06-28</t>
  </si>
  <si>
    <t>ITM10197</t>
  </si>
  <si>
    <t>ITM10198</t>
  </si>
  <si>
    <t>ITM10199</t>
  </si>
  <si>
    <t>ITM10200</t>
  </si>
  <si>
    <t>ITM10201</t>
  </si>
  <si>
    <t>ITM10202</t>
  </si>
  <si>
    <t>ITM10203</t>
  </si>
  <si>
    <t>ITM10204</t>
  </si>
  <si>
    <t>ITM10205</t>
  </si>
  <si>
    <t>ITM10206</t>
  </si>
  <si>
    <t>ITM10207</t>
  </si>
  <si>
    <t>ITM10208</t>
  </si>
  <si>
    <t>ITM10209</t>
  </si>
  <si>
    <t>ITM10210</t>
  </si>
  <si>
    <t>ITM10211</t>
  </si>
  <si>
    <t>ITM10212</t>
  </si>
  <si>
    <t>ITM10213</t>
  </si>
  <si>
    <t>ITM10214</t>
  </si>
  <si>
    <t>ITM10215</t>
  </si>
  <si>
    <t>ITM10216</t>
  </si>
  <si>
    <t>2023-11-07</t>
  </si>
  <si>
    <t>ITM10217</t>
  </si>
  <si>
    <t>ITM10218</t>
  </si>
  <si>
    <t>2023-07-17</t>
  </si>
  <si>
    <t>ITM10219</t>
  </si>
  <si>
    <t>ITM10220</t>
  </si>
  <si>
    <t>ITM10221</t>
  </si>
  <si>
    <t>2023-08-22</t>
  </si>
  <si>
    <t>ITM10222</t>
  </si>
  <si>
    <t>ITM10223</t>
  </si>
  <si>
    <t>ITM10224</t>
  </si>
  <si>
    <t>ITM10225</t>
  </si>
  <si>
    <t>ITM10226</t>
  </si>
  <si>
    <t>ITM10227</t>
  </si>
  <si>
    <t>ITM10228</t>
  </si>
  <si>
    <t>ITM10229</t>
  </si>
  <si>
    <t>2023-01-13</t>
  </si>
  <si>
    <t>ITM10230</t>
  </si>
  <si>
    <t>ITM10231</t>
  </si>
  <si>
    <t>ITM10232</t>
  </si>
  <si>
    <t>ITM10233</t>
  </si>
  <si>
    <t>ITM10234</t>
  </si>
  <si>
    <t>ITM10235</t>
  </si>
  <si>
    <t>ITM10236</t>
  </si>
  <si>
    <t>2023-12-11</t>
  </si>
  <si>
    <t>ITM10237</t>
  </si>
  <si>
    <t>ITM10238</t>
  </si>
  <si>
    <t>ITM10239</t>
  </si>
  <si>
    <t>ITM10240</t>
  </si>
  <si>
    <t>ITM10241</t>
  </si>
  <si>
    <t>ITM10242</t>
  </si>
  <si>
    <t>ITM10243</t>
  </si>
  <si>
    <t>ITM10244</t>
  </si>
  <si>
    <t>ITM10245</t>
  </si>
  <si>
    <t>ITM10246</t>
  </si>
  <si>
    <t>ITM10247</t>
  </si>
  <si>
    <t>ITM10248</t>
  </si>
  <si>
    <t>ITM10249</t>
  </si>
  <si>
    <t>ITM10250</t>
  </si>
  <si>
    <t>2023-02-15</t>
  </si>
  <si>
    <t>ITM10251</t>
  </si>
  <si>
    <t>ITM10252</t>
  </si>
  <si>
    <t>2023-03-08</t>
  </si>
  <si>
    <t>ITM10253</t>
  </si>
  <si>
    <t>ITM10254</t>
  </si>
  <si>
    <t>ITM10255</t>
  </si>
  <si>
    <t>ITM10256</t>
  </si>
  <si>
    <t>ITM10257</t>
  </si>
  <si>
    <t>ITM10258</t>
  </si>
  <si>
    <t>ITM10259</t>
  </si>
  <si>
    <t>ITM10260</t>
  </si>
  <si>
    <t>ITM10261</t>
  </si>
  <si>
    <t>ITM10262</t>
  </si>
  <si>
    <t>ITM10263</t>
  </si>
  <si>
    <t>ITM10264</t>
  </si>
  <si>
    <t>ITM10265</t>
  </si>
  <si>
    <t>2024-12-27</t>
  </si>
  <si>
    <t>ITM10266</t>
  </si>
  <si>
    <t>ITM10267</t>
  </si>
  <si>
    <t>ITM10268</t>
  </si>
  <si>
    <t>ITM10269</t>
  </si>
  <si>
    <t>ITM10270</t>
  </si>
  <si>
    <t>ITM10271</t>
  </si>
  <si>
    <t>ITM10272</t>
  </si>
  <si>
    <t>ITM10273</t>
  </si>
  <si>
    <t>ITM10274</t>
  </si>
  <si>
    <t>2024-05-24</t>
  </si>
  <si>
    <t>ITM10275</t>
  </si>
  <si>
    <t>ITM10276</t>
  </si>
  <si>
    <t>ITM10277</t>
  </si>
  <si>
    <t>ITM10278</t>
  </si>
  <si>
    <t>ITM10279</t>
  </si>
  <si>
    <t>ITM10280</t>
  </si>
  <si>
    <t>2023-09-04</t>
  </si>
  <si>
    <t>ITM10281</t>
  </si>
  <si>
    <t>ITM10282</t>
  </si>
  <si>
    <t>ITM10283</t>
  </si>
  <si>
    <t>2023-01-11</t>
  </si>
  <si>
    <t>ITM10284</t>
  </si>
  <si>
    <t>2023-06-14</t>
  </si>
  <si>
    <t>ITM10285</t>
  </si>
  <si>
    <t>ITM10286</t>
  </si>
  <si>
    <t>ITM10287</t>
  </si>
  <si>
    <t>ITM10288</t>
  </si>
  <si>
    <t>2024-10-15</t>
  </si>
  <si>
    <t>ITM10289</t>
  </si>
  <si>
    <t>ITM10290</t>
  </si>
  <si>
    <t>ITM10291</t>
  </si>
  <si>
    <t>ITM10292</t>
  </si>
  <si>
    <t>ITM10293</t>
  </si>
  <si>
    <t>ITM10294</t>
  </si>
  <si>
    <t>ITM10295</t>
  </si>
  <si>
    <t>ITM10296</t>
  </si>
  <si>
    <t>ITM10297</t>
  </si>
  <si>
    <t>ITM10298</t>
  </si>
  <si>
    <t>ITM10299</t>
  </si>
  <si>
    <t>2023-06-23</t>
  </si>
  <si>
    <t>Calculate stock value as Stock_Level * Unit_Cost for each item.</t>
  </si>
  <si>
    <t>Use COUNTIFS to count how many items in 'Electronics' have Stock_Level &lt; Reorder_Threshold.</t>
  </si>
  <si>
    <t>Use SUMIFS to find total Units_Sold_Last_Month for 'Vendor_A' in 'WH-East'.</t>
  </si>
  <si>
    <t>Use AVERAGEIFS to find average Unit_Cost for 'Clothing' items from 'Vendor_C'.</t>
  </si>
  <si>
    <t>Use IF to label items as 'Restock Needed' if Stock_Level &lt; Reorder_Threshold.</t>
  </si>
  <si>
    <t>Use VLOOKUP to fetch Lead_Time_Days for a given Item_Code.</t>
  </si>
  <si>
    <t>Use INDEX-MATCH to get Supplier based on Item_Code.</t>
  </si>
  <si>
    <t>Use RANK.EQ to rank items by Stock_Level within each Warehouse.</t>
  </si>
  <si>
    <t>Find how many items were last stocked in 2024 using YEAR() and filtering.</t>
  </si>
  <si>
    <t>Create a column that shows days since last stocked.</t>
  </si>
  <si>
    <t>Customer_ID</t>
  </si>
  <si>
    <t>Plan_Type</t>
  </si>
  <si>
    <t>Signup_Date</t>
  </si>
  <si>
    <t>Monthly_Fee</t>
  </si>
  <si>
    <t>Country</t>
  </si>
  <si>
    <t>Age_Group</t>
  </si>
  <si>
    <t>Is_Active</t>
  </si>
  <si>
    <t>Churn_Date</t>
  </si>
  <si>
    <t>Support_Tickets_Last_6M</t>
  </si>
  <si>
    <t>Referral_Source</t>
  </si>
  <si>
    <t>CUST5000</t>
  </si>
  <si>
    <t>Basic</t>
  </si>
  <si>
    <t>2022-11-14</t>
  </si>
  <si>
    <t>UK</t>
  </si>
  <si>
    <t>26-35</t>
  </si>
  <si>
    <t>Yes</t>
  </si>
  <si>
    <t>Google</t>
  </si>
  <si>
    <t>CUST5001</t>
  </si>
  <si>
    <t>2022-02-25</t>
  </si>
  <si>
    <t>Australia</t>
  </si>
  <si>
    <t>36-50</t>
  </si>
  <si>
    <t>No</t>
  </si>
  <si>
    <t>Other</t>
  </si>
  <si>
    <t>CUST5002</t>
  </si>
  <si>
    <t>Standard</t>
  </si>
  <si>
    <t>2023-10-18</t>
  </si>
  <si>
    <t>Germany</t>
  </si>
  <si>
    <t>Facebook</t>
  </si>
  <si>
    <t>CUST5003</t>
  </si>
  <si>
    <t>Premium</t>
  </si>
  <si>
    <t>2023-06-08</t>
  </si>
  <si>
    <t>LinkedIn</t>
  </si>
  <si>
    <t>CUST5004</t>
  </si>
  <si>
    <t>2024-04-24</t>
  </si>
  <si>
    <t>50+</t>
  </si>
  <si>
    <t>CUST5005</t>
  </si>
  <si>
    <t>2022-11-13</t>
  </si>
  <si>
    <t>CUST5006</t>
  </si>
  <si>
    <t>CUST5007</t>
  </si>
  <si>
    <t>2023-12-24</t>
  </si>
  <si>
    <t>US</t>
  </si>
  <si>
    <t>Referral</t>
  </si>
  <si>
    <t>CUST5008</t>
  </si>
  <si>
    <t>2022-12-20</t>
  </si>
  <si>
    <t>18-25</t>
  </si>
  <si>
    <t>CUST5009</t>
  </si>
  <si>
    <t>2022-11-19</t>
  </si>
  <si>
    <t>India</t>
  </si>
  <si>
    <t>CUST5010</t>
  </si>
  <si>
    <t>2022-01-05</t>
  </si>
  <si>
    <t>CUST5011</t>
  </si>
  <si>
    <t>2024-01-04</t>
  </si>
  <si>
    <t>CUST5012</t>
  </si>
  <si>
    <t>2024-02-28</t>
  </si>
  <si>
    <t>2023-05-22</t>
  </si>
  <si>
    <t>CUST5013</t>
  </si>
  <si>
    <t>2022-11-25</t>
  </si>
  <si>
    <t>CUST5014</t>
  </si>
  <si>
    <t>CUST5015</t>
  </si>
  <si>
    <t>CUST5016</t>
  </si>
  <si>
    <t>2023-10-31</t>
  </si>
  <si>
    <t>CUST5017</t>
  </si>
  <si>
    <t>2024-04-30</t>
  </si>
  <si>
    <t>2025-04-23</t>
  </si>
  <si>
    <t>CUST5018</t>
  </si>
  <si>
    <t>2022-02-27</t>
  </si>
  <si>
    <t>2025-03-18</t>
  </si>
  <si>
    <t>CUST5019</t>
  </si>
  <si>
    <t>2023-11-05</t>
  </si>
  <si>
    <t>CUST5020</t>
  </si>
  <si>
    <t>2024-05-21</t>
  </si>
  <si>
    <t>CUST5021</t>
  </si>
  <si>
    <t>2023-03-12</t>
  </si>
  <si>
    <t>CUST5022</t>
  </si>
  <si>
    <t>2023-07-08</t>
  </si>
  <si>
    <t>CUST5023</t>
  </si>
  <si>
    <t>2023-06-30</t>
  </si>
  <si>
    <t>CUST5024</t>
  </si>
  <si>
    <t>2023-05-03</t>
  </si>
  <si>
    <t>CUST5025</t>
  </si>
  <si>
    <t>2022-07-01</t>
  </si>
  <si>
    <t>CUST5026</t>
  </si>
  <si>
    <t>2024-03-03</t>
  </si>
  <si>
    <t>CUST5027</t>
  </si>
  <si>
    <t>2022-06-12</t>
  </si>
  <si>
    <t>CUST5028</t>
  </si>
  <si>
    <t>2023-03-07</t>
  </si>
  <si>
    <t>2023-04-02</t>
  </si>
  <si>
    <t>CUST5029</t>
  </si>
  <si>
    <t>2023-09-15</t>
  </si>
  <si>
    <t>CUST5030</t>
  </si>
  <si>
    <t>2022-12-02</t>
  </si>
  <si>
    <t>CUST5031</t>
  </si>
  <si>
    <t>2022-03-04</t>
  </si>
  <si>
    <t>2024-10-20</t>
  </si>
  <si>
    <t>CUST5032</t>
  </si>
  <si>
    <t>CUST5033</t>
  </si>
  <si>
    <t>2023-10-06</t>
  </si>
  <si>
    <t>CUST5034</t>
  </si>
  <si>
    <t>2022-01-06</t>
  </si>
  <si>
    <t>CUST5035</t>
  </si>
  <si>
    <t>2022-01-02</t>
  </si>
  <si>
    <t>CUST5036</t>
  </si>
  <si>
    <t>2023-09-25</t>
  </si>
  <si>
    <t>CUST5037</t>
  </si>
  <si>
    <t>2022-04-21</t>
  </si>
  <si>
    <t>2023-12-16</t>
  </si>
  <si>
    <t>CUST5038</t>
  </si>
  <si>
    <t>CUST5039</t>
  </si>
  <si>
    <t>2025-01-10</t>
  </si>
  <si>
    <t>CUST5040</t>
  </si>
  <si>
    <t>2023-09-30</t>
  </si>
  <si>
    <t>CUST5041</t>
  </si>
  <si>
    <t>CUST5042</t>
  </si>
  <si>
    <t>2022-10-27</t>
  </si>
  <si>
    <t>CUST5043</t>
  </si>
  <si>
    <t>2023-09-08</t>
  </si>
  <si>
    <t>CUST5044</t>
  </si>
  <si>
    <t>2022-05-14</t>
  </si>
  <si>
    <t>CUST5045</t>
  </si>
  <si>
    <t>2022-02-02</t>
  </si>
  <si>
    <t>CUST5046</t>
  </si>
  <si>
    <t>2022-01-31</t>
  </si>
  <si>
    <t>CUST5047</t>
  </si>
  <si>
    <t>2023-07-18</t>
  </si>
  <si>
    <t>CUST5048</t>
  </si>
  <si>
    <t>2022-02-05</t>
  </si>
  <si>
    <t>CUST5049</t>
  </si>
  <si>
    <t>CUST5050</t>
  </si>
  <si>
    <t>2023-02-18</t>
  </si>
  <si>
    <t>2025-01-06</t>
  </si>
  <si>
    <t>CUST5051</t>
  </si>
  <si>
    <t>2022-08-26</t>
  </si>
  <si>
    <t>CUST5052</t>
  </si>
  <si>
    <t>2023-07-02</t>
  </si>
  <si>
    <t>CUST5053</t>
  </si>
  <si>
    <t>CUST5054</t>
  </si>
  <si>
    <t>2022-07-08</t>
  </si>
  <si>
    <t>CUST5055</t>
  </si>
  <si>
    <t>2022-06-01</t>
  </si>
  <si>
    <t>CUST5056</t>
  </si>
  <si>
    <t>2023-09-12</t>
  </si>
  <si>
    <t>CUST5057</t>
  </si>
  <si>
    <t>2022-05-07</t>
  </si>
  <si>
    <t>CUST5058</t>
  </si>
  <si>
    <t>CUST5059</t>
  </si>
  <si>
    <t>CUST5060</t>
  </si>
  <si>
    <t>2022-12-19</t>
  </si>
  <si>
    <t>CUST5061</t>
  </si>
  <si>
    <t>2022-01-15</t>
  </si>
  <si>
    <t>CUST5062</t>
  </si>
  <si>
    <t>2023-03-01</t>
  </si>
  <si>
    <t>CUST5063</t>
  </si>
  <si>
    <t>2022-01-22</t>
  </si>
  <si>
    <t>CUST5064</t>
  </si>
  <si>
    <t>CUST5065</t>
  </si>
  <si>
    <t>2023-05-21</t>
  </si>
  <si>
    <t>CUST5066</t>
  </si>
  <si>
    <t>2023-04-26</t>
  </si>
  <si>
    <t>CUST5067</t>
  </si>
  <si>
    <t>2022-01-11</t>
  </si>
  <si>
    <t>CUST5068</t>
  </si>
  <si>
    <t>2024-01-22</t>
  </si>
  <si>
    <t>CUST5069</t>
  </si>
  <si>
    <t>CUST5070</t>
  </si>
  <si>
    <t>2022-12-14</t>
  </si>
  <si>
    <t>CUST5071</t>
  </si>
  <si>
    <t>2022-04-25</t>
  </si>
  <si>
    <t>CUST5072</t>
  </si>
  <si>
    <t>2024-05-25</t>
  </si>
  <si>
    <t>2023-06-12</t>
  </si>
  <si>
    <t>CUST5073</t>
  </si>
  <si>
    <t>2023-04-03</t>
  </si>
  <si>
    <t>CUST5074</t>
  </si>
  <si>
    <t>CUST5075</t>
  </si>
  <si>
    <t>2023-06-01</t>
  </si>
  <si>
    <t>CUST5076</t>
  </si>
  <si>
    <t>2022-12-30</t>
  </si>
  <si>
    <t>CUST5077</t>
  </si>
  <si>
    <t>2022-01-07</t>
  </si>
  <si>
    <t>CUST5078</t>
  </si>
  <si>
    <t>2024-03-05</t>
  </si>
  <si>
    <t>CUST5079</t>
  </si>
  <si>
    <t>2023-01-12</t>
  </si>
  <si>
    <t>CUST5080</t>
  </si>
  <si>
    <t>2022-11-09</t>
  </si>
  <si>
    <t>CUST5081</t>
  </si>
  <si>
    <t>2023-05-28</t>
  </si>
  <si>
    <t>CUST5082</t>
  </si>
  <si>
    <t>2022-03-23</t>
  </si>
  <si>
    <t>CUST5083</t>
  </si>
  <si>
    <t>2023-02-06</t>
  </si>
  <si>
    <t>CUST5084</t>
  </si>
  <si>
    <t>2023-02-13</t>
  </si>
  <si>
    <t>CUST5085</t>
  </si>
  <si>
    <t>2023-03-20</t>
  </si>
  <si>
    <t>CUST5086</t>
  </si>
  <si>
    <t>2023-11-14</t>
  </si>
  <si>
    <t>CUST5087</t>
  </si>
  <si>
    <t>CUST5088</t>
  </si>
  <si>
    <t>2022-07-04</t>
  </si>
  <si>
    <t>CUST5089</t>
  </si>
  <si>
    <t>2022-02-20</t>
  </si>
  <si>
    <t>CUST5090</t>
  </si>
  <si>
    <t>2024-05-22</t>
  </si>
  <si>
    <t>2024-06-10</t>
  </si>
  <si>
    <t>CUST5091</t>
  </si>
  <si>
    <t>2023-01-02</t>
  </si>
  <si>
    <t>CUST5092</t>
  </si>
  <si>
    <t>2024-07-15</t>
  </si>
  <si>
    <t>CUST5093</t>
  </si>
  <si>
    <t>2022-01-18</t>
  </si>
  <si>
    <t>CUST5094</t>
  </si>
  <si>
    <t>2022-03-02</t>
  </si>
  <si>
    <t>CUST5095</t>
  </si>
  <si>
    <t>CUST5096</t>
  </si>
  <si>
    <t>2022-04-08</t>
  </si>
  <si>
    <t>2023-09-17</t>
  </si>
  <si>
    <t>CUST5097</t>
  </si>
  <si>
    <t>2022-12-22</t>
  </si>
  <si>
    <t>CUST5098</t>
  </si>
  <si>
    <t>CUST5099</t>
  </si>
  <si>
    <t>2023-04-27</t>
  </si>
  <si>
    <t>CUST5100</t>
  </si>
  <si>
    <t>2023-05-08</t>
  </si>
  <si>
    <t>CUST5101</t>
  </si>
  <si>
    <t>2022-09-19</t>
  </si>
  <si>
    <t>CUST5102</t>
  </si>
  <si>
    <t>2022-10-15</t>
  </si>
  <si>
    <t>CUST5103</t>
  </si>
  <si>
    <t>2024-05-13</t>
  </si>
  <si>
    <t>2024-10-26</t>
  </si>
  <si>
    <t>CUST5104</t>
  </si>
  <si>
    <t>CUST5105</t>
  </si>
  <si>
    <t>2023-08-13</t>
  </si>
  <si>
    <t>CUST5106</t>
  </si>
  <si>
    <t>2022-11-18</t>
  </si>
  <si>
    <t>CUST5107</t>
  </si>
  <si>
    <t>2024-03-12</t>
  </si>
  <si>
    <t>CUST5108</t>
  </si>
  <si>
    <t>2023-09-21</t>
  </si>
  <si>
    <t>CUST5109</t>
  </si>
  <si>
    <t>2023-08-18</t>
  </si>
  <si>
    <t>CUST5110</t>
  </si>
  <si>
    <t>CUST5111</t>
  </si>
  <si>
    <t>2023-03-31</t>
  </si>
  <si>
    <t>CUST5112</t>
  </si>
  <si>
    <t>2022-08-07</t>
  </si>
  <si>
    <t>CUST5113</t>
  </si>
  <si>
    <t>CUST5114</t>
  </si>
  <si>
    <t>CUST5115</t>
  </si>
  <si>
    <t>2023-11-20</t>
  </si>
  <si>
    <t>CUST5116</t>
  </si>
  <si>
    <t>2022-09-16</t>
  </si>
  <si>
    <t>CUST5117</t>
  </si>
  <si>
    <t>2023-07-10</t>
  </si>
  <si>
    <t>CUST5118</t>
  </si>
  <si>
    <t>2023-06-19</t>
  </si>
  <si>
    <t>CUST5119</t>
  </si>
  <si>
    <t>CUST5120</t>
  </si>
  <si>
    <t>2022-11-28</t>
  </si>
  <si>
    <t>CUST5121</t>
  </si>
  <si>
    <t>2022-07-02</t>
  </si>
  <si>
    <t>CUST5122</t>
  </si>
  <si>
    <t>2022-08-30</t>
  </si>
  <si>
    <t>CUST5123</t>
  </si>
  <si>
    <t>2023-09-23</t>
  </si>
  <si>
    <t>CUST5124</t>
  </si>
  <si>
    <t>2022-02-12</t>
  </si>
  <si>
    <t>CUST5125</t>
  </si>
  <si>
    <t>2022-08-23</t>
  </si>
  <si>
    <t>CUST5126</t>
  </si>
  <si>
    <t>CUST5127</t>
  </si>
  <si>
    <t>CUST5128</t>
  </si>
  <si>
    <t>2024-03-18</t>
  </si>
  <si>
    <t>CUST5129</t>
  </si>
  <si>
    <t>2024-04-04</t>
  </si>
  <si>
    <t>2023-12-04</t>
  </si>
  <si>
    <t>CUST5130</t>
  </si>
  <si>
    <t>2022-06-18</t>
  </si>
  <si>
    <t>CUST5131</t>
  </si>
  <si>
    <t>2023-11-01</t>
  </si>
  <si>
    <t>2024-10-06</t>
  </si>
  <si>
    <t>CUST5132</t>
  </si>
  <si>
    <t>2022-12-28</t>
  </si>
  <si>
    <t>CUST5133</t>
  </si>
  <si>
    <t>2022-01-23</t>
  </si>
  <si>
    <t>CUST5134</t>
  </si>
  <si>
    <t>2023-12-06</t>
  </si>
  <si>
    <t>CUST5135</t>
  </si>
  <si>
    <t>2022-04-17</t>
  </si>
  <si>
    <t>CUST5136</t>
  </si>
  <si>
    <t>2024-02-06</t>
  </si>
  <si>
    <t>CUST5137</t>
  </si>
  <si>
    <t>CUST5138</t>
  </si>
  <si>
    <t>2023-04-01</t>
  </si>
  <si>
    <t>2024-07-19</t>
  </si>
  <si>
    <t>CUST5139</t>
  </si>
  <si>
    <t>2022-02-09</t>
  </si>
  <si>
    <t>2024-08-12</t>
  </si>
  <si>
    <t>CUST5140</t>
  </si>
  <si>
    <t>2023-01-07</t>
  </si>
  <si>
    <t>CUST5141</t>
  </si>
  <si>
    <t>2023-08-29</t>
  </si>
  <si>
    <t>CUST5142</t>
  </si>
  <si>
    <t>2022-10-11</t>
  </si>
  <si>
    <t>CUST5143</t>
  </si>
  <si>
    <t>2024-08-07</t>
  </si>
  <si>
    <t>CUST5144</t>
  </si>
  <si>
    <t>CUST5145</t>
  </si>
  <si>
    <t>2023-12-09</t>
  </si>
  <si>
    <t>CUST5146</t>
  </si>
  <si>
    <t>2022-07-18</t>
  </si>
  <si>
    <t>CUST5147</t>
  </si>
  <si>
    <t>CUST5148</t>
  </si>
  <si>
    <t>CUST5149</t>
  </si>
  <si>
    <t>2023-07-30</t>
  </si>
  <si>
    <t>CUST5150</t>
  </si>
  <si>
    <t>2022-10-18</t>
  </si>
  <si>
    <t>CUST5151</t>
  </si>
  <si>
    <t>2023-01-28</t>
  </si>
  <si>
    <t>CUST5152</t>
  </si>
  <si>
    <t>2023-05-16</t>
  </si>
  <si>
    <t>CUST5153</t>
  </si>
  <si>
    <t>CUST5154</t>
  </si>
  <si>
    <t>2023-07-12</t>
  </si>
  <si>
    <t>CUST5155</t>
  </si>
  <si>
    <t>2023-05-17</t>
  </si>
  <si>
    <t>CUST5156</t>
  </si>
  <si>
    <t>2024-04-09</t>
  </si>
  <si>
    <t>CUST5157</t>
  </si>
  <si>
    <t>2022-09-27</t>
  </si>
  <si>
    <t>CUST5158</t>
  </si>
  <si>
    <t>CUST5159</t>
  </si>
  <si>
    <t>2022-05-04</t>
  </si>
  <si>
    <t>CUST5160</t>
  </si>
  <si>
    <t>2023-05-23</t>
  </si>
  <si>
    <t>CUST5161</t>
  </si>
  <si>
    <t>CUST5162</t>
  </si>
  <si>
    <t>2022-01-09</t>
  </si>
  <si>
    <t>CUST5163</t>
  </si>
  <si>
    <t>2022-12-11</t>
  </si>
  <si>
    <t>CUST5164</t>
  </si>
  <si>
    <t>2022-03-31</t>
  </si>
  <si>
    <t>CUST5165</t>
  </si>
  <si>
    <t>2022-12-10</t>
  </si>
  <si>
    <t>CUST5166</t>
  </si>
  <si>
    <t>2025-01-26</t>
  </si>
  <si>
    <t>CUST5167</t>
  </si>
  <si>
    <t>CUST5168</t>
  </si>
  <si>
    <t>2022-06-30</t>
  </si>
  <si>
    <t>CUST5169</t>
  </si>
  <si>
    <t>CUST5170</t>
  </si>
  <si>
    <t>2023-02-26</t>
  </si>
  <si>
    <t>CUST5171</t>
  </si>
  <si>
    <t>2022-07-03</t>
  </si>
  <si>
    <t>CUST5172</t>
  </si>
  <si>
    <t>2023-06-15</t>
  </si>
  <si>
    <t>2023-08-15</t>
  </si>
  <si>
    <t>CUST5173</t>
  </si>
  <si>
    <t>CUST5174</t>
  </si>
  <si>
    <t>CUST5175</t>
  </si>
  <si>
    <t>2022-03-21</t>
  </si>
  <si>
    <t>2023-08-11</t>
  </si>
  <si>
    <t>CUST5176</t>
  </si>
  <si>
    <t>CUST5177</t>
  </si>
  <si>
    <t>CUST5178</t>
  </si>
  <si>
    <t>2022-09-10</t>
  </si>
  <si>
    <t>CUST5179</t>
  </si>
  <si>
    <t>2024-03-30</t>
  </si>
  <si>
    <t>CUST5180</t>
  </si>
  <si>
    <t>2023-06-17</t>
  </si>
  <si>
    <t>CUST5181</t>
  </si>
  <si>
    <t>2024-01-20</t>
  </si>
  <si>
    <t>CUST5182</t>
  </si>
  <si>
    <t>2022-02-08</t>
  </si>
  <si>
    <t>CUST5183</t>
  </si>
  <si>
    <t>2023-04-24</t>
  </si>
  <si>
    <t>CUST5184</t>
  </si>
  <si>
    <t>CUST5185</t>
  </si>
  <si>
    <t>CUST5186</t>
  </si>
  <si>
    <t>2024-05-31</t>
  </si>
  <si>
    <t>CUST5187</t>
  </si>
  <si>
    <t>CUST5188</t>
  </si>
  <si>
    <t>2023-05-24</t>
  </si>
  <si>
    <t>CUST5189</t>
  </si>
  <si>
    <t>CUST5190</t>
  </si>
  <si>
    <t>CUST5191</t>
  </si>
  <si>
    <t>CUST5192</t>
  </si>
  <si>
    <t>2023-05-07</t>
  </si>
  <si>
    <t>CUST5193</t>
  </si>
  <si>
    <t>2023-11-15</t>
  </si>
  <si>
    <t>CUST5194</t>
  </si>
  <si>
    <t>2022-06-13</t>
  </si>
  <si>
    <t>CUST5195</t>
  </si>
  <si>
    <t>2024-07-02</t>
  </si>
  <si>
    <t>CUST5196</t>
  </si>
  <si>
    <t>CUST5197</t>
  </si>
  <si>
    <t>CUST5198</t>
  </si>
  <si>
    <t>CUST5199</t>
  </si>
  <si>
    <t>CUST5200</t>
  </si>
  <si>
    <t>2022-05-10</t>
  </si>
  <si>
    <t>CUST5201</t>
  </si>
  <si>
    <t>CUST5202</t>
  </si>
  <si>
    <t>2022-06-07</t>
  </si>
  <si>
    <t>CUST5203</t>
  </si>
  <si>
    <t>CUST5204</t>
  </si>
  <si>
    <t>2023-04-18</t>
  </si>
  <si>
    <t>CUST5205</t>
  </si>
  <si>
    <t>2022-12-05</t>
  </si>
  <si>
    <t>CUST5206</t>
  </si>
  <si>
    <t>CUST5207</t>
  </si>
  <si>
    <t>2023-06-24</t>
  </si>
  <si>
    <t>2024-06-22</t>
  </si>
  <si>
    <t>CUST5208</t>
  </si>
  <si>
    <t>2023-10-07</t>
  </si>
  <si>
    <t>CUST5209</t>
  </si>
  <si>
    <t>CUST5210</t>
  </si>
  <si>
    <t>2023-12-10</t>
  </si>
  <si>
    <t>2025-05-11</t>
  </si>
  <si>
    <t>CUST5211</t>
  </si>
  <si>
    <t>2022-11-16</t>
  </si>
  <si>
    <t>CUST5212</t>
  </si>
  <si>
    <t>2022-09-07</t>
  </si>
  <si>
    <t>CUST5213</t>
  </si>
  <si>
    <t>2022-09-26</t>
  </si>
  <si>
    <t>2023-11-22</t>
  </si>
  <si>
    <t>CUST5214</t>
  </si>
  <si>
    <t>2022-07-24</t>
  </si>
  <si>
    <t>CUST5215</t>
  </si>
  <si>
    <t>CUST5216</t>
  </si>
  <si>
    <t>2022-12-29</t>
  </si>
  <si>
    <t>CUST5217</t>
  </si>
  <si>
    <t>2023-01-03</t>
  </si>
  <si>
    <t>CUST5218</t>
  </si>
  <si>
    <t>CUST5219</t>
  </si>
  <si>
    <t>2024-01-23</t>
  </si>
  <si>
    <t>CUST5220</t>
  </si>
  <si>
    <t>2022-07-11</t>
  </si>
  <si>
    <t>CUST5221</t>
  </si>
  <si>
    <t>CUST5222</t>
  </si>
  <si>
    <t>2022-03-25</t>
  </si>
  <si>
    <t>CUST5223</t>
  </si>
  <si>
    <t>2023-11-12</t>
  </si>
  <si>
    <t>CUST5224</t>
  </si>
  <si>
    <t>CUST5225</t>
  </si>
  <si>
    <t>CUST5226</t>
  </si>
  <si>
    <t>2022-11-08</t>
  </si>
  <si>
    <t>CUST5227</t>
  </si>
  <si>
    <t>2022-01-12</t>
  </si>
  <si>
    <t>CUST5228</t>
  </si>
  <si>
    <t>2022-01-29</t>
  </si>
  <si>
    <t>CUST5229</t>
  </si>
  <si>
    <t>2023-10-01</t>
  </si>
  <si>
    <t>CUST5230</t>
  </si>
  <si>
    <t>2022-01-24</t>
  </si>
  <si>
    <t>CUST5231</t>
  </si>
  <si>
    <t>2023-01-08</t>
  </si>
  <si>
    <t>CUST5232</t>
  </si>
  <si>
    <t>2022-11-05</t>
  </si>
  <si>
    <t>CUST5233</t>
  </si>
  <si>
    <t>CUST5234</t>
  </si>
  <si>
    <t>2024-01-24</t>
  </si>
  <si>
    <t>CUST5235</t>
  </si>
  <si>
    <t>CUST5236</t>
  </si>
  <si>
    <t>CUST5237</t>
  </si>
  <si>
    <t>2022-07-23</t>
  </si>
  <si>
    <t>CUST5238</t>
  </si>
  <si>
    <t>2022-12-04</t>
  </si>
  <si>
    <t>CUST5239</t>
  </si>
  <si>
    <t>2023-06-20</t>
  </si>
  <si>
    <t>CUST5240</t>
  </si>
  <si>
    <t>2022-10-04</t>
  </si>
  <si>
    <t>CUST5241</t>
  </si>
  <si>
    <t>2022-06-28</t>
  </si>
  <si>
    <t>CUST5242</t>
  </si>
  <si>
    <t>CUST5243</t>
  </si>
  <si>
    <t>CUST5244</t>
  </si>
  <si>
    <t>2023-06-05</t>
  </si>
  <si>
    <t>CUST5245</t>
  </si>
  <si>
    <t>CUST5246</t>
  </si>
  <si>
    <t>2022-10-02</t>
  </si>
  <si>
    <t>2025-04-21</t>
  </si>
  <si>
    <t>CUST5247</t>
  </si>
  <si>
    <t>CUST5248</t>
  </si>
  <si>
    <t>CUST5249</t>
  </si>
  <si>
    <t>CUST5250</t>
  </si>
  <si>
    <t>2023-08-20</t>
  </si>
  <si>
    <t>CUST5251</t>
  </si>
  <si>
    <t>CUST5252</t>
  </si>
  <si>
    <t>2022-01-17</t>
  </si>
  <si>
    <t>CUST5253</t>
  </si>
  <si>
    <t>CUST5254</t>
  </si>
  <si>
    <t>CUST5255</t>
  </si>
  <si>
    <t>CUST5256</t>
  </si>
  <si>
    <t>2024-07-29</t>
  </si>
  <si>
    <t>CUST5257</t>
  </si>
  <si>
    <t>2022-08-16</t>
  </si>
  <si>
    <t>CUST5258</t>
  </si>
  <si>
    <t>2022-01-28</t>
  </si>
  <si>
    <t>CUST5259</t>
  </si>
  <si>
    <t>2022-06-25</t>
  </si>
  <si>
    <t>CUST5260</t>
  </si>
  <si>
    <t>2022-11-21</t>
  </si>
  <si>
    <t>CUST5261</t>
  </si>
  <si>
    <t>CUST5262</t>
  </si>
  <si>
    <t>CUST5263</t>
  </si>
  <si>
    <t>2023-10-20</t>
  </si>
  <si>
    <t>2024-02-07</t>
  </si>
  <si>
    <t>CUST5264</t>
  </si>
  <si>
    <t>CUST5265</t>
  </si>
  <si>
    <t>CUST5266</t>
  </si>
  <si>
    <t>2023-08-19</t>
  </si>
  <si>
    <t>CUST5267</t>
  </si>
  <si>
    <t>2022-06-09</t>
  </si>
  <si>
    <t>CUST5268</t>
  </si>
  <si>
    <t>2022-05-13</t>
  </si>
  <si>
    <t>CUST5269</t>
  </si>
  <si>
    <t>CUST5270</t>
  </si>
  <si>
    <t>2023-11-04</t>
  </si>
  <si>
    <t>2023-02-01</t>
  </si>
  <si>
    <t>CUST5271</t>
  </si>
  <si>
    <t>2023-03-21</t>
  </si>
  <si>
    <t>CUST5272</t>
  </si>
  <si>
    <t>2022-06-08</t>
  </si>
  <si>
    <t>2023-02-21</t>
  </si>
  <si>
    <t>CUST5273</t>
  </si>
  <si>
    <t>CUST5274</t>
  </si>
  <si>
    <t>CUST5275</t>
  </si>
  <si>
    <t>2024-02-25</t>
  </si>
  <si>
    <t>CUST5276</t>
  </si>
  <si>
    <t>2024-02-03</t>
  </si>
  <si>
    <t>CUST5277</t>
  </si>
  <si>
    <t>2022-09-24</t>
  </si>
  <si>
    <t>CUST5278</t>
  </si>
  <si>
    <t>2024-03-24</t>
  </si>
  <si>
    <t>CUST5279</t>
  </si>
  <si>
    <t>2023-11-03</t>
  </si>
  <si>
    <t>CUST5280</t>
  </si>
  <si>
    <t>CUST5281</t>
  </si>
  <si>
    <t>2022-10-20</t>
  </si>
  <si>
    <t>CUST5282</t>
  </si>
  <si>
    <t>2022-12-07</t>
  </si>
  <si>
    <t>CUST5283</t>
  </si>
  <si>
    <t>CUST5284</t>
  </si>
  <si>
    <t>CUST5285</t>
  </si>
  <si>
    <t>2024-05-23</t>
  </si>
  <si>
    <t>CUST5286</t>
  </si>
  <si>
    <t>2023-12-05</t>
  </si>
  <si>
    <t>CUST5287</t>
  </si>
  <si>
    <t>2022-11-12</t>
  </si>
  <si>
    <t>2025-01-05</t>
  </si>
  <si>
    <t>CUST5288</t>
  </si>
  <si>
    <t>2022-04-20</t>
  </si>
  <si>
    <t>2023-12-31</t>
  </si>
  <si>
    <t>CUST5289</t>
  </si>
  <si>
    <t>2022-09-22</t>
  </si>
  <si>
    <t>CUST5290</t>
  </si>
  <si>
    <t>2022-05-12</t>
  </si>
  <si>
    <t>CUST5291</t>
  </si>
  <si>
    <t>2022-10-23</t>
  </si>
  <si>
    <t>CUST5292</t>
  </si>
  <si>
    <t>CUST5293</t>
  </si>
  <si>
    <t>2022-12-17</t>
  </si>
  <si>
    <t>2025-03-29</t>
  </si>
  <si>
    <t>CUST5294</t>
  </si>
  <si>
    <t>CUST5295</t>
  </si>
  <si>
    <t>2024-01-05</t>
  </si>
  <si>
    <t>CUST5296</t>
  </si>
  <si>
    <t>2022-08-21</t>
  </si>
  <si>
    <t>CUST5297</t>
  </si>
  <si>
    <t>CUST5298</t>
  </si>
  <si>
    <t>CUST5299</t>
  </si>
  <si>
    <t>Create a pivot table to show total Monthly_Fee collected by Country and Plan_Type.</t>
  </si>
  <si>
    <t>Use slicers to filter active users and analyze by Age_Group.</t>
  </si>
  <si>
    <t>Create a bar chart showing Support_Tickets_Last_6M by Plan_Type.</t>
  </si>
  <si>
    <t>Create a line chart to show signup trend over time (by month).</t>
  </si>
  <si>
    <t>Which Referral_Source brought in most active users? Use filtering.</t>
  </si>
  <si>
    <t>Group Signup_Date into quarters and plot signup count trend.</t>
  </si>
  <si>
    <t>Use a pivot table to find churn count by Age_Group and Country.</t>
  </si>
  <si>
    <t>Highlight customers paying over ₹700/month using conditional formatting.</t>
  </si>
  <si>
    <t>Sort to find top 10 countries by number of Premium subscribers.</t>
  </si>
  <si>
    <t>Create a combo chart for Monthly_Fee vs Support_Tickets_Last_6M.</t>
  </si>
  <si>
    <t>Stock_Value</t>
  </si>
  <si>
    <t>[@[Stock_Level]]*[@[Unit_Cost]]</t>
  </si>
  <si>
    <t>Below_Reorder</t>
  </si>
  <si>
    <t>COUNTIFS(C:C,"Electronics",L:L,1)</t>
  </si>
  <si>
    <t>AVERAGEIFS(F2:F301,C2:C301,"Clothing",I2:I301,"Vendor_A")</t>
  </si>
  <si>
    <t>IF(D2&lt;E2,"Restock Needed","Sufficient Stock")</t>
  </si>
  <si>
    <t>VLOOKUP(U28,Table1[[Item_Code]:[Lead_Time_Days]],8,0)</t>
  </si>
  <si>
    <t>INDEX(Table1[Supplier],MATCH(U28,Table1[Item_Code]))</t>
  </si>
  <si>
    <t>Last_Stocked</t>
  </si>
  <si>
    <t>SUMPRODUCT((YEAR(J2:J301)=2024)*1)</t>
  </si>
  <si>
    <t>DAYS(TODAY(),J2)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</si>
</sst>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92BC8-D729-45E3-9E9D-4C154DC859AF}" name="Table1" displayName="Table1" ref="A1:M301" totalsRowShown="0" headerRowDxfId="8" headerRowBorderDxfId="7" tableBorderDxfId="6">
  <autoFilter ref="A1:M301" xr:uid="{4B192BC8-D729-45E3-9E9D-4C154DC859AF}"/>
  <tableColumns count="13">
    <tableColumn id="1" xr3:uid="{D66535E3-DE84-4384-99D5-CDD138638302}" name="Item_Code"/>
    <tableColumn id="2" xr3:uid="{D1CD1589-435F-4679-B87D-2AED0D59DAD0}" name="Warehouse"/>
    <tableColumn id="3" xr3:uid="{60C9EC52-36DE-4E7C-8AAA-77718DECB573}" name="Product_Category"/>
    <tableColumn id="4" xr3:uid="{105AAFAE-CA2E-42F2-91F2-66598EF73F16}" name="Stock_Level"/>
    <tableColumn id="5" xr3:uid="{80875CE7-E144-4B41-B57F-0326951FA67A}" name="Reorder_Threshold"/>
    <tableColumn id="6" xr3:uid="{45A062FA-6C11-4CBA-A2DF-9A2818E7ED84}" name="Unit_Cost"/>
    <tableColumn id="7" xr3:uid="{591C0F59-ECA3-4081-AEC5-76BC8013BF86}" name="Units_Sold_Last_Month"/>
    <tableColumn id="8" xr3:uid="{01A008F6-FFFD-4073-8406-8C5418636778}" name="Lead_Time_Days"/>
    <tableColumn id="9" xr3:uid="{6CD739AB-3465-498A-8646-4F8D934A5A39}" name="Supplier"/>
    <tableColumn id="10" xr3:uid="{66C1C380-F5F0-4800-A752-4AB37A96BABD}" name="Last_Stocked_Date"/>
    <tableColumn id="11" xr3:uid="{662B8551-F10C-4E1B-B392-DD1936BC45A5}" name="Stock_Value" dataDxfId="5">
      <calculatedColumnFormula>Table1[[#This Row],[Stock_Level]]*Table1[[#This Row],[Unit_Cost]]</calculatedColumnFormula>
    </tableColumn>
    <tableColumn id="12" xr3:uid="{6DADDA6F-3DAB-4527-90AE-6AA4D7A606A5}" name="Below_Reorder" dataDxfId="1">
      <calculatedColumnFormula>IF(D2&lt;E2,1,0)</calculatedColumnFormula>
    </tableColumn>
    <tableColumn id="13" xr3:uid="{2DFA9AC4-8989-4A65-8AB7-39ABE3AFFA51}" name="Last_Stocked" dataDxfId="0">
      <calculatedColumnFormula>_xlfn.DAYS(TODAY(),Table1[[#This Row],[Last_Stocked_Date]])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479115-1B89-46FC-A18F-8B8B93C7C71E}" name="Table2" displayName="Table2" ref="A1:J301" totalsRowShown="0" headerRowDxfId="2" headerRowBorderDxfId="3" tableBorderDxfId="4">
  <autoFilter ref="A1:J301" xr:uid="{E7479115-1B89-46FC-A18F-8B8B93C7C71E}"/>
  <tableColumns count="10">
    <tableColumn id="1" xr3:uid="{B116EAC6-5143-4B89-97E7-7830454C65AE}" name="Customer_ID"/>
    <tableColumn id="2" xr3:uid="{8526EA89-7436-4785-9789-C6B69B34AE95}" name="Plan_Type"/>
    <tableColumn id="3" xr3:uid="{BD3A37B8-5764-4518-907A-D2C1C083D64F}" name="Signup_Date"/>
    <tableColumn id="4" xr3:uid="{CAB7A6C6-9716-4D14-9139-D8A20A26A89F}" name="Monthly_Fee"/>
    <tableColumn id="5" xr3:uid="{E0A00814-D1B0-4CD3-BE04-F4EDD4BEF037}" name="Country"/>
    <tableColumn id="6" xr3:uid="{07EB1D05-49C7-432F-A9E5-AD2DF132267D}" name="Age_Group"/>
    <tableColumn id="7" xr3:uid="{0B7E9FD8-AFD4-4A81-9C06-4899A054E188}" name="Is_Active"/>
    <tableColumn id="8" xr3:uid="{371AAD8A-F9B6-4E0C-9E53-9924FC3E8DF2}" name="Churn_Date"/>
    <tableColumn id="9" xr3:uid="{0A6749C6-B31F-4890-9B00-398B3DEB4106}" name="Support_Tickets_Last_6M"/>
    <tableColumn id="10" xr3:uid="{604ED55B-3047-4F11-9ADD-395DEC485AB2}" name="Referral_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H10" sqref="H10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1"/>
  <sheetViews>
    <sheetView topLeftCell="G42" workbookViewId="0">
      <selection activeCell="S50" sqref="S50"/>
    </sheetView>
  </sheetViews>
  <sheetFormatPr defaultRowHeight="14.25" x14ac:dyDescent="0.45"/>
  <cols>
    <col min="1" max="1" width="11.46484375" customWidth="1"/>
    <col min="2" max="2" width="11.9296875" customWidth="1"/>
    <col min="3" max="3" width="17.06640625" customWidth="1"/>
    <col min="4" max="4" width="12.1328125" customWidth="1"/>
    <col min="5" max="5" width="18.19921875" customWidth="1"/>
    <col min="6" max="6" width="10.53125" customWidth="1"/>
    <col min="7" max="7" width="21.9296875" customWidth="1"/>
    <col min="8" max="8" width="16.1328125" customWidth="1"/>
    <col min="9" max="9" width="9.33203125" customWidth="1"/>
    <col min="10" max="10" width="17.9296875" customWidth="1"/>
    <col min="12" max="12" width="17.73046875" bestFit="1" customWidth="1"/>
    <col min="13" max="13" width="17.73046875" customWidth="1"/>
  </cols>
  <sheetData>
    <row r="1" spans="1:28" x14ac:dyDescent="0.4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970</v>
      </c>
      <c r="L1" s="4" t="s">
        <v>972</v>
      </c>
      <c r="M1" s="4" t="s">
        <v>978</v>
      </c>
    </row>
    <row r="2" spans="1:28" x14ac:dyDescent="0.45">
      <c r="A2" t="s">
        <v>14</v>
      </c>
      <c r="B2" t="s">
        <v>15</v>
      </c>
      <c r="C2" t="s">
        <v>16</v>
      </c>
      <c r="D2">
        <v>192</v>
      </c>
      <c r="E2">
        <v>132</v>
      </c>
      <c r="F2">
        <v>128.63999999999999</v>
      </c>
      <c r="G2">
        <v>192</v>
      </c>
      <c r="H2">
        <v>15</v>
      </c>
      <c r="I2" t="s">
        <v>17</v>
      </c>
      <c r="J2" s="5">
        <v>44946</v>
      </c>
      <c r="K2">
        <f>Table1[[#This Row],[Stock_Level]]*Table1[[#This Row],[Unit_Cost]]</f>
        <v>24698.879999999997</v>
      </c>
      <c r="L2">
        <f t="shared" ref="L2:L65" si="0">IF(D2&lt;E2,1,0)</f>
        <v>0</v>
      </c>
      <c r="M2" s="7">
        <f ca="1">_xlfn.DAYS(TODAY(),Table1[[#This Row],[Last_Stocked_Date]])</f>
        <v>1134</v>
      </c>
    </row>
    <row r="3" spans="1:28" x14ac:dyDescent="0.45">
      <c r="A3" t="s">
        <v>18</v>
      </c>
      <c r="B3" t="s">
        <v>19</v>
      </c>
      <c r="C3" t="s">
        <v>20</v>
      </c>
      <c r="D3">
        <v>50</v>
      </c>
      <c r="E3">
        <v>111</v>
      </c>
      <c r="F3">
        <v>328.81</v>
      </c>
      <c r="G3">
        <v>30</v>
      </c>
      <c r="H3">
        <v>13</v>
      </c>
      <c r="I3" t="s">
        <v>21</v>
      </c>
      <c r="J3" s="5">
        <v>44947</v>
      </c>
      <c r="K3">
        <f>Table1[[#This Row],[Stock_Level]]*Table1[[#This Row],[Unit_Cost]]</f>
        <v>16440.5</v>
      </c>
      <c r="L3">
        <f t="shared" si="0"/>
        <v>1</v>
      </c>
      <c r="M3" s="7">
        <f ca="1">_xlfn.DAYS(TODAY(),Table1[[#This Row],[Last_Stocked_Date]])</f>
        <v>1133</v>
      </c>
    </row>
    <row r="4" spans="1:28" x14ac:dyDescent="0.45">
      <c r="A4" t="s">
        <v>23</v>
      </c>
      <c r="B4" t="s">
        <v>24</v>
      </c>
      <c r="C4" t="s">
        <v>25</v>
      </c>
      <c r="D4">
        <v>426</v>
      </c>
      <c r="E4">
        <v>65</v>
      </c>
      <c r="F4">
        <v>311.52</v>
      </c>
      <c r="G4">
        <v>157</v>
      </c>
      <c r="H4">
        <v>18</v>
      </c>
      <c r="I4" t="s">
        <v>26</v>
      </c>
      <c r="J4" s="5">
        <v>44948</v>
      </c>
      <c r="K4">
        <f>Table1[[#This Row],[Stock_Level]]*Table1[[#This Row],[Unit_Cost]]</f>
        <v>132707.51999999999</v>
      </c>
      <c r="L4">
        <f t="shared" si="0"/>
        <v>0</v>
      </c>
      <c r="M4" s="7">
        <f ca="1">_xlfn.DAYS(TODAY(),Table1[[#This Row],[Last_Stocked_Date]])</f>
        <v>1132</v>
      </c>
    </row>
    <row r="5" spans="1:28" x14ac:dyDescent="0.45">
      <c r="A5" t="s">
        <v>27</v>
      </c>
      <c r="B5" t="s">
        <v>15</v>
      </c>
      <c r="C5" t="s">
        <v>25</v>
      </c>
      <c r="D5">
        <v>374</v>
      </c>
      <c r="E5">
        <v>137</v>
      </c>
      <c r="F5">
        <v>169.39</v>
      </c>
      <c r="G5">
        <v>111</v>
      </c>
      <c r="H5">
        <v>13</v>
      </c>
      <c r="I5" t="s">
        <v>21</v>
      </c>
      <c r="J5" s="5">
        <v>44949</v>
      </c>
      <c r="K5">
        <f>Table1[[#This Row],[Stock_Level]]*Table1[[#This Row],[Unit_Cost]]</f>
        <v>63351.859999999993</v>
      </c>
      <c r="L5">
        <f t="shared" si="0"/>
        <v>0</v>
      </c>
      <c r="M5" s="7">
        <f ca="1">_xlfn.DAYS(TODAY(),Table1[[#This Row],[Last_Stocked_Date]])</f>
        <v>1131</v>
      </c>
    </row>
    <row r="6" spans="1:28" x14ac:dyDescent="0.45">
      <c r="A6" t="s">
        <v>28</v>
      </c>
      <c r="B6" t="s">
        <v>29</v>
      </c>
      <c r="C6" t="s">
        <v>16</v>
      </c>
      <c r="D6">
        <v>213</v>
      </c>
      <c r="E6">
        <v>117</v>
      </c>
      <c r="F6">
        <v>464.41</v>
      </c>
      <c r="G6">
        <v>145</v>
      </c>
      <c r="H6">
        <v>27</v>
      </c>
      <c r="I6" t="s">
        <v>17</v>
      </c>
      <c r="J6" s="5">
        <v>44950</v>
      </c>
      <c r="K6">
        <f>Table1[[#This Row],[Stock_Level]]*Table1[[#This Row],[Unit_Cost]]</f>
        <v>98919.33</v>
      </c>
      <c r="L6">
        <f t="shared" si="0"/>
        <v>0</v>
      </c>
      <c r="M6" s="7">
        <f ca="1">_xlfn.DAYS(TODAY(),Table1[[#This Row],[Last_Stocked_Date]])</f>
        <v>1130</v>
      </c>
      <c r="N6">
        <v>1</v>
      </c>
      <c r="O6" t="s">
        <v>377</v>
      </c>
    </row>
    <row r="7" spans="1:28" x14ac:dyDescent="0.45">
      <c r="A7" t="s">
        <v>30</v>
      </c>
      <c r="B7" t="s">
        <v>29</v>
      </c>
      <c r="C7" t="s">
        <v>25</v>
      </c>
      <c r="D7">
        <v>150</v>
      </c>
      <c r="E7">
        <v>64</v>
      </c>
      <c r="F7">
        <v>423.21</v>
      </c>
      <c r="G7">
        <v>121</v>
      </c>
      <c r="H7">
        <v>13</v>
      </c>
      <c r="I7" t="s">
        <v>17</v>
      </c>
      <c r="J7" s="5">
        <v>44951</v>
      </c>
      <c r="K7">
        <f>Table1[[#This Row],[Stock_Level]]*Table1[[#This Row],[Unit_Cost]]</f>
        <v>63481.5</v>
      </c>
      <c r="L7">
        <f t="shared" si="0"/>
        <v>0</v>
      </c>
      <c r="M7" s="7">
        <f ca="1">_xlfn.DAYS(TODAY(),Table1[[#This Row],[Last_Stocked_Date]])</f>
        <v>1129</v>
      </c>
    </row>
    <row r="8" spans="1:28" x14ac:dyDescent="0.45">
      <c r="A8" t="s">
        <v>31</v>
      </c>
      <c r="B8" t="s">
        <v>19</v>
      </c>
      <c r="C8" t="s">
        <v>32</v>
      </c>
      <c r="D8">
        <v>439</v>
      </c>
      <c r="E8">
        <v>138</v>
      </c>
      <c r="F8">
        <v>115.87</v>
      </c>
      <c r="G8">
        <v>16</v>
      </c>
      <c r="H8">
        <v>2</v>
      </c>
      <c r="I8" t="s">
        <v>21</v>
      </c>
      <c r="J8" s="5">
        <v>44952</v>
      </c>
      <c r="K8">
        <f>Table1[[#This Row],[Stock_Level]]*Table1[[#This Row],[Unit_Cost]]</f>
        <v>50866.93</v>
      </c>
      <c r="L8">
        <f t="shared" si="0"/>
        <v>0</v>
      </c>
      <c r="M8" s="7">
        <f ca="1">_xlfn.DAYS(TODAY(),Table1[[#This Row],[Last_Stocked_Date]])</f>
        <v>1128</v>
      </c>
      <c r="Q8" t="s">
        <v>971</v>
      </c>
    </row>
    <row r="9" spans="1:28" x14ac:dyDescent="0.45">
      <c r="A9" t="s">
        <v>33</v>
      </c>
      <c r="B9" t="s">
        <v>24</v>
      </c>
      <c r="C9" t="s">
        <v>32</v>
      </c>
      <c r="D9">
        <v>274</v>
      </c>
      <c r="E9">
        <v>104</v>
      </c>
      <c r="F9">
        <v>123.38</v>
      </c>
      <c r="G9">
        <v>37</v>
      </c>
      <c r="H9">
        <v>14</v>
      </c>
      <c r="I9" t="s">
        <v>17</v>
      </c>
      <c r="J9" s="5">
        <v>44953</v>
      </c>
      <c r="K9">
        <f>Table1[[#This Row],[Stock_Level]]*Table1[[#This Row],[Unit_Cost]]</f>
        <v>33806.119999999995</v>
      </c>
      <c r="L9">
        <f t="shared" si="0"/>
        <v>0</v>
      </c>
      <c r="M9" s="7">
        <f ca="1">_xlfn.DAYS(TODAY(),Table1[[#This Row],[Last_Stocked_Date]])</f>
        <v>1127</v>
      </c>
    </row>
    <row r="10" spans="1:28" x14ac:dyDescent="0.45">
      <c r="A10" t="s">
        <v>34</v>
      </c>
      <c r="B10" t="s">
        <v>19</v>
      </c>
      <c r="C10" t="s">
        <v>32</v>
      </c>
      <c r="D10">
        <v>337</v>
      </c>
      <c r="E10">
        <v>84</v>
      </c>
      <c r="F10">
        <v>258.58999999999997</v>
      </c>
      <c r="G10">
        <v>141</v>
      </c>
      <c r="H10">
        <v>15</v>
      </c>
      <c r="I10" t="s">
        <v>26</v>
      </c>
      <c r="J10" s="5">
        <v>44954</v>
      </c>
      <c r="K10">
        <f>Table1[[#This Row],[Stock_Level]]*Table1[[#This Row],[Unit_Cost]]</f>
        <v>87144.829999999987</v>
      </c>
      <c r="L10">
        <f t="shared" si="0"/>
        <v>0</v>
      </c>
      <c r="M10" s="7">
        <f ca="1">_xlfn.DAYS(TODAY(),Table1[[#This Row],[Last_Stocked_Date]])</f>
        <v>1126</v>
      </c>
    </row>
    <row r="11" spans="1:28" x14ac:dyDescent="0.45">
      <c r="A11" t="s">
        <v>35</v>
      </c>
      <c r="B11" t="s">
        <v>24</v>
      </c>
      <c r="C11" t="s">
        <v>32</v>
      </c>
      <c r="D11">
        <v>75</v>
      </c>
      <c r="E11">
        <v>104</v>
      </c>
      <c r="F11">
        <v>387.92</v>
      </c>
      <c r="G11">
        <v>109</v>
      </c>
      <c r="H11">
        <v>25</v>
      </c>
      <c r="I11" t="s">
        <v>21</v>
      </c>
      <c r="J11" s="5">
        <v>44955</v>
      </c>
      <c r="K11">
        <f>Table1[[#This Row],[Stock_Level]]*Table1[[#This Row],[Unit_Cost]]</f>
        <v>29094</v>
      </c>
      <c r="L11">
        <f t="shared" si="0"/>
        <v>1</v>
      </c>
      <c r="M11" s="7">
        <f ca="1">_xlfn.DAYS(TODAY(),Table1[[#This Row],[Last_Stocked_Date]])</f>
        <v>1125</v>
      </c>
      <c r="N11">
        <v>2</v>
      </c>
      <c r="O11" t="s">
        <v>378</v>
      </c>
      <c r="AA11" s="1" t="s">
        <v>0</v>
      </c>
      <c r="AB11" s="1" t="s">
        <v>1</v>
      </c>
    </row>
    <row r="12" spans="1:28" x14ac:dyDescent="0.45">
      <c r="A12" t="s">
        <v>37</v>
      </c>
      <c r="B12" t="s">
        <v>24</v>
      </c>
      <c r="C12" t="s">
        <v>32</v>
      </c>
      <c r="D12">
        <v>438</v>
      </c>
      <c r="E12">
        <v>63</v>
      </c>
      <c r="F12">
        <v>26.8</v>
      </c>
      <c r="G12">
        <v>183</v>
      </c>
      <c r="H12">
        <v>3</v>
      </c>
      <c r="I12" t="s">
        <v>26</v>
      </c>
      <c r="J12" s="5">
        <v>44956</v>
      </c>
      <c r="K12">
        <f>Table1[[#This Row],[Stock_Level]]*Table1[[#This Row],[Unit_Cost]]</f>
        <v>11738.4</v>
      </c>
      <c r="L12">
        <f t="shared" si="0"/>
        <v>0</v>
      </c>
      <c r="M12" s="7">
        <f ca="1">_xlfn.DAYS(TODAY(),Table1[[#This Row],[Last_Stocked_Date]])</f>
        <v>1124</v>
      </c>
      <c r="AA12">
        <v>1</v>
      </c>
      <c r="AB12" t="s">
        <v>377</v>
      </c>
    </row>
    <row r="13" spans="1:28" x14ac:dyDescent="0.45">
      <c r="A13" t="s">
        <v>38</v>
      </c>
      <c r="B13" t="s">
        <v>19</v>
      </c>
      <c r="C13" t="s">
        <v>25</v>
      </c>
      <c r="D13">
        <v>219</v>
      </c>
      <c r="E13">
        <v>98</v>
      </c>
      <c r="F13">
        <v>348.2</v>
      </c>
      <c r="G13">
        <v>21</v>
      </c>
      <c r="H13">
        <v>13</v>
      </c>
      <c r="I13" t="s">
        <v>26</v>
      </c>
      <c r="J13" s="5">
        <v>44957</v>
      </c>
      <c r="K13">
        <f>Table1[[#This Row],[Stock_Level]]*Table1[[#This Row],[Unit_Cost]]</f>
        <v>76255.8</v>
      </c>
      <c r="L13">
        <f t="shared" si="0"/>
        <v>0</v>
      </c>
      <c r="M13" s="7">
        <f ca="1">_xlfn.DAYS(TODAY(),Table1[[#This Row],[Last_Stocked_Date]])</f>
        <v>1123</v>
      </c>
      <c r="P13">
        <f>COUNTIFS(C:C,"Electronics",L:L,1)</f>
        <v>13</v>
      </c>
      <c r="R13" t="s">
        <v>973</v>
      </c>
    </row>
    <row r="14" spans="1:28" x14ac:dyDescent="0.45">
      <c r="A14" t="s">
        <v>40</v>
      </c>
      <c r="B14" t="s">
        <v>15</v>
      </c>
      <c r="C14" t="s">
        <v>16</v>
      </c>
      <c r="D14">
        <v>347</v>
      </c>
      <c r="E14">
        <v>132</v>
      </c>
      <c r="F14">
        <v>325.88</v>
      </c>
      <c r="G14">
        <v>194</v>
      </c>
      <c r="H14">
        <v>27</v>
      </c>
      <c r="I14" t="s">
        <v>26</v>
      </c>
      <c r="J14" s="5">
        <v>44958</v>
      </c>
      <c r="K14">
        <f>Table1[[#This Row],[Stock_Level]]*Table1[[#This Row],[Unit_Cost]]</f>
        <v>113080.36</v>
      </c>
      <c r="L14">
        <f t="shared" si="0"/>
        <v>0</v>
      </c>
      <c r="M14" s="7">
        <f ca="1">_xlfn.DAYS(TODAY(),Table1[[#This Row],[Last_Stocked_Date]])</f>
        <v>1122</v>
      </c>
      <c r="AA14">
        <v>3</v>
      </c>
      <c r="AB14" t="s">
        <v>379</v>
      </c>
    </row>
    <row r="15" spans="1:28" x14ac:dyDescent="0.45">
      <c r="A15" t="s">
        <v>41</v>
      </c>
      <c r="B15" t="s">
        <v>19</v>
      </c>
      <c r="C15" t="s">
        <v>16</v>
      </c>
      <c r="D15">
        <v>443</v>
      </c>
      <c r="E15">
        <v>149</v>
      </c>
      <c r="F15">
        <v>119.58</v>
      </c>
      <c r="G15">
        <v>55</v>
      </c>
      <c r="H15">
        <v>22</v>
      </c>
      <c r="I15" t="s">
        <v>21</v>
      </c>
      <c r="J15" s="5">
        <v>44959</v>
      </c>
      <c r="K15">
        <f>Table1[[#This Row],[Stock_Level]]*Table1[[#This Row],[Unit_Cost]]</f>
        <v>52973.94</v>
      </c>
      <c r="L15">
        <f t="shared" si="0"/>
        <v>0</v>
      </c>
      <c r="M15" s="7">
        <f ca="1">_xlfn.DAYS(TODAY(),Table1[[#This Row],[Last_Stocked_Date]])</f>
        <v>1121</v>
      </c>
      <c r="N15">
        <v>3</v>
      </c>
      <c r="O15" t="s">
        <v>379</v>
      </c>
    </row>
    <row r="16" spans="1:28" x14ac:dyDescent="0.45">
      <c r="A16" t="s">
        <v>42</v>
      </c>
      <c r="B16" t="s">
        <v>19</v>
      </c>
      <c r="C16" t="s">
        <v>32</v>
      </c>
      <c r="D16">
        <v>186</v>
      </c>
      <c r="E16">
        <v>56</v>
      </c>
      <c r="F16">
        <v>342.27</v>
      </c>
      <c r="G16">
        <v>118</v>
      </c>
      <c r="K16">
        <f>Table1[[#This Row],[Stock_Level]]*Table1[[#This Row],[Unit_Cost]]</f>
        <v>63662.219999999994</v>
      </c>
      <c r="L16">
        <f t="shared" si="0"/>
        <v>0</v>
      </c>
      <c r="M16" s="7">
        <f ca="1">_xlfn.DAYS(TODAY(),Table1[[#This Row],[Last_Stocked_Date]])</f>
        <v>46080</v>
      </c>
    </row>
    <row r="17" spans="1:28" x14ac:dyDescent="0.45">
      <c r="A17" t="s">
        <v>43</v>
      </c>
      <c r="B17" t="s">
        <v>29</v>
      </c>
      <c r="C17" t="s">
        <v>25</v>
      </c>
      <c r="D17">
        <v>288</v>
      </c>
      <c r="E17">
        <v>79</v>
      </c>
      <c r="F17">
        <v>470.39</v>
      </c>
      <c r="G17">
        <v>146</v>
      </c>
      <c r="H17">
        <v>17</v>
      </c>
      <c r="I17" t="s">
        <v>26</v>
      </c>
      <c r="J17" s="6">
        <v>45310</v>
      </c>
      <c r="K17">
        <f>Table1[[#This Row],[Stock_Level]]*Table1[[#This Row],[Unit_Cost]]</f>
        <v>135472.32000000001</v>
      </c>
      <c r="L17">
        <f t="shared" si="0"/>
        <v>0</v>
      </c>
      <c r="M17" s="7">
        <f ca="1">_xlfn.DAYS(TODAY(),Table1[[#This Row],[Last_Stocked_Date]])</f>
        <v>770</v>
      </c>
      <c r="P17">
        <f>SUMIFS(G2:G301,B2:B301,"WH-East",I2:I301,"Vendor_A")</f>
        <v>1987</v>
      </c>
      <c r="R17">
        <f>SUMIFS(G2:G301,B2:B301,"WH-East",I2:I301,"Vendor_A")</f>
        <v>1987</v>
      </c>
    </row>
    <row r="18" spans="1:28" x14ac:dyDescent="0.45">
      <c r="A18" t="s">
        <v>44</v>
      </c>
      <c r="B18" t="s">
        <v>29</v>
      </c>
      <c r="C18" t="s">
        <v>20</v>
      </c>
      <c r="D18">
        <v>402</v>
      </c>
      <c r="E18">
        <v>132</v>
      </c>
      <c r="F18">
        <v>28.16</v>
      </c>
      <c r="G18">
        <v>56</v>
      </c>
      <c r="H18">
        <v>5</v>
      </c>
      <c r="I18" t="s">
        <v>26</v>
      </c>
      <c r="J18" s="6">
        <v>45311</v>
      </c>
      <c r="K18">
        <f>Table1[[#This Row],[Stock_Level]]*Table1[[#This Row],[Unit_Cost]]</f>
        <v>11320.32</v>
      </c>
      <c r="L18">
        <f t="shared" si="0"/>
        <v>0</v>
      </c>
      <c r="M18" s="7">
        <f ca="1">_xlfn.DAYS(TODAY(),Table1[[#This Row],[Last_Stocked_Date]])</f>
        <v>769</v>
      </c>
    </row>
    <row r="19" spans="1:28" x14ac:dyDescent="0.45">
      <c r="A19" t="s">
        <v>45</v>
      </c>
      <c r="B19" t="s">
        <v>19</v>
      </c>
      <c r="C19" t="s">
        <v>20</v>
      </c>
      <c r="D19">
        <v>27</v>
      </c>
      <c r="E19">
        <v>98</v>
      </c>
      <c r="F19">
        <v>163.22999999999999</v>
      </c>
      <c r="G19">
        <v>171</v>
      </c>
      <c r="H19">
        <v>9</v>
      </c>
      <c r="I19" t="s">
        <v>26</v>
      </c>
      <c r="J19" s="6">
        <v>45312</v>
      </c>
      <c r="K19">
        <f>Table1[[#This Row],[Stock_Level]]*Table1[[#This Row],[Unit_Cost]]</f>
        <v>4407.21</v>
      </c>
      <c r="L19">
        <f t="shared" si="0"/>
        <v>1</v>
      </c>
      <c r="M19" s="7">
        <f ca="1">_xlfn.DAYS(TODAY(),Table1[[#This Row],[Last_Stocked_Date]])</f>
        <v>768</v>
      </c>
      <c r="N19">
        <v>4</v>
      </c>
      <c r="O19" t="s">
        <v>380</v>
      </c>
    </row>
    <row r="20" spans="1:28" x14ac:dyDescent="0.45">
      <c r="A20" t="s">
        <v>46</v>
      </c>
      <c r="B20" t="s">
        <v>19</v>
      </c>
      <c r="C20" t="s">
        <v>25</v>
      </c>
      <c r="D20">
        <v>378</v>
      </c>
      <c r="E20">
        <v>138</v>
      </c>
      <c r="F20">
        <v>221.9</v>
      </c>
      <c r="G20">
        <v>34</v>
      </c>
      <c r="H20">
        <v>3</v>
      </c>
      <c r="I20" t="s">
        <v>17</v>
      </c>
      <c r="J20" s="6">
        <v>45313</v>
      </c>
      <c r="K20">
        <f>Table1[[#This Row],[Stock_Level]]*Table1[[#This Row],[Unit_Cost]]</f>
        <v>83878.2</v>
      </c>
      <c r="L20">
        <f t="shared" si="0"/>
        <v>0</v>
      </c>
      <c r="M20" s="7">
        <f ca="1">_xlfn.DAYS(TODAY(),Table1[[#This Row],[Last_Stocked_Date]])</f>
        <v>767</v>
      </c>
    </row>
    <row r="21" spans="1:28" x14ac:dyDescent="0.45">
      <c r="A21" t="s">
        <v>47</v>
      </c>
      <c r="B21" t="s">
        <v>29</v>
      </c>
      <c r="C21" t="s">
        <v>32</v>
      </c>
      <c r="D21">
        <v>179</v>
      </c>
      <c r="E21">
        <v>65</v>
      </c>
      <c r="F21">
        <v>450.13</v>
      </c>
      <c r="G21">
        <v>113</v>
      </c>
      <c r="H21">
        <v>11</v>
      </c>
      <c r="I21" t="s">
        <v>17</v>
      </c>
      <c r="J21" s="6">
        <v>45314</v>
      </c>
      <c r="K21">
        <f>Table1[[#This Row],[Stock_Level]]*Table1[[#This Row],[Unit_Cost]]</f>
        <v>80573.27</v>
      </c>
      <c r="L21">
        <f t="shared" si="0"/>
        <v>0</v>
      </c>
      <c r="M21" s="7">
        <f ca="1">_xlfn.DAYS(TODAY(),Table1[[#This Row],[Last_Stocked_Date]])</f>
        <v>766</v>
      </c>
      <c r="P21">
        <f>AVERAGEIFS(F2:F301,C2:C301,"Clothing",I2:I301,"Vendor_A")</f>
        <v>221.48333333333332</v>
      </c>
      <c r="R21" t="s">
        <v>974</v>
      </c>
      <c r="AA21">
        <v>10</v>
      </c>
      <c r="AB21" t="s">
        <v>386</v>
      </c>
    </row>
    <row r="22" spans="1:28" x14ac:dyDescent="0.45">
      <c r="A22" t="s">
        <v>48</v>
      </c>
      <c r="B22" t="s">
        <v>24</v>
      </c>
      <c r="C22" t="s">
        <v>16</v>
      </c>
      <c r="D22">
        <v>252</v>
      </c>
      <c r="E22">
        <v>100</v>
      </c>
      <c r="F22">
        <v>481.32</v>
      </c>
      <c r="G22">
        <v>124</v>
      </c>
      <c r="H22">
        <v>10</v>
      </c>
      <c r="I22" t="s">
        <v>21</v>
      </c>
      <c r="J22" s="6">
        <v>45315</v>
      </c>
      <c r="K22">
        <f>Table1[[#This Row],[Stock_Level]]*Table1[[#This Row],[Unit_Cost]]</f>
        <v>121292.64</v>
      </c>
      <c r="L22">
        <f t="shared" si="0"/>
        <v>0</v>
      </c>
      <c r="M22" s="7">
        <f ca="1">_xlfn.DAYS(TODAY(),Table1[[#This Row],[Last_Stocked_Date]])</f>
        <v>765</v>
      </c>
    </row>
    <row r="23" spans="1:28" x14ac:dyDescent="0.45">
      <c r="A23" t="s">
        <v>49</v>
      </c>
      <c r="B23" t="s">
        <v>19</v>
      </c>
      <c r="C23" t="s">
        <v>25</v>
      </c>
      <c r="D23">
        <v>125</v>
      </c>
      <c r="E23">
        <v>121</v>
      </c>
      <c r="F23">
        <v>224.84</v>
      </c>
      <c r="G23">
        <v>128</v>
      </c>
      <c r="H23">
        <v>24</v>
      </c>
      <c r="I23" t="s">
        <v>17</v>
      </c>
      <c r="J23" s="6">
        <v>45316</v>
      </c>
      <c r="K23">
        <f>Table1[[#This Row],[Stock_Level]]*Table1[[#This Row],[Unit_Cost]]</f>
        <v>28105</v>
      </c>
      <c r="L23">
        <f t="shared" si="0"/>
        <v>0</v>
      </c>
      <c r="M23" s="7">
        <f ca="1">_xlfn.DAYS(TODAY(),Table1[[#This Row],[Last_Stocked_Date]])</f>
        <v>764</v>
      </c>
      <c r="N23">
        <v>5</v>
      </c>
      <c r="O23" t="s">
        <v>381</v>
      </c>
    </row>
    <row r="24" spans="1:28" x14ac:dyDescent="0.45">
      <c r="A24" t="s">
        <v>50</v>
      </c>
      <c r="B24" t="s">
        <v>15</v>
      </c>
      <c r="C24" t="s">
        <v>20</v>
      </c>
      <c r="D24">
        <v>176</v>
      </c>
      <c r="E24">
        <v>131</v>
      </c>
      <c r="F24">
        <v>376.26</v>
      </c>
      <c r="G24">
        <v>51</v>
      </c>
      <c r="H24">
        <v>16</v>
      </c>
      <c r="I24" t="s">
        <v>21</v>
      </c>
      <c r="J24" s="6">
        <v>45317</v>
      </c>
      <c r="K24">
        <f>Table1[[#This Row],[Stock_Level]]*Table1[[#This Row],[Unit_Cost]]</f>
        <v>66221.759999999995</v>
      </c>
      <c r="L24">
        <f t="shared" si="0"/>
        <v>0</v>
      </c>
      <c r="M24" s="7">
        <f ca="1">_xlfn.DAYS(TODAY(),Table1[[#This Row],[Last_Stocked_Date]])</f>
        <v>763</v>
      </c>
    </row>
    <row r="25" spans="1:28" x14ac:dyDescent="0.45">
      <c r="A25" t="s">
        <v>51</v>
      </c>
      <c r="B25" t="s">
        <v>15</v>
      </c>
      <c r="C25" t="s">
        <v>20</v>
      </c>
      <c r="D25">
        <v>36</v>
      </c>
      <c r="E25">
        <v>141</v>
      </c>
      <c r="F25">
        <v>268.17</v>
      </c>
      <c r="G25">
        <v>84</v>
      </c>
      <c r="H25">
        <v>14</v>
      </c>
      <c r="I25" t="s">
        <v>21</v>
      </c>
      <c r="J25" s="6">
        <v>45318</v>
      </c>
      <c r="K25">
        <f>Table1[[#This Row],[Stock_Level]]*Table1[[#This Row],[Unit_Cost]]</f>
        <v>9654.1200000000008</v>
      </c>
      <c r="L25">
        <f t="shared" si="0"/>
        <v>1</v>
      </c>
      <c r="M25" s="7">
        <f ca="1">_xlfn.DAYS(TODAY(),Table1[[#This Row],[Last_Stocked_Date]])</f>
        <v>762</v>
      </c>
      <c r="P25" t="str">
        <f>IF(D2&lt;E2,"Restock Needed","Sufficient Stock")</f>
        <v>Sufficient Stock</v>
      </c>
      <c r="R25" t="s">
        <v>975</v>
      </c>
    </row>
    <row r="26" spans="1:28" x14ac:dyDescent="0.45">
      <c r="A26" t="s">
        <v>52</v>
      </c>
      <c r="B26" t="s">
        <v>15</v>
      </c>
      <c r="C26" t="s">
        <v>20</v>
      </c>
      <c r="D26">
        <v>409</v>
      </c>
      <c r="E26">
        <v>129</v>
      </c>
      <c r="F26">
        <v>271.2</v>
      </c>
      <c r="G26">
        <v>197</v>
      </c>
      <c r="H26">
        <v>24</v>
      </c>
      <c r="I26" t="s">
        <v>21</v>
      </c>
      <c r="J26" s="6">
        <v>45319</v>
      </c>
      <c r="K26">
        <f>Table1[[#This Row],[Stock_Level]]*Table1[[#This Row],[Unit_Cost]]</f>
        <v>110920.79999999999</v>
      </c>
      <c r="L26">
        <f t="shared" si="0"/>
        <v>0</v>
      </c>
      <c r="M26" s="7">
        <f ca="1">_xlfn.DAYS(TODAY(),Table1[[#This Row],[Last_Stocked_Date]])</f>
        <v>761</v>
      </c>
    </row>
    <row r="27" spans="1:28" x14ac:dyDescent="0.45">
      <c r="A27" t="s">
        <v>54</v>
      </c>
      <c r="B27" t="s">
        <v>19</v>
      </c>
      <c r="C27" t="s">
        <v>32</v>
      </c>
      <c r="D27">
        <v>98</v>
      </c>
      <c r="E27">
        <v>132</v>
      </c>
      <c r="F27">
        <v>142.66</v>
      </c>
      <c r="G27">
        <v>164</v>
      </c>
      <c r="H27">
        <v>18</v>
      </c>
      <c r="I27" t="s">
        <v>21</v>
      </c>
      <c r="J27" s="6">
        <v>45320</v>
      </c>
      <c r="K27">
        <f>Table1[[#This Row],[Stock_Level]]*Table1[[#This Row],[Unit_Cost]]</f>
        <v>13980.68</v>
      </c>
      <c r="L27">
        <f t="shared" si="0"/>
        <v>1</v>
      </c>
      <c r="M27" s="7">
        <f ca="1">_xlfn.DAYS(TODAY(),Table1[[#This Row],[Last_Stocked_Date]])</f>
        <v>760</v>
      </c>
      <c r="N27">
        <v>6</v>
      </c>
      <c r="O27" t="s">
        <v>382</v>
      </c>
    </row>
    <row r="28" spans="1:28" x14ac:dyDescent="0.45">
      <c r="A28" t="s">
        <v>55</v>
      </c>
      <c r="B28" t="s">
        <v>24</v>
      </c>
      <c r="C28" t="s">
        <v>20</v>
      </c>
      <c r="D28">
        <v>97</v>
      </c>
      <c r="E28">
        <v>91</v>
      </c>
      <c r="F28">
        <v>112.39</v>
      </c>
      <c r="G28">
        <v>64</v>
      </c>
      <c r="H28">
        <v>17</v>
      </c>
      <c r="I28" t="s">
        <v>21</v>
      </c>
      <c r="J28" s="6">
        <v>45321</v>
      </c>
      <c r="K28">
        <f>Table1[[#This Row],[Stock_Level]]*Table1[[#This Row],[Unit_Cost]]</f>
        <v>10901.83</v>
      </c>
      <c r="L28">
        <f t="shared" si="0"/>
        <v>0</v>
      </c>
      <c r="M28" s="7">
        <f ca="1">_xlfn.DAYS(TODAY(),Table1[[#This Row],[Last_Stocked_Date]])</f>
        <v>759</v>
      </c>
      <c r="V28" s="3" t="s">
        <v>14</v>
      </c>
    </row>
    <row r="29" spans="1:28" x14ac:dyDescent="0.45">
      <c r="A29" t="s">
        <v>56</v>
      </c>
      <c r="B29" t="s">
        <v>24</v>
      </c>
      <c r="C29" t="s">
        <v>25</v>
      </c>
      <c r="D29">
        <v>126</v>
      </c>
      <c r="E29">
        <v>66</v>
      </c>
      <c r="F29">
        <v>147.56</v>
      </c>
      <c r="G29">
        <v>178</v>
      </c>
      <c r="H29">
        <v>29</v>
      </c>
      <c r="I29" t="s">
        <v>26</v>
      </c>
      <c r="J29" s="6">
        <v>45322</v>
      </c>
      <c r="K29">
        <f>Table1[[#This Row],[Stock_Level]]*Table1[[#This Row],[Unit_Cost]]</f>
        <v>18592.560000000001</v>
      </c>
      <c r="L29">
        <f t="shared" si="0"/>
        <v>0</v>
      </c>
      <c r="M29" s="7">
        <f ca="1">_xlfn.DAYS(TODAY(),Table1[[#This Row],[Last_Stocked_Date]])</f>
        <v>758</v>
      </c>
      <c r="P29">
        <f>VLOOKUP(V28,Table1[[Item_Code]:[Lead_Time_Days]],8,0)</f>
        <v>15</v>
      </c>
      <c r="R29" t="s">
        <v>976</v>
      </c>
    </row>
    <row r="30" spans="1:28" x14ac:dyDescent="0.45">
      <c r="A30" t="s">
        <v>58</v>
      </c>
      <c r="B30" t="s">
        <v>29</v>
      </c>
      <c r="C30" t="s">
        <v>25</v>
      </c>
      <c r="D30">
        <v>482</v>
      </c>
      <c r="E30">
        <v>112</v>
      </c>
      <c r="F30">
        <v>280.38</v>
      </c>
      <c r="G30">
        <v>128</v>
      </c>
      <c r="H30">
        <v>3</v>
      </c>
      <c r="I30" t="s">
        <v>17</v>
      </c>
      <c r="J30" s="6">
        <v>45323</v>
      </c>
      <c r="K30">
        <f>Table1[[#This Row],[Stock_Level]]*Table1[[#This Row],[Unit_Cost]]</f>
        <v>135143.16</v>
      </c>
      <c r="L30">
        <f t="shared" si="0"/>
        <v>0</v>
      </c>
      <c r="M30" s="7">
        <f ca="1">_xlfn.DAYS(TODAY(),Table1[[#This Row],[Last_Stocked_Date]])</f>
        <v>757</v>
      </c>
    </row>
    <row r="31" spans="1:28" x14ac:dyDescent="0.45">
      <c r="A31" t="s">
        <v>60</v>
      </c>
      <c r="B31" t="s">
        <v>19</v>
      </c>
      <c r="C31" t="s">
        <v>20</v>
      </c>
      <c r="D31">
        <v>167</v>
      </c>
      <c r="E31">
        <v>94</v>
      </c>
      <c r="F31">
        <v>19.43</v>
      </c>
      <c r="G31">
        <v>20</v>
      </c>
      <c r="H31">
        <v>21</v>
      </c>
      <c r="I31" t="s">
        <v>26</v>
      </c>
      <c r="J31" s="6">
        <v>45324</v>
      </c>
      <c r="K31">
        <f>Table1[[#This Row],[Stock_Level]]*Table1[[#This Row],[Unit_Cost]]</f>
        <v>3244.81</v>
      </c>
      <c r="L31">
        <f t="shared" si="0"/>
        <v>0</v>
      </c>
      <c r="M31" s="7">
        <f ca="1">_xlfn.DAYS(TODAY(),Table1[[#This Row],[Last_Stocked_Date]])</f>
        <v>756</v>
      </c>
      <c r="N31">
        <v>7</v>
      </c>
      <c r="O31" t="s">
        <v>383</v>
      </c>
    </row>
    <row r="32" spans="1:28" x14ac:dyDescent="0.45">
      <c r="A32" t="s">
        <v>61</v>
      </c>
      <c r="B32" t="s">
        <v>24</v>
      </c>
      <c r="C32" t="s">
        <v>25</v>
      </c>
      <c r="D32">
        <v>79</v>
      </c>
      <c r="E32">
        <v>126</v>
      </c>
      <c r="F32">
        <v>454.09</v>
      </c>
      <c r="G32">
        <v>180</v>
      </c>
      <c r="H32">
        <v>21</v>
      </c>
      <c r="I32" t="s">
        <v>21</v>
      </c>
      <c r="J32" s="6">
        <v>45325</v>
      </c>
      <c r="K32">
        <f>Table1[[#This Row],[Stock_Level]]*Table1[[#This Row],[Unit_Cost]]</f>
        <v>35873.11</v>
      </c>
      <c r="L32">
        <f t="shared" si="0"/>
        <v>1</v>
      </c>
      <c r="M32" s="7">
        <f ca="1">_xlfn.DAYS(TODAY(),Table1[[#This Row],[Last_Stocked_Date]])</f>
        <v>755</v>
      </c>
    </row>
    <row r="33" spans="1:22" x14ac:dyDescent="0.45">
      <c r="A33" t="s">
        <v>62</v>
      </c>
      <c r="B33" t="s">
        <v>19</v>
      </c>
      <c r="C33" t="s">
        <v>20</v>
      </c>
      <c r="D33">
        <v>293</v>
      </c>
      <c r="E33">
        <v>56</v>
      </c>
      <c r="F33">
        <v>82.36</v>
      </c>
      <c r="G33">
        <v>15</v>
      </c>
      <c r="H33">
        <v>28</v>
      </c>
      <c r="I33" t="s">
        <v>17</v>
      </c>
      <c r="J33" s="6">
        <v>45326</v>
      </c>
      <c r="K33">
        <f>Table1[[#This Row],[Stock_Level]]*Table1[[#This Row],[Unit_Cost]]</f>
        <v>24131.48</v>
      </c>
      <c r="L33">
        <f t="shared" si="0"/>
        <v>0</v>
      </c>
      <c r="M33" s="7">
        <f ca="1">_xlfn.DAYS(TODAY(),Table1[[#This Row],[Last_Stocked_Date]])</f>
        <v>754</v>
      </c>
      <c r="P33" t="str">
        <f>INDEX(Table1[Supplier],MATCH(V28,Table1[Item_Code]))</f>
        <v>Vendor_B</v>
      </c>
      <c r="R33" t="s">
        <v>977</v>
      </c>
    </row>
    <row r="34" spans="1:22" x14ac:dyDescent="0.45">
      <c r="A34" t="s">
        <v>63</v>
      </c>
      <c r="B34" t="s">
        <v>29</v>
      </c>
      <c r="C34" t="s">
        <v>20</v>
      </c>
      <c r="D34">
        <v>332</v>
      </c>
      <c r="E34">
        <v>76</v>
      </c>
      <c r="F34">
        <v>113.94</v>
      </c>
      <c r="G34">
        <v>122</v>
      </c>
      <c r="H34">
        <v>15</v>
      </c>
      <c r="I34" t="s">
        <v>26</v>
      </c>
      <c r="J34" s="6">
        <v>45327</v>
      </c>
      <c r="K34">
        <f>Table1[[#This Row],[Stock_Level]]*Table1[[#This Row],[Unit_Cost]]</f>
        <v>37828.080000000002</v>
      </c>
      <c r="L34">
        <f t="shared" si="0"/>
        <v>0</v>
      </c>
      <c r="M34" s="7">
        <f ca="1">_xlfn.DAYS(TODAY(),Table1[[#This Row],[Last_Stocked_Date]])</f>
        <v>753</v>
      </c>
    </row>
    <row r="35" spans="1:22" x14ac:dyDescent="0.45">
      <c r="A35" t="s">
        <v>64</v>
      </c>
      <c r="B35" t="s">
        <v>29</v>
      </c>
      <c r="C35" t="s">
        <v>16</v>
      </c>
      <c r="D35">
        <v>125</v>
      </c>
      <c r="E35">
        <v>59</v>
      </c>
      <c r="F35">
        <v>261.55</v>
      </c>
      <c r="G35">
        <v>60</v>
      </c>
      <c r="H35">
        <v>4</v>
      </c>
      <c r="I35" t="s">
        <v>26</v>
      </c>
      <c r="J35" s="6">
        <v>45328</v>
      </c>
      <c r="K35">
        <f>Table1[[#This Row],[Stock_Level]]*Table1[[#This Row],[Unit_Cost]]</f>
        <v>32693.75</v>
      </c>
      <c r="L35">
        <f t="shared" si="0"/>
        <v>0</v>
      </c>
      <c r="M35" s="7">
        <f ca="1">_xlfn.DAYS(TODAY(),Table1[[#This Row],[Last_Stocked_Date]])</f>
        <v>752</v>
      </c>
      <c r="N35">
        <v>8</v>
      </c>
      <c r="O35" t="s">
        <v>384</v>
      </c>
    </row>
    <row r="36" spans="1:22" x14ac:dyDescent="0.45">
      <c r="A36" t="s">
        <v>65</v>
      </c>
      <c r="B36" t="s">
        <v>29</v>
      </c>
      <c r="C36" t="s">
        <v>32</v>
      </c>
      <c r="D36">
        <v>342</v>
      </c>
      <c r="E36">
        <v>83</v>
      </c>
      <c r="F36">
        <v>356.51</v>
      </c>
      <c r="G36">
        <v>53</v>
      </c>
      <c r="H36">
        <v>24</v>
      </c>
      <c r="I36" t="s">
        <v>21</v>
      </c>
      <c r="J36" s="6">
        <v>45329</v>
      </c>
      <c r="K36">
        <f>Table1[[#This Row],[Stock_Level]]*Table1[[#This Row],[Unit_Cost]]</f>
        <v>121926.42</v>
      </c>
      <c r="L36">
        <f t="shared" si="0"/>
        <v>0</v>
      </c>
      <c r="M36" s="7">
        <f ca="1">_xlfn.DAYS(TODAY(),Table1[[#This Row],[Last_Stocked_Date]])</f>
        <v>751</v>
      </c>
    </row>
    <row r="37" spans="1:22" x14ac:dyDescent="0.45">
      <c r="A37" t="s">
        <v>66</v>
      </c>
      <c r="B37" t="s">
        <v>15</v>
      </c>
      <c r="C37" t="s">
        <v>32</v>
      </c>
      <c r="D37">
        <v>309</v>
      </c>
      <c r="E37">
        <v>85</v>
      </c>
      <c r="F37">
        <v>52.39</v>
      </c>
      <c r="G37">
        <v>167</v>
      </c>
      <c r="H37">
        <v>13</v>
      </c>
      <c r="I37" t="s">
        <v>26</v>
      </c>
      <c r="J37" s="6">
        <v>45330</v>
      </c>
      <c r="K37">
        <f>Table1[[#This Row],[Stock_Level]]*Table1[[#This Row],[Unit_Cost]]</f>
        <v>16188.51</v>
      </c>
      <c r="L37">
        <f t="shared" si="0"/>
        <v>0</v>
      </c>
      <c r="M37" s="7">
        <f ca="1">_xlfn.DAYS(TODAY(),Table1[[#This Row],[Last_Stocked_Date]])</f>
        <v>750</v>
      </c>
      <c r="V37" t="str" cm="1">
        <f t="array" ref="V37:V40">_xlfn.UNIQUE(B2:B301)</f>
        <v>WH-West</v>
      </c>
    </row>
    <row r="38" spans="1:22" x14ac:dyDescent="0.45">
      <c r="A38" t="s">
        <v>67</v>
      </c>
      <c r="B38" t="s">
        <v>19</v>
      </c>
      <c r="C38" t="s">
        <v>16</v>
      </c>
      <c r="D38">
        <v>149</v>
      </c>
      <c r="E38">
        <v>74</v>
      </c>
      <c r="F38">
        <v>162.26</v>
      </c>
      <c r="G38">
        <v>25</v>
      </c>
      <c r="H38">
        <v>9</v>
      </c>
      <c r="I38" t="s">
        <v>26</v>
      </c>
      <c r="J38" s="6">
        <v>45331</v>
      </c>
      <c r="K38">
        <f>Table1[[#This Row],[Stock_Level]]*Table1[[#This Row],[Unit_Cost]]</f>
        <v>24176.739999999998</v>
      </c>
      <c r="L38">
        <f t="shared" si="0"/>
        <v>0</v>
      </c>
      <c r="M38" s="7">
        <f ca="1">_xlfn.DAYS(TODAY(),Table1[[#This Row],[Last_Stocked_Date]])</f>
        <v>749</v>
      </c>
      <c r="V38" t="str">
        <v>WH-North</v>
      </c>
    </row>
    <row r="39" spans="1:22" x14ac:dyDescent="0.45">
      <c r="A39" t="s">
        <v>69</v>
      </c>
      <c r="B39" t="s">
        <v>29</v>
      </c>
      <c r="C39" t="s">
        <v>16</v>
      </c>
      <c r="D39">
        <v>15</v>
      </c>
      <c r="E39">
        <v>55</v>
      </c>
      <c r="F39">
        <v>484.49</v>
      </c>
      <c r="G39">
        <v>79</v>
      </c>
      <c r="H39">
        <v>3</v>
      </c>
      <c r="I39" t="s">
        <v>26</v>
      </c>
      <c r="J39" s="6">
        <v>45332</v>
      </c>
      <c r="K39">
        <f>Table1[[#This Row],[Stock_Level]]*Table1[[#This Row],[Unit_Cost]]</f>
        <v>7267.35</v>
      </c>
      <c r="L39">
        <f t="shared" si="0"/>
        <v>1</v>
      </c>
      <c r="M39" s="7">
        <f ca="1">_xlfn.DAYS(TODAY(),Table1[[#This Row],[Last_Stocked_Date]])</f>
        <v>748</v>
      </c>
      <c r="V39" t="str">
        <v>WH-South</v>
      </c>
    </row>
    <row r="40" spans="1:22" x14ac:dyDescent="0.45">
      <c r="A40" t="s">
        <v>71</v>
      </c>
      <c r="B40" t="s">
        <v>19</v>
      </c>
      <c r="C40" t="s">
        <v>32</v>
      </c>
      <c r="D40">
        <v>27</v>
      </c>
      <c r="E40">
        <v>73</v>
      </c>
      <c r="F40">
        <v>134.86000000000001</v>
      </c>
      <c r="G40">
        <v>64</v>
      </c>
      <c r="H40">
        <v>5</v>
      </c>
      <c r="I40" t="s">
        <v>26</v>
      </c>
      <c r="J40" s="6">
        <v>45333</v>
      </c>
      <c r="K40">
        <f>Table1[[#This Row],[Stock_Level]]*Table1[[#This Row],[Unit_Cost]]</f>
        <v>3641.2200000000003</v>
      </c>
      <c r="L40">
        <f t="shared" si="0"/>
        <v>1</v>
      </c>
      <c r="M40" s="7">
        <f ca="1">_xlfn.DAYS(TODAY(),Table1[[#This Row],[Last_Stocked_Date]])</f>
        <v>747</v>
      </c>
      <c r="V40" t="str">
        <v>WH-East</v>
      </c>
    </row>
    <row r="41" spans="1:22" x14ac:dyDescent="0.45">
      <c r="A41" t="s">
        <v>72</v>
      </c>
      <c r="B41" t="s">
        <v>15</v>
      </c>
      <c r="C41" t="s">
        <v>20</v>
      </c>
      <c r="D41">
        <v>495</v>
      </c>
      <c r="E41">
        <v>67</v>
      </c>
      <c r="F41">
        <v>159.96</v>
      </c>
      <c r="G41">
        <v>99</v>
      </c>
      <c r="H41">
        <v>15</v>
      </c>
      <c r="I41" t="s">
        <v>26</v>
      </c>
      <c r="J41" s="6">
        <v>45334</v>
      </c>
      <c r="K41">
        <f>Table1[[#This Row],[Stock_Level]]*Table1[[#This Row],[Unit_Cost]]</f>
        <v>79180.2</v>
      </c>
      <c r="L41">
        <f t="shared" si="0"/>
        <v>0</v>
      </c>
      <c r="M41" s="7">
        <f ca="1">_xlfn.DAYS(TODAY(),Table1[[#This Row],[Last_Stocked_Date]])</f>
        <v>746</v>
      </c>
    </row>
    <row r="42" spans="1:22" x14ac:dyDescent="0.45">
      <c r="A42" t="s">
        <v>74</v>
      </c>
      <c r="B42" t="s">
        <v>15</v>
      </c>
      <c r="C42" t="s">
        <v>20</v>
      </c>
      <c r="D42">
        <v>418</v>
      </c>
      <c r="E42">
        <v>136</v>
      </c>
      <c r="F42">
        <v>419.07</v>
      </c>
      <c r="G42">
        <v>73</v>
      </c>
      <c r="H42">
        <v>17</v>
      </c>
      <c r="I42" t="s">
        <v>21</v>
      </c>
      <c r="J42" s="6">
        <v>45335</v>
      </c>
      <c r="K42">
        <f>Table1[[#This Row],[Stock_Level]]*Table1[[#This Row],[Unit_Cost]]</f>
        <v>175171.26</v>
      </c>
      <c r="L42">
        <f t="shared" si="0"/>
        <v>0</v>
      </c>
      <c r="M42" s="7">
        <f ca="1">_xlfn.DAYS(TODAY(),Table1[[#This Row],[Last_Stocked_Date]])</f>
        <v>745</v>
      </c>
      <c r="N42">
        <v>9</v>
      </c>
      <c r="O42" t="s">
        <v>385</v>
      </c>
    </row>
    <row r="43" spans="1:22" x14ac:dyDescent="0.45">
      <c r="A43" t="s">
        <v>76</v>
      </c>
      <c r="B43" t="s">
        <v>29</v>
      </c>
      <c r="C43" t="s">
        <v>32</v>
      </c>
      <c r="D43">
        <v>443</v>
      </c>
      <c r="E43">
        <v>55</v>
      </c>
      <c r="F43">
        <v>29.86</v>
      </c>
      <c r="G43">
        <v>191</v>
      </c>
      <c r="H43">
        <v>20</v>
      </c>
      <c r="I43" t="s">
        <v>21</v>
      </c>
      <c r="J43" s="6">
        <v>45336</v>
      </c>
      <c r="K43">
        <f>Table1[[#This Row],[Stock_Level]]*Table1[[#This Row],[Unit_Cost]]</f>
        <v>13227.98</v>
      </c>
      <c r="L43">
        <f t="shared" si="0"/>
        <v>0</v>
      </c>
      <c r="M43" s="7">
        <f ca="1">_xlfn.DAYS(TODAY(),Table1[[#This Row],[Last_Stocked_Date]])</f>
        <v>744</v>
      </c>
    </row>
    <row r="44" spans="1:22" x14ac:dyDescent="0.45">
      <c r="A44" t="s">
        <v>77</v>
      </c>
      <c r="B44" t="s">
        <v>29</v>
      </c>
      <c r="C44" t="s">
        <v>20</v>
      </c>
      <c r="D44">
        <v>172</v>
      </c>
      <c r="E44">
        <v>78</v>
      </c>
      <c r="F44">
        <v>234.98</v>
      </c>
      <c r="G44">
        <v>170</v>
      </c>
      <c r="H44">
        <v>3</v>
      </c>
      <c r="I44" t="s">
        <v>26</v>
      </c>
      <c r="J44" s="6">
        <v>45337</v>
      </c>
      <c r="K44">
        <f>Table1[[#This Row],[Stock_Level]]*Table1[[#This Row],[Unit_Cost]]</f>
        <v>40416.559999999998</v>
      </c>
      <c r="L44">
        <f t="shared" si="0"/>
        <v>0</v>
      </c>
      <c r="M44" s="7">
        <f ca="1">_xlfn.DAYS(TODAY(),Table1[[#This Row],[Last_Stocked_Date]])</f>
        <v>743</v>
      </c>
      <c r="P44" cm="1">
        <f t="array" ref="P44">SUMPRODUCT((YEAR(J2:J301)=2024)*1)</f>
        <v>285</v>
      </c>
      <c r="S44" t="s">
        <v>979</v>
      </c>
    </row>
    <row r="45" spans="1:22" x14ac:dyDescent="0.45">
      <c r="A45" t="s">
        <v>78</v>
      </c>
      <c r="B45" t="s">
        <v>24</v>
      </c>
      <c r="C45" t="s">
        <v>16</v>
      </c>
      <c r="D45">
        <v>45</v>
      </c>
      <c r="E45">
        <v>74</v>
      </c>
      <c r="F45">
        <v>192.91</v>
      </c>
      <c r="G45">
        <v>16</v>
      </c>
      <c r="H45">
        <v>13</v>
      </c>
      <c r="I45" t="s">
        <v>21</v>
      </c>
      <c r="J45" s="6">
        <v>45338</v>
      </c>
      <c r="K45">
        <f>Table1[[#This Row],[Stock_Level]]*Table1[[#This Row],[Unit_Cost]]</f>
        <v>8680.9500000000007</v>
      </c>
      <c r="L45">
        <f t="shared" si="0"/>
        <v>1</v>
      </c>
      <c r="M45" s="7">
        <f ca="1">_xlfn.DAYS(TODAY(),Table1[[#This Row],[Last_Stocked_Date]])</f>
        <v>742</v>
      </c>
    </row>
    <row r="46" spans="1:22" x14ac:dyDescent="0.45">
      <c r="A46" t="s">
        <v>79</v>
      </c>
      <c r="B46" t="s">
        <v>19</v>
      </c>
      <c r="C46" t="s">
        <v>20</v>
      </c>
      <c r="D46">
        <v>327</v>
      </c>
      <c r="E46">
        <v>104</v>
      </c>
      <c r="F46">
        <v>161.71</v>
      </c>
      <c r="G46">
        <v>120</v>
      </c>
      <c r="H46">
        <v>15</v>
      </c>
      <c r="I46" t="s">
        <v>21</v>
      </c>
      <c r="J46" s="6">
        <v>45339</v>
      </c>
      <c r="K46">
        <f>Table1[[#This Row],[Stock_Level]]*Table1[[#This Row],[Unit_Cost]]</f>
        <v>52879.170000000006</v>
      </c>
      <c r="L46">
        <f t="shared" si="0"/>
        <v>0</v>
      </c>
      <c r="M46" s="7">
        <f ca="1">_xlfn.DAYS(TODAY(),Table1[[#This Row],[Last_Stocked_Date]])</f>
        <v>741</v>
      </c>
    </row>
    <row r="47" spans="1:22" x14ac:dyDescent="0.45">
      <c r="A47" t="s">
        <v>80</v>
      </c>
      <c r="B47" t="s">
        <v>29</v>
      </c>
      <c r="C47" t="s">
        <v>20</v>
      </c>
      <c r="D47">
        <v>235</v>
      </c>
      <c r="E47">
        <v>130</v>
      </c>
      <c r="F47">
        <v>146.41999999999999</v>
      </c>
      <c r="G47">
        <v>186</v>
      </c>
      <c r="H47">
        <v>7</v>
      </c>
      <c r="I47" t="s">
        <v>17</v>
      </c>
      <c r="J47" s="6">
        <v>45340</v>
      </c>
      <c r="K47">
        <f>Table1[[#This Row],[Stock_Level]]*Table1[[#This Row],[Unit_Cost]]</f>
        <v>34408.699999999997</v>
      </c>
      <c r="L47">
        <f t="shared" si="0"/>
        <v>0</v>
      </c>
      <c r="M47" s="7">
        <f ca="1">_xlfn.DAYS(TODAY(),Table1[[#This Row],[Last_Stocked_Date]])</f>
        <v>740</v>
      </c>
      <c r="N47">
        <v>10</v>
      </c>
      <c r="O47" t="s">
        <v>386</v>
      </c>
    </row>
    <row r="48" spans="1:22" x14ac:dyDescent="0.45">
      <c r="A48" t="s">
        <v>81</v>
      </c>
      <c r="B48" t="s">
        <v>24</v>
      </c>
      <c r="C48" t="s">
        <v>25</v>
      </c>
      <c r="D48">
        <v>438</v>
      </c>
      <c r="E48">
        <v>95</v>
      </c>
      <c r="F48">
        <v>50.23</v>
      </c>
      <c r="G48">
        <v>22</v>
      </c>
      <c r="H48">
        <v>14</v>
      </c>
      <c r="I48" t="s">
        <v>26</v>
      </c>
      <c r="J48" s="6">
        <v>45341</v>
      </c>
      <c r="K48">
        <f>Table1[[#This Row],[Stock_Level]]*Table1[[#This Row],[Unit_Cost]]</f>
        <v>22000.739999999998</v>
      </c>
      <c r="L48">
        <f t="shared" si="0"/>
        <v>0</v>
      </c>
      <c r="M48" s="7">
        <f ca="1">_xlfn.DAYS(TODAY(),Table1[[#This Row],[Last_Stocked_Date]])</f>
        <v>739</v>
      </c>
    </row>
    <row r="49" spans="1:19" x14ac:dyDescent="0.45">
      <c r="A49" t="s">
        <v>82</v>
      </c>
      <c r="B49" t="s">
        <v>19</v>
      </c>
      <c r="C49" t="s">
        <v>25</v>
      </c>
      <c r="D49">
        <v>213</v>
      </c>
      <c r="E49">
        <v>73</v>
      </c>
      <c r="F49">
        <v>160.84</v>
      </c>
      <c r="G49">
        <v>134</v>
      </c>
      <c r="H49">
        <v>5</v>
      </c>
      <c r="I49" t="s">
        <v>21</v>
      </c>
      <c r="J49" s="6">
        <v>45342</v>
      </c>
      <c r="K49">
        <f>Table1[[#This Row],[Stock_Level]]*Table1[[#This Row],[Unit_Cost]]</f>
        <v>34258.92</v>
      </c>
      <c r="L49">
        <f t="shared" si="0"/>
        <v>0</v>
      </c>
      <c r="M49" s="7">
        <f ca="1">_xlfn.DAYS(TODAY(),Table1[[#This Row],[Last_Stocked_Date]])</f>
        <v>738</v>
      </c>
      <c r="P49">
        <f ca="1">_xlfn.DAYS(TODAY(),J2)</f>
        <v>1134</v>
      </c>
      <c r="S49" t="s">
        <v>980</v>
      </c>
    </row>
    <row r="50" spans="1:19" x14ac:dyDescent="0.45">
      <c r="A50" t="s">
        <v>83</v>
      </c>
      <c r="B50" t="s">
        <v>29</v>
      </c>
      <c r="C50" t="s">
        <v>25</v>
      </c>
      <c r="D50">
        <v>84</v>
      </c>
      <c r="E50">
        <v>124</v>
      </c>
      <c r="F50">
        <v>26.31</v>
      </c>
      <c r="G50">
        <v>171</v>
      </c>
      <c r="H50">
        <v>23</v>
      </c>
      <c r="I50" t="s">
        <v>21</v>
      </c>
      <c r="J50" s="6">
        <v>45343</v>
      </c>
      <c r="K50">
        <f>Table1[[#This Row],[Stock_Level]]*Table1[[#This Row],[Unit_Cost]]</f>
        <v>2210.04</v>
      </c>
      <c r="L50">
        <f t="shared" si="0"/>
        <v>1</v>
      </c>
      <c r="M50" s="7">
        <f ca="1">_xlfn.DAYS(TODAY(),Table1[[#This Row],[Last_Stocked_Date]])</f>
        <v>737</v>
      </c>
    </row>
    <row r="51" spans="1:19" x14ac:dyDescent="0.45">
      <c r="A51" t="s">
        <v>84</v>
      </c>
      <c r="B51" t="s">
        <v>24</v>
      </c>
      <c r="C51" t="s">
        <v>20</v>
      </c>
      <c r="D51">
        <v>281</v>
      </c>
      <c r="E51">
        <v>75</v>
      </c>
      <c r="F51">
        <v>391.58</v>
      </c>
      <c r="G51">
        <v>180</v>
      </c>
      <c r="H51">
        <v>19</v>
      </c>
      <c r="I51" t="s">
        <v>26</v>
      </c>
      <c r="J51" s="6">
        <v>45344</v>
      </c>
      <c r="K51">
        <f>Table1[[#This Row],[Stock_Level]]*Table1[[#This Row],[Unit_Cost]]</f>
        <v>110033.98</v>
      </c>
      <c r="L51">
        <f t="shared" si="0"/>
        <v>0</v>
      </c>
      <c r="M51" s="7">
        <f ca="1">_xlfn.DAYS(TODAY(),Table1[[#This Row],[Last_Stocked_Date]])</f>
        <v>736</v>
      </c>
    </row>
    <row r="52" spans="1:19" x14ac:dyDescent="0.45">
      <c r="A52" t="s">
        <v>86</v>
      </c>
      <c r="B52" t="s">
        <v>24</v>
      </c>
      <c r="C52" t="s">
        <v>32</v>
      </c>
      <c r="D52">
        <v>231</v>
      </c>
      <c r="E52">
        <v>147</v>
      </c>
      <c r="F52">
        <v>202.12</v>
      </c>
      <c r="G52">
        <v>70</v>
      </c>
      <c r="H52">
        <v>13</v>
      </c>
      <c r="I52" t="s">
        <v>17</v>
      </c>
      <c r="J52" s="6">
        <v>45345</v>
      </c>
      <c r="K52">
        <f>Table1[[#This Row],[Stock_Level]]*Table1[[#This Row],[Unit_Cost]]</f>
        <v>46689.72</v>
      </c>
      <c r="L52">
        <f t="shared" si="0"/>
        <v>0</v>
      </c>
      <c r="M52" s="7">
        <f ca="1">_xlfn.DAYS(TODAY(),Table1[[#This Row],[Last_Stocked_Date]])</f>
        <v>735</v>
      </c>
    </row>
    <row r="53" spans="1:19" x14ac:dyDescent="0.45">
      <c r="A53" t="s">
        <v>87</v>
      </c>
      <c r="B53" t="s">
        <v>19</v>
      </c>
      <c r="C53" t="s">
        <v>16</v>
      </c>
      <c r="D53">
        <v>84</v>
      </c>
      <c r="E53">
        <v>77</v>
      </c>
      <c r="F53">
        <v>224.73</v>
      </c>
      <c r="G53">
        <v>107</v>
      </c>
      <c r="H53">
        <v>21</v>
      </c>
      <c r="I53" t="s">
        <v>26</v>
      </c>
      <c r="J53" s="6">
        <v>45346</v>
      </c>
      <c r="K53">
        <f>Table1[[#This Row],[Stock_Level]]*Table1[[#This Row],[Unit_Cost]]</f>
        <v>18877.32</v>
      </c>
      <c r="L53">
        <f t="shared" si="0"/>
        <v>0</v>
      </c>
      <c r="M53" s="7">
        <f ca="1">_xlfn.DAYS(TODAY(),Table1[[#This Row],[Last_Stocked_Date]])</f>
        <v>734</v>
      </c>
    </row>
    <row r="54" spans="1:19" x14ac:dyDescent="0.45">
      <c r="A54" t="s">
        <v>88</v>
      </c>
      <c r="B54" t="s">
        <v>24</v>
      </c>
      <c r="C54" t="s">
        <v>20</v>
      </c>
      <c r="D54">
        <v>408</v>
      </c>
      <c r="E54">
        <v>52</v>
      </c>
      <c r="F54">
        <v>447.33</v>
      </c>
      <c r="G54">
        <v>78</v>
      </c>
      <c r="H54">
        <v>28</v>
      </c>
      <c r="I54" t="s">
        <v>17</v>
      </c>
      <c r="J54" s="6">
        <v>45347</v>
      </c>
      <c r="K54">
        <f>Table1[[#This Row],[Stock_Level]]*Table1[[#This Row],[Unit_Cost]]</f>
        <v>182510.63999999998</v>
      </c>
      <c r="L54">
        <f t="shared" si="0"/>
        <v>0</v>
      </c>
      <c r="M54" s="7">
        <f ca="1">_xlfn.DAYS(TODAY(),Table1[[#This Row],[Last_Stocked_Date]])</f>
        <v>733</v>
      </c>
    </row>
    <row r="55" spans="1:19" x14ac:dyDescent="0.45">
      <c r="A55" t="s">
        <v>89</v>
      </c>
      <c r="B55" t="s">
        <v>19</v>
      </c>
      <c r="C55" t="s">
        <v>32</v>
      </c>
      <c r="D55">
        <v>488</v>
      </c>
      <c r="E55">
        <v>124</v>
      </c>
      <c r="F55">
        <v>330.74</v>
      </c>
      <c r="G55">
        <v>161</v>
      </c>
      <c r="H55">
        <v>23</v>
      </c>
      <c r="I55" t="s">
        <v>26</v>
      </c>
      <c r="J55" s="6">
        <v>45348</v>
      </c>
      <c r="K55">
        <f>Table1[[#This Row],[Stock_Level]]*Table1[[#This Row],[Unit_Cost]]</f>
        <v>161401.12</v>
      </c>
      <c r="L55">
        <f t="shared" si="0"/>
        <v>0</v>
      </c>
      <c r="M55" s="7">
        <f ca="1">_xlfn.DAYS(TODAY(),Table1[[#This Row],[Last_Stocked_Date]])</f>
        <v>732</v>
      </c>
    </row>
    <row r="56" spans="1:19" x14ac:dyDescent="0.45">
      <c r="A56" t="s">
        <v>91</v>
      </c>
      <c r="B56" t="s">
        <v>19</v>
      </c>
      <c r="C56" t="s">
        <v>20</v>
      </c>
      <c r="D56">
        <v>64</v>
      </c>
      <c r="E56">
        <v>87</v>
      </c>
      <c r="F56">
        <v>8.99</v>
      </c>
      <c r="G56">
        <v>45</v>
      </c>
      <c r="H56">
        <v>22</v>
      </c>
      <c r="I56" t="s">
        <v>26</v>
      </c>
      <c r="J56" s="6">
        <v>45349</v>
      </c>
      <c r="K56">
        <f>Table1[[#This Row],[Stock_Level]]*Table1[[#This Row],[Unit_Cost]]</f>
        <v>575.36</v>
      </c>
      <c r="L56">
        <f t="shared" si="0"/>
        <v>1</v>
      </c>
      <c r="M56" s="7">
        <f ca="1">_xlfn.DAYS(TODAY(),Table1[[#This Row],[Last_Stocked_Date]])</f>
        <v>731</v>
      </c>
    </row>
    <row r="57" spans="1:19" x14ac:dyDescent="0.45">
      <c r="A57" t="s">
        <v>92</v>
      </c>
      <c r="B57" t="s">
        <v>19</v>
      </c>
      <c r="C57" t="s">
        <v>16</v>
      </c>
      <c r="D57">
        <v>133</v>
      </c>
      <c r="E57">
        <v>110</v>
      </c>
      <c r="F57">
        <v>471.87</v>
      </c>
      <c r="G57">
        <v>195</v>
      </c>
      <c r="H57">
        <v>20</v>
      </c>
      <c r="I57" t="s">
        <v>26</v>
      </c>
      <c r="J57" s="6">
        <v>45350</v>
      </c>
      <c r="K57">
        <f>Table1[[#This Row],[Stock_Level]]*Table1[[#This Row],[Unit_Cost]]</f>
        <v>62758.71</v>
      </c>
      <c r="L57">
        <f t="shared" si="0"/>
        <v>0</v>
      </c>
      <c r="M57" s="7">
        <f ca="1">_xlfn.DAYS(TODAY(),Table1[[#This Row],[Last_Stocked_Date]])</f>
        <v>730</v>
      </c>
    </row>
    <row r="58" spans="1:19" x14ac:dyDescent="0.45">
      <c r="A58" t="s">
        <v>93</v>
      </c>
      <c r="B58" t="s">
        <v>15</v>
      </c>
      <c r="C58" t="s">
        <v>20</v>
      </c>
      <c r="D58">
        <v>150</v>
      </c>
      <c r="E58">
        <v>127</v>
      </c>
      <c r="F58">
        <v>122.39</v>
      </c>
      <c r="G58">
        <v>77</v>
      </c>
      <c r="H58">
        <v>9</v>
      </c>
      <c r="I58" t="s">
        <v>26</v>
      </c>
      <c r="J58" s="6">
        <v>45351</v>
      </c>
      <c r="K58">
        <f>Table1[[#This Row],[Stock_Level]]*Table1[[#This Row],[Unit_Cost]]</f>
        <v>18358.5</v>
      </c>
      <c r="L58">
        <f t="shared" si="0"/>
        <v>0</v>
      </c>
      <c r="M58" s="7">
        <f ca="1">_xlfn.DAYS(TODAY(),Table1[[#This Row],[Last_Stocked_Date]])</f>
        <v>729</v>
      </c>
    </row>
    <row r="59" spans="1:19" x14ac:dyDescent="0.45">
      <c r="A59" t="s">
        <v>95</v>
      </c>
      <c r="B59" t="s">
        <v>24</v>
      </c>
      <c r="C59" t="s">
        <v>16</v>
      </c>
      <c r="D59">
        <v>114</v>
      </c>
      <c r="E59">
        <v>100</v>
      </c>
      <c r="F59">
        <v>58.27</v>
      </c>
      <c r="G59">
        <v>15</v>
      </c>
      <c r="H59">
        <v>8</v>
      </c>
      <c r="I59" t="s">
        <v>17</v>
      </c>
      <c r="J59" s="6">
        <v>45352</v>
      </c>
      <c r="K59">
        <f>Table1[[#This Row],[Stock_Level]]*Table1[[#This Row],[Unit_Cost]]</f>
        <v>6642.7800000000007</v>
      </c>
      <c r="L59">
        <f t="shared" si="0"/>
        <v>0</v>
      </c>
      <c r="M59" s="7">
        <f ca="1">_xlfn.DAYS(TODAY(),Table1[[#This Row],[Last_Stocked_Date]])</f>
        <v>728</v>
      </c>
    </row>
    <row r="60" spans="1:19" x14ac:dyDescent="0.45">
      <c r="A60" t="s">
        <v>96</v>
      </c>
      <c r="B60" t="s">
        <v>19</v>
      </c>
      <c r="C60" t="s">
        <v>20</v>
      </c>
      <c r="D60">
        <v>63</v>
      </c>
      <c r="E60">
        <v>139</v>
      </c>
      <c r="F60">
        <v>385.22</v>
      </c>
      <c r="G60">
        <v>70</v>
      </c>
      <c r="H60">
        <v>17</v>
      </c>
      <c r="I60" t="s">
        <v>17</v>
      </c>
      <c r="J60" s="6">
        <v>45353</v>
      </c>
      <c r="K60">
        <f>Table1[[#This Row],[Stock_Level]]*Table1[[#This Row],[Unit_Cost]]</f>
        <v>24268.86</v>
      </c>
      <c r="L60">
        <f t="shared" si="0"/>
        <v>1</v>
      </c>
      <c r="M60" s="7">
        <f ca="1">_xlfn.DAYS(TODAY(),Table1[[#This Row],[Last_Stocked_Date]])</f>
        <v>727</v>
      </c>
    </row>
    <row r="61" spans="1:19" x14ac:dyDescent="0.45">
      <c r="A61" t="s">
        <v>97</v>
      </c>
      <c r="B61" t="s">
        <v>29</v>
      </c>
      <c r="C61" t="s">
        <v>16</v>
      </c>
      <c r="D61">
        <v>342</v>
      </c>
      <c r="E61">
        <v>97</v>
      </c>
      <c r="F61">
        <v>252.74</v>
      </c>
      <c r="G61">
        <v>95</v>
      </c>
      <c r="H61">
        <v>20</v>
      </c>
      <c r="I61" t="s">
        <v>21</v>
      </c>
      <c r="J61" s="6">
        <v>45354</v>
      </c>
      <c r="K61">
        <f>Table1[[#This Row],[Stock_Level]]*Table1[[#This Row],[Unit_Cost]]</f>
        <v>86437.08</v>
      </c>
      <c r="L61">
        <f t="shared" si="0"/>
        <v>0</v>
      </c>
      <c r="M61" s="7">
        <f ca="1">_xlfn.DAYS(TODAY(),Table1[[#This Row],[Last_Stocked_Date]])</f>
        <v>726</v>
      </c>
    </row>
    <row r="62" spans="1:19" x14ac:dyDescent="0.45">
      <c r="A62" t="s">
        <v>98</v>
      </c>
      <c r="B62" t="s">
        <v>15</v>
      </c>
      <c r="C62" t="s">
        <v>20</v>
      </c>
      <c r="D62">
        <v>426</v>
      </c>
      <c r="E62">
        <v>70</v>
      </c>
      <c r="F62">
        <v>219.72</v>
      </c>
      <c r="G62">
        <v>146</v>
      </c>
      <c r="H62">
        <v>7</v>
      </c>
      <c r="I62" t="s">
        <v>26</v>
      </c>
      <c r="J62" s="6">
        <v>45355</v>
      </c>
      <c r="K62">
        <f>Table1[[#This Row],[Stock_Level]]*Table1[[#This Row],[Unit_Cost]]</f>
        <v>93600.72</v>
      </c>
      <c r="L62">
        <f t="shared" si="0"/>
        <v>0</v>
      </c>
      <c r="M62" s="7">
        <f ca="1">_xlfn.DAYS(TODAY(),Table1[[#This Row],[Last_Stocked_Date]])</f>
        <v>725</v>
      </c>
    </row>
    <row r="63" spans="1:19" x14ac:dyDescent="0.45">
      <c r="A63" t="s">
        <v>99</v>
      </c>
      <c r="B63" t="s">
        <v>15</v>
      </c>
      <c r="C63" t="s">
        <v>16</v>
      </c>
      <c r="D63">
        <v>362</v>
      </c>
      <c r="E63">
        <v>103</v>
      </c>
      <c r="F63">
        <v>128.5</v>
      </c>
      <c r="G63">
        <v>1</v>
      </c>
      <c r="H63">
        <v>21</v>
      </c>
      <c r="I63" t="s">
        <v>17</v>
      </c>
      <c r="J63" s="6">
        <v>45356</v>
      </c>
      <c r="K63">
        <f>Table1[[#This Row],[Stock_Level]]*Table1[[#This Row],[Unit_Cost]]</f>
        <v>46517</v>
      </c>
      <c r="L63">
        <f t="shared" si="0"/>
        <v>0</v>
      </c>
      <c r="M63" s="7">
        <f ca="1">_xlfn.DAYS(TODAY(),Table1[[#This Row],[Last_Stocked_Date]])</f>
        <v>724</v>
      </c>
    </row>
    <row r="64" spans="1:19" x14ac:dyDescent="0.45">
      <c r="A64" t="s">
        <v>100</v>
      </c>
      <c r="B64" t="s">
        <v>24</v>
      </c>
      <c r="C64" t="s">
        <v>25</v>
      </c>
      <c r="D64">
        <v>406</v>
      </c>
      <c r="E64">
        <v>105</v>
      </c>
      <c r="F64">
        <v>276</v>
      </c>
      <c r="G64">
        <v>9</v>
      </c>
      <c r="H64">
        <v>28</v>
      </c>
      <c r="I64" t="s">
        <v>17</v>
      </c>
      <c r="J64" s="6">
        <v>45357</v>
      </c>
      <c r="K64">
        <f>Table1[[#This Row],[Stock_Level]]*Table1[[#This Row],[Unit_Cost]]</f>
        <v>112056</v>
      </c>
      <c r="L64">
        <f t="shared" si="0"/>
        <v>0</v>
      </c>
      <c r="M64" s="7">
        <f ca="1">_xlfn.DAYS(TODAY(),Table1[[#This Row],[Last_Stocked_Date]])</f>
        <v>723</v>
      </c>
    </row>
    <row r="65" spans="1:13" x14ac:dyDescent="0.45">
      <c r="A65" t="s">
        <v>101</v>
      </c>
      <c r="B65" t="s">
        <v>19</v>
      </c>
      <c r="C65" t="s">
        <v>20</v>
      </c>
      <c r="D65">
        <v>351</v>
      </c>
      <c r="E65">
        <v>143</v>
      </c>
      <c r="F65">
        <v>140.82</v>
      </c>
      <c r="G65">
        <v>177</v>
      </c>
      <c r="H65">
        <v>22</v>
      </c>
      <c r="I65" t="s">
        <v>17</v>
      </c>
      <c r="J65" s="6">
        <v>45358</v>
      </c>
      <c r="K65">
        <f>Table1[[#This Row],[Stock_Level]]*Table1[[#This Row],[Unit_Cost]]</f>
        <v>49427.82</v>
      </c>
      <c r="L65">
        <f t="shared" si="0"/>
        <v>0</v>
      </c>
      <c r="M65" s="7">
        <f ca="1">_xlfn.DAYS(TODAY(),Table1[[#This Row],[Last_Stocked_Date]])</f>
        <v>722</v>
      </c>
    </row>
    <row r="66" spans="1:13" x14ac:dyDescent="0.45">
      <c r="A66" t="s">
        <v>102</v>
      </c>
      <c r="B66" t="s">
        <v>24</v>
      </c>
      <c r="C66" t="s">
        <v>20</v>
      </c>
      <c r="D66">
        <v>157</v>
      </c>
      <c r="E66">
        <v>108</v>
      </c>
      <c r="F66">
        <v>451.28</v>
      </c>
      <c r="G66">
        <v>124</v>
      </c>
      <c r="H66">
        <v>12</v>
      </c>
      <c r="I66" t="s">
        <v>26</v>
      </c>
      <c r="J66" s="6">
        <v>45359</v>
      </c>
      <c r="K66">
        <f>Table1[[#This Row],[Stock_Level]]*Table1[[#This Row],[Unit_Cost]]</f>
        <v>70850.959999999992</v>
      </c>
      <c r="L66">
        <f t="shared" ref="L66:L129" si="1">IF(D66&lt;E66,1,0)</f>
        <v>0</v>
      </c>
      <c r="M66" s="7">
        <f ca="1">_xlfn.DAYS(TODAY(),Table1[[#This Row],[Last_Stocked_Date]])</f>
        <v>721</v>
      </c>
    </row>
    <row r="67" spans="1:13" x14ac:dyDescent="0.45">
      <c r="A67" t="s">
        <v>103</v>
      </c>
      <c r="B67" t="s">
        <v>15</v>
      </c>
      <c r="C67" t="s">
        <v>32</v>
      </c>
      <c r="D67">
        <v>76</v>
      </c>
      <c r="E67">
        <v>121</v>
      </c>
      <c r="F67">
        <v>111.53</v>
      </c>
      <c r="G67">
        <v>80</v>
      </c>
      <c r="H67">
        <v>6</v>
      </c>
      <c r="I67" t="s">
        <v>21</v>
      </c>
      <c r="J67" s="6">
        <v>45360</v>
      </c>
      <c r="K67">
        <f>Table1[[#This Row],[Stock_Level]]*Table1[[#This Row],[Unit_Cost]]</f>
        <v>8476.2800000000007</v>
      </c>
      <c r="L67">
        <f t="shared" si="1"/>
        <v>1</v>
      </c>
      <c r="M67" s="7">
        <f ca="1">_xlfn.DAYS(TODAY(),Table1[[#This Row],[Last_Stocked_Date]])</f>
        <v>720</v>
      </c>
    </row>
    <row r="68" spans="1:13" x14ac:dyDescent="0.45">
      <c r="A68" t="s">
        <v>104</v>
      </c>
      <c r="B68" t="s">
        <v>19</v>
      </c>
      <c r="C68" t="s">
        <v>32</v>
      </c>
      <c r="D68">
        <v>490</v>
      </c>
      <c r="E68">
        <v>100</v>
      </c>
      <c r="F68">
        <v>442.76</v>
      </c>
      <c r="G68">
        <v>139</v>
      </c>
      <c r="H68">
        <v>17</v>
      </c>
      <c r="I68" t="s">
        <v>17</v>
      </c>
      <c r="J68" s="6">
        <v>45361</v>
      </c>
      <c r="K68">
        <f>Table1[[#This Row],[Stock_Level]]*Table1[[#This Row],[Unit_Cost]]</f>
        <v>216952.4</v>
      </c>
      <c r="L68">
        <f t="shared" si="1"/>
        <v>0</v>
      </c>
      <c r="M68" s="7">
        <f ca="1">_xlfn.DAYS(TODAY(),Table1[[#This Row],[Last_Stocked_Date]])</f>
        <v>719</v>
      </c>
    </row>
    <row r="69" spans="1:13" x14ac:dyDescent="0.45">
      <c r="A69" t="s">
        <v>105</v>
      </c>
      <c r="B69" t="s">
        <v>29</v>
      </c>
      <c r="C69" t="s">
        <v>16</v>
      </c>
      <c r="D69">
        <v>145</v>
      </c>
      <c r="E69">
        <v>69</v>
      </c>
      <c r="F69">
        <v>281.91000000000003</v>
      </c>
      <c r="G69">
        <v>69</v>
      </c>
      <c r="H69">
        <v>8</v>
      </c>
      <c r="I69" t="s">
        <v>26</v>
      </c>
      <c r="J69" s="6">
        <v>45362</v>
      </c>
      <c r="K69">
        <f>Table1[[#This Row],[Stock_Level]]*Table1[[#This Row],[Unit_Cost]]</f>
        <v>40876.950000000004</v>
      </c>
      <c r="L69">
        <f t="shared" si="1"/>
        <v>0</v>
      </c>
      <c r="M69" s="7">
        <f ca="1">_xlfn.DAYS(TODAY(),Table1[[#This Row],[Last_Stocked_Date]])</f>
        <v>718</v>
      </c>
    </row>
    <row r="70" spans="1:13" x14ac:dyDescent="0.45">
      <c r="A70" t="s">
        <v>106</v>
      </c>
      <c r="B70" t="s">
        <v>19</v>
      </c>
      <c r="C70" t="s">
        <v>20</v>
      </c>
      <c r="D70">
        <v>342</v>
      </c>
      <c r="E70">
        <v>145</v>
      </c>
      <c r="F70">
        <v>415.1</v>
      </c>
      <c r="G70">
        <v>149</v>
      </c>
      <c r="H70">
        <v>28</v>
      </c>
      <c r="I70" t="s">
        <v>17</v>
      </c>
      <c r="J70" s="6">
        <v>45363</v>
      </c>
      <c r="K70">
        <f>Table1[[#This Row],[Stock_Level]]*Table1[[#This Row],[Unit_Cost]]</f>
        <v>141964.20000000001</v>
      </c>
      <c r="L70">
        <f t="shared" si="1"/>
        <v>0</v>
      </c>
      <c r="M70" s="7">
        <f ca="1">_xlfn.DAYS(TODAY(),Table1[[#This Row],[Last_Stocked_Date]])</f>
        <v>717</v>
      </c>
    </row>
    <row r="71" spans="1:13" x14ac:dyDescent="0.45">
      <c r="A71" t="s">
        <v>107</v>
      </c>
      <c r="B71" t="s">
        <v>15</v>
      </c>
      <c r="C71" t="s">
        <v>16</v>
      </c>
      <c r="D71">
        <v>462</v>
      </c>
      <c r="E71">
        <v>135</v>
      </c>
      <c r="F71">
        <v>357.86</v>
      </c>
      <c r="G71">
        <v>31</v>
      </c>
      <c r="H71">
        <v>6</v>
      </c>
      <c r="I71" t="s">
        <v>17</v>
      </c>
      <c r="J71" s="6">
        <v>45364</v>
      </c>
      <c r="K71">
        <f>Table1[[#This Row],[Stock_Level]]*Table1[[#This Row],[Unit_Cost]]</f>
        <v>165331.32</v>
      </c>
      <c r="L71">
        <f t="shared" si="1"/>
        <v>0</v>
      </c>
      <c r="M71" s="7">
        <f ca="1">_xlfn.DAYS(TODAY(),Table1[[#This Row],[Last_Stocked_Date]])</f>
        <v>716</v>
      </c>
    </row>
    <row r="72" spans="1:13" x14ac:dyDescent="0.45">
      <c r="A72" t="s">
        <v>108</v>
      </c>
      <c r="B72" t="s">
        <v>29</v>
      </c>
      <c r="C72" t="s">
        <v>25</v>
      </c>
      <c r="D72">
        <v>224</v>
      </c>
      <c r="E72">
        <v>108</v>
      </c>
      <c r="F72">
        <v>349.86</v>
      </c>
      <c r="G72">
        <v>104</v>
      </c>
      <c r="H72">
        <v>12</v>
      </c>
      <c r="I72" t="s">
        <v>21</v>
      </c>
      <c r="J72" s="6">
        <v>45365</v>
      </c>
      <c r="K72">
        <f>Table1[[#This Row],[Stock_Level]]*Table1[[#This Row],[Unit_Cost]]</f>
        <v>78368.639999999999</v>
      </c>
      <c r="L72">
        <f t="shared" si="1"/>
        <v>0</v>
      </c>
      <c r="M72" s="7">
        <f ca="1">_xlfn.DAYS(TODAY(),Table1[[#This Row],[Last_Stocked_Date]])</f>
        <v>715</v>
      </c>
    </row>
    <row r="73" spans="1:13" x14ac:dyDescent="0.45">
      <c r="A73" t="s">
        <v>109</v>
      </c>
      <c r="B73" t="s">
        <v>19</v>
      </c>
      <c r="C73" t="s">
        <v>32</v>
      </c>
      <c r="D73">
        <v>404</v>
      </c>
      <c r="E73">
        <v>120</v>
      </c>
      <c r="F73">
        <v>165.55</v>
      </c>
      <c r="G73">
        <v>83</v>
      </c>
      <c r="H73">
        <v>16</v>
      </c>
      <c r="I73" t="s">
        <v>17</v>
      </c>
      <c r="J73" s="6">
        <v>45366</v>
      </c>
      <c r="K73">
        <f>Table1[[#This Row],[Stock_Level]]*Table1[[#This Row],[Unit_Cost]]</f>
        <v>66882.200000000012</v>
      </c>
      <c r="L73">
        <f t="shared" si="1"/>
        <v>0</v>
      </c>
      <c r="M73" s="7">
        <f ca="1">_xlfn.DAYS(TODAY(),Table1[[#This Row],[Last_Stocked_Date]])</f>
        <v>714</v>
      </c>
    </row>
    <row r="74" spans="1:13" x14ac:dyDescent="0.45">
      <c r="A74" t="s">
        <v>111</v>
      </c>
      <c r="B74" t="s">
        <v>29</v>
      </c>
      <c r="C74" t="s">
        <v>16</v>
      </c>
      <c r="D74">
        <v>312</v>
      </c>
      <c r="E74">
        <v>58</v>
      </c>
      <c r="F74">
        <v>120.78</v>
      </c>
      <c r="G74">
        <v>128</v>
      </c>
      <c r="H74">
        <v>4</v>
      </c>
      <c r="I74" t="s">
        <v>17</v>
      </c>
      <c r="J74" s="6">
        <v>45367</v>
      </c>
      <c r="K74">
        <f>Table1[[#This Row],[Stock_Level]]*Table1[[#This Row],[Unit_Cost]]</f>
        <v>37683.360000000001</v>
      </c>
      <c r="L74">
        <f t="shared" si="1"/>
        <v>0</v>
      </c>
      <c r="M74" s="7">
        <f ca="1">_xlfn.DAYS(TODAY(),Table1[[#This Row],[Last_Stocked_Date]])</f>
        <v>713</v>
      </c>
    </row>
    <row r="75" spans="1:13" x14ac:dyDescent="0.45">
      <c r="A75" t="s">
        <v>113</v>
      </c>
      <c r="B75" t="s">
        <v>29</v>
      </c>
      <c r="C75" t="s">
        <v>16</v>
      </c>
      <c r="D75">
        <v>102</v>
      </c>
      <c r="E75">
        <v>50</v>
      </c>
      <c r="F75">
        <v>109.39</v>
      </c>
      <c r="G75">
        <v>181</v>
      </c>
      <c r="H75">
        <v>27</v>
      </c>
      <c r="I75" t="s">
        <v>26</v>
      </c>
      <c r="J75" s="6">
        <v>45368</v>
      </c>
      <c r="K75">
        <f>Table1[[#This Row],[Stock_Level]]*Table1[[#This Row],[Unit_Cost]]</f>
        <v>11157.78</v>
      </c>
      <c r="L75">
        <f t="shared" si="1"/>
        <v>0</v>
      </c>
      <c r="M75" s="7">
        <f ca="1">_xlfn.DAYS(TODAY(),Table1[[#This Row],[Last_Stocked_Date]])</f>
        <v>712</v>
      </c>
    </row>
    <row r="76" spans="1:13" x14ac:dyDescent="0.45">
      <c r="A76" t="s">
        <v>114</v>
      </c>
      <c r="B76" t="s">
        <v>15</v>
      </c>
      <c r="C76" t="s">
        <v>32</v>
      </c>
      <c r="D76">
        <v>406</v>
      </c>
      <c r="E76">
        <v>78</v>
      </c>
      <c r="F76">
        <v>429.31</v>
      </c>
      <c r="G76">
        <v>57</v>
      </c>
      <c r="H76">
        <v>6</v>
      </c>
      <c r="I76" t="s">
        <v>26</v>
      </c>
      <c r="J76" s="6">
        <v>45369</v>
      </c>
      <c r="K76">
        <f>Table1[[#This Row],[Stock_Level]]*Table1[[#This Row],[Unit_Cost]]</f>
        <v>174299.86000000002</v>
      </c>
      <c r="L76">
        <f t="shared" si="1"/>
        <v>0</v>
      </c>
      <c r="M76" s="7">
        <f ca="1">_xlfn.DAYS(TODAY(),Table1[[#This Row],[Last_Stocked_Date]])</f>
        <v>711</v>
      </c>
    </row>
    <row r="77" spans="1:13" x14ac:dyDescent="0.45">
      <c r="A77" t="s">
        <v>115</v>
      </c>
      <c r="B77" t="s">
        <v>29</v>
      </c>
      <c r="C77" t="s">
        <v>20</v>
      </c>
      <c r="D77">
        <v>346</v>
      </c>
      <c r="E77">
        <v>112</v>
      </c>
      <c r="F77">
        <v>411.11</v>
      </c>
      <c r="G77">
        <v>197</v>
      </c>
      <c r="H77">
        <v>24</v>
      </c>
      <c r="I77" t="s">
        <v>21</v>
      </c>
      <c r="J77" s="6">
        <v>45370</v>
      </c>
      <c r="K77">
        <f>Table1[[#This Row],[Stock_Level]]*Table1[[#This Row],[Unit_Cost]]</f>
        <v>142244.06</v>
      </c>
      <c r="L77">
        <f t="shared" si="1"/>
        <v>0</v>
      </c>
      <c r="M77" s="7">
        <f ca="1">_xlfn.DAYS(TODAY(),Table1[[#This Row],[Last_Stocked_Date]])</f>
        <v>710</v>
      </c>
    </row>
    <row r="78" spans="1:13" x14ac:dyDescent="0.45">
      <c r="A78" t="s">
        <v>116</v>
      </c>
      <c r="B78" t="s">
        <v>24</v>
      </c>
      <c r="C78" t="s">
        <v>16</v>
      </c>
      <c r="D78">
        <v>300</v>
      </c>
      <c r="E78">
        <v>121</v>
      </c>
      <c r="F78">
        <v>223.08</v>
      </c>
      <c r="G78">
        <v>145</v>
      </c>
      <c r="H78">
        <v>22</v>
      </c>
      <c r="I78" t="s">
        <v>26</v>
      </c>
      <c r="J78" s="6">
        <v>45371</v>
      </c>
      <c r="K78">
        <f>Table1[[#This Row],[Stock_Level]]*Table1[[#This Row],[Unit_Cost]]</f>
        <v>66924</v>
      </c>
      <c r="L78">
        <f t="shared" si="1"/>
        <v>0</v>
      </c>
      <c r="M78" s="7">
        <f ca="1">_xlfn.DAYS(TODAY(),Table1[[#This Row],[Last_Stocked_Date]])</f>
        <v>709</v>
      </c>
    </row>
    <row r="79" spans="1:13" x14ac:dyDescent="0.45">
      <c r="A79" t="s">
        <v>117</v>
      </c>
      <c r="B79" t="s">
        <v>15</v>
      </c>
      <c r="C79" t="s">
        <v>32</v>
      </c>
      <c r="D79">
        <v>427</v>
      </c>
      <c r="E79">
        <v>105</v>
      </c>
      <c r="F79">
        <v>70.540000000000006</v>
      </c>
      <c r="G79">
        <v>133</v>
      </c>
      <c r="H79">
        <v>6</v>
      </c>
      <c r="I79" t="s">
        <v>26</v>
      </c>
      <c r="J79" s="6">
        <v>45372</v>
      </c>
      <c r="K79">
        <f>Table1[[#This Row],[Stock_Level]]*Table1[[#This Row],[Unit_Cost]]</f>
        <v>30120.58</v>
      </c>
      <c r="L79">
        <f t="shared" si="1"/>
        <v>0</v>
      </c>
      <c r="M79" s="7">
        <f ca="1">_xlfn.DAYS(TODAY(),Table1[[#This Row],[Last_Stocked_Date]])</f>
        <v>708</v>
      </c>
    </row>
    <row r="80" spans="1:13" x14ac:dyDescent="0.45">
      <c r="A80" t="s">
        <v>118</v>
      </c>
      <c r="B80" t="s">
        <v>24</v>
      </c>
      <c r="C80" t="s">
        <v>20</v>
      </c>
      <c r="D80">
        <v>465</v>
      </c>
      <c r="E80">
        <v>117</v>
      </c>
      <c r="F80">
        <v>194.21</v>
      </c>
      <c r="G80">
        <v>44</v>
      </c>
      <c r="H80">
        <v>10</v>
      </c>
      <c r="I80" t="s">
        <v>21</v>
      </c>
      <c r="J80" s="6">
        <v>45373</v>
      </c>
      <c r="K80">
        <f>Table1[[#This Row],[Stock_Level]]*Table1[[#This Row],[Unit_Cost]]</f>
        <v>90307.650000000009</v>
      </c>
      <c r="L80">
        <f t="shared" si="1"/>
        <v>0</v>
      </c>
      <c r="M80" s="7">
        <f ca="1">_xlfn.DAYS(TODAY(),Table1[[#This Row],[Last_Stocked_Date]])</f>
        <v>707</v>
      </c>
    </row>
    <row r="81" spans="1:13" x14ac:dyDescent="0.45">
      <c r="A81" t="s">
        <v>119</v>
      </c>
      <c r="B81" t="s">
        <v>29</v>
      </c>
      <c r="C81" t="s">
        <v>25</v>
      </c>
      <c r="D81">
        <v>87</v>
      </c>
      <c r="E81">
        <v>84</v>
      </c>
      <c r="F81">
        <v>311.58</v>
      </c>
      <c r="G81">
        <v>96</v>
      </c>
      <c r="H81">
        <v>16</v>
      </c>
      <c r="I81" t="s">
        <v>17</v>
      </c>
      <c r="J81" s="6">
        <v>45374</v>
      </c>
      <c r="K81">
        <f>Table1[[#This Row],[Stock_Level]]*Table1[[#This Row],[Unit_Cost]]</f>
        <v>27107.46</v>
      </c>
      <c r="L81">
        <f t="shared" si="1"/>
        <v>0</v>
      </c>
      <c r="M81" s="7">
        <f ca="1">_xlfn.DAYS(TODAY(),Table1[[#This Row],[Last_Stocked_Date]])</f>
        <v>706</v>
      </c>
    </row>
    <row r="82" spans="1:13" x14ac:dyDescent="0.45">
      <c r="A82" t="s">
        <v>120</v>
      </c>
      <c r="B82" t="s">
        <v>24</v>
      </c>
      <c r="C82" t="s">
        <v>32</v>
      </c>
      <c r="D82">
        <v>370</v>
      </c>
      <c r="E82">
        <v>52</v>
      </c>
      <c r="F82">
        <v>229.93</v>
      </c>
      <c r="G82">
        <v>22</v>
      </c>
      <c r="H82">
        <v>4</v>
      </c>
      <c r="I82" t="s">
        <v>21</v>
      </c>
      <c r="J82" s="6">
        <v>45375</v>
      </c>
      <c r="K82">
        <f>Table1[[#This Row],[Stock_Level]]*Table1[[#This Row],[Unit_Cost]]</f>
        <v>85074.1</v>
      </c>
      <c r="L82">
        <f t="shared" si="1"/>
        <v>0</v>
      </c>
      <c r="M82" s="7">
        <f ca="1">_xlfn.DAYS(TODAY(),Table1[[#This Row],[Last_Stocked_Date]])</f>
        <v>705</v>
      </c>
    </row>
    <row r="83" spans="1:13" x14ac:dyDescent="0.45">
      <c r="A83" t="s">
        <v>121</v>
      </c>
      <c r="B83" t="s">
        <v>19</v>
      </c>
      <c r="C83" t="s">
        <v>16</v>
      </c>
      <c r="D83">
        <v>302</v>
      </c>
      <c r="E83">
        <v>56</v>
      </c>
      <c r="F83">
        <v>391.19</v>
      </c>
      <c r="G83">
        <v>22</v>
      </c>
      <c r="H83">
        <v>7</v>
      </c>
      <c r="I83" t="s">
        <v>26</v>
      </c>
      <c r="J83" s="6">
        <v>45376</v>
      </c>
      <c r="K83">
        <f>Table1[[#This Row],[Stock_Level]]*Table1[[#This Row],[Unit_Cost]]</f>
        <v>118139.38</v>
      </c>
      <c r="L83">
        <f t="shared" si="1"/>
        <v>0</v>
      </c>
      <c r="M83" s="7">
        <f ca="1">_xlfn.DAYS(TODAY(),Table1[[#This Row],[Last_Stocked_Date]])</f>
        <v>704</v>
      </c>
    </row>
    <row r="84" spans="1:13" x14ac:dyDescent="0.45">
      <c r="A84" t="s">
        <v>122</v>
      </c>
      <c r="B84" t="s">
        <v>29</v>
      </c>
      <c r="C84" t="s">
        <v>25</v>
      </c>
      <c r="D84">
        <v>167</v>
      </c>
      <c r="E84">
        <v>76</v>
      </c>
      <c r="F84">
        <v>498.82</v>
      </c>
      <c r="G84">
        <v>153</v>
      </c>
      <c r="H84">
        <v>18</v>
      </c>
      <c r="I84" t="s">
        <v>21</v>
      </c>
      <c r="J84" s="6">
        <v>45377</v>
      </c>
      <c r="K84">
        <f>Table1[[#This Row],[Stock_Level]]*Table1[[#This Row],[Unit_Cost]]</f>
        <v>83302.94</v>
      </c>
      <c r="L84">
        <f t="shared" si="1"/>
        <v>0</v>
      </c>
      <c r="M84" s="7">
        <f ca="1">_xlfn.DAYS(TODAY(),Table1[[#This Row],[Last_Stocked_Date]])</f>
        <v>703</v>
      </c>
    </row>
    <row r="85" spans="1:13" x14ac:dyDescent="0.45">
      <c r="A85" t="s">
        <v>123</v>
      </c>
      <c r="B85" t="s">
        <v>19</v>
      </c>
      <c r="C85" t="s">
        <v>20</v>
      </c>
      <c r="D85">
        <v>434</v>
      </c>
      <c r="E85">
        <v>50</v>
      </c>
      <c r="F85">
        <v>99.61</v>
      </c>
      <c r="G85">
        <v>134</v>
      </c>
      <c r="H85">
        <v>27</v>
      </c>
      <c r="I85" t="s">
        <v>17</v>
      </c>
      <c r="J85" s="6">
        <v>45378</v>
      </c>
      <c r="K85">
        <f>Table1[[#This Row],[Stock_Level]]*Table1[[#This Row],[Unit_Cost]]</f>
        <v>43230.74</v>
      </c>
      <c r="L85">
        <f t="shared" si="1"/>
        <v>0</v>
      </c>
      <c r="M85" s="7">
        <f ca="1">_xlfn.DAYS(TODAY(),Table1[[#This Row],[Last_Stocked_Date]])</f>
        <v>702</v>
      </c>
    </row>
    <row r="86" spans="1:13" x14ac:dyDescent="0.45">
      <c r="A86" t="s">
        <v>124</v>
      </c>
      <c r="B86" t="s">
        <v>24</v>
      </c>
      <c r="C86" t="s">
        <v>20</v>
      </c>
      <c r="D86">
        <v>169</v>
      </c>
      <c r="E86">
        <v>140</v>
      </c>
      <c r="F86">
        <v>232.53</v>
      </c>
      <c r="G86">
        <v>78</v>
      </c>
      <c r="H86">
        <v>22</v>
      </c>
      <c r="I86" t="s">
        <v>21</v>
      </c>
      <c r="J86" s="6">
        <v>45379</v>
      </c>
      <c r="K86">
        <f>Table1[[#This Row],[Stock_Level]]*Table1[[#This Row],[Unit_Cost]]</f>
        <v>39297.57</v>
      </c>
      <c r="L86">
        <f t="shared" si="1"/>
        <v>0</v>
      </c>
      <c r="M86" s="7">
        <f ca="1">_xlfn.DAYS(TODAY(),Table1[[#This Row],[Last_Stocked_Date]])</f>
        <v>701</v>
      </c>
    </row>
    <row r="87" spans="1:13" x14ac:dyDescent="0.45">
      <c r="A87" t="s">
        <v>125</v>
      </c>
      <c r="B87" t="s">
        <v>19</v>
      </c>
      <c r="C87" t="s">
        <v>32</v>
      </c>
      <c r="D87">
        <v>134</v>
      </c>
      <c r="E87">
        <v>129</v>
      </c>
      <c r="F87">
        <v>218.34</v>
      </c>
      <c r="G87">
        <v>43</v>
      </c>
      <c r="H87">
        <v>9</v>
      </c>
      <c r="I87" t="s">
        <v>26</v>
      </c>
      <c r="J87" s="6">
        <v>45380</v>
      </c>
      <c r="K87">
        <f>Table1[[#This Row],[Stock_Level]]*Table1[[#This Row],[Unit_Cost]]</f>
        <v>29257.56</v>
      </c>
      <c r="L87">
        <f t="shared" si="1"/>
        <v>0</v>
      </c>
      <c r="M87" s="7">
        <f ca="1">_xlfn.DAYS(TODAY(),Table1[[#This Row],[Last_Stocked_Date]])</f>
        <v>700</v>
      </c>
    </row>
    <row r="88" spans="1:13" x14ac:dyDescent="0.45">
      <c r="A88" t="s">
        <v>126</v>
      </c>
      <c r="B88" t="s">
        <v>29</v>
      </c>
      <c r="C88" t="s">
        <v>32</v>
      </c>
      <c r="D88">
        <v>49</v>
      </c>
      <c r="E88">
        <v>120</v>
      </c>
      <c r="F88">
        <v>155.72</v>
      </c>
      <c r="G88">
        <v>26</v>
      </c>
      <c r="H88">
        <v>22</v>
      </c>
      <c r="I88" t="s">
        <v>26</v>
      </c>
      <c r="J88" s="6">
        <v>45381</v>
      </c>
      <c r="K88">
        <f>Table1[[#This Row],[Stock_Level]]*Table1[[#This Row],[Unit_Cost]]</f>
        <v>7630.28</v>
      </c>
      <c r="L88">
        <f t="shared" si="1"/>
        <v>1</v>
      </c>
      <c r="M88" s="7">
        <f ca="1">_xlfn.DAYS(TODAY(),Table1[[#This Row],[Last_Stocked_Date]])</f>
        <v>699</v>
      </c>
    </row>
    <row r="89" spans="1:13" x14ac:dyDescent="0.45">
      <c r="A89" t="s">
        <v>127</v>
      </c>
      <c r="B89" t="s">
        <v>19</v>
      </c>
      <c r="C89" t="s">
        <v>32</v>
      </c>
      <c r="D89">
        <v>431</v>
      </c>
      <c r="E89">
        <v>93</v>
      </c>
      <c r="F89">
        <v>103.06</v>
      </c>
      <c r="G89">
        <v>25</v>
      </c>
      <c r="H89">
        <v>26</v>
      </c>
      <c r="I89" t="s">
        <v>21</v>
      </c>
      <c r="J89" s="6">
        <v>45382</v>
      </c>
      <c r="K89">
        <f>Table1[[#This Row],[Stock_Level]]*Table1[[#This Row],[Unit_Cost]]</f>
        <v>44418.86</v>
      </c>
      <c r="L89">
        <f t="shared" si="1"/>
        <v>0</v>
      </c>
      <c r="M89" s="7">
        <f ca="1">_xlfn.DAYS(TODAY(),Table1[[#This Row],[Last_Stocked_Date]])</f>
        <v>698</v>
      </c>
    </row>
    <row r="90" spans="1:13" x14ac:dyDescent="0.45">
      <c r="A90" t="s">
        <v>128</v>
      </c>
      <c r="B90" t="s">
        <v>24</v>
      </c>
      <c r="C90" t="s">
        <v>20</v>
      </c>
      <c r="D90">
        <v>339</v>
      </c>
      <c r="E90">
        <v>136</v>
      </c>
      <c r="F90">
        <v>37.520000000000003</v>
      </c>
      <c r="G90">
        <v>96</v>
      </c>
      <c r="H90">
        <v>12</v>
      </c>
      <c r="I90" t="s">
        <v>17</v>
      </c>
      <c r="J90" s="6">
        <v>45383</v>
      </c>
      <c r="K90">
        <f>Table1[[#This Row],[Stock_Level]]*Table1[[#This Row],[Unit_Cost]]</f>
        <v>12719.28</v>
      </c>
      <c r="L90">
        <f t="shared" si="1"/>
        <v>0</v>
      </c>
      <c r="M90" s="7">
        <f ca="1">_xlfn.DAYS(TODAY(),Table1[[#This Row],[Last_Stocked_Date]])</f>
        <v>697</v>
      </c>
    </row>
    <row r="91" spans="1:13" x14ac:dyDescent="0.45">
      <c r="A91" t="s">
        <v>129</v>
      </c>
      <c r="B91" t="s">
        <v>24</v>
      </c>
      <c r="C91" t="s">
        <v>25</v>
      </c>
      <c r="D91">
        <v>346</v>
      </c>
      <c r="E91">
        <v>90</v>
      </c>
      <c r="F91">
        <v>444.12</v>
      </c>
      <c r="G91">
        <v>35</v>
      </c>
      <c r="H91">
        <v>7</v>
      </c>
      <c r="I91" t="s">
        <v>21</v>
      </c>
      <c r="J91" s="6">
        <v>45384</v>
      </c>
      <c r="K91">
        <f>Table1[[#This Row],[Stock_Level]]*Table1[[#This Row],[Unit_Cost]]</f>
        <v>153665.51999999999</v>
      </c>
      <c r="L91">
        <f t="shared" si="1"/>
        <v>0</v>
      </c>
      <c r="M91" s="7">
        <f ca="1">_xlfn.DAYS(TODAY(),Table1[[#This Row],[Last_Stocked_Date]])</f>
        <v>696</v>
      </c>
    </row>
    <row r="92" spans="1:13" x14ac:dyDescent="0.45">
      <c r="A92" t="s">
        <v>131</v>
      </c>
      <c r="B92" t="s">
        <v>24</v>
      </c>
      <c r="C92" t="s">
        <v>20</v>
      </c>
      <c r="D92">
        <v>133</v>
      </c>
      <c r="E92">
        <v>124</v>
      </c>
      <c r="F92">
        <v>212.83</v>
      </c>
      <c r="G92">
        <v>108</v>
      </c>
      <c r="H92">
        <v>9</v>
      </c>
      <c r="I92" t="s">
        <v>17</v>
      </c>
      <c r="J92" s="6">
        <v>45385</v>
      </c>
      <c r="K92">
        <f>Table1[[#This Row],[Stock_Level]]*Table1[[#This Row],[Unit_Cost]]</f>
        <v>28306.390000000003</v>
      </c>
      <c r="L92">
        <f t="shared" si="1"/>
        <v>0</v>
      </c>
      <c r="M92" s="7">
        <f ca="1">_xlfn.DAYS(TODAY(),Table1[[#This Row],[Last_Stocked_Date]])</f>
        <v>695</v>
      </c>
    </row>
    <row r="93" spans="1:13" x14ac:dyDescent="0.45">
      <c r="A93" t="s">
        <v>132</v>
      </c>
      <c r="B93" t="s">
        <v>29</v>
      </c>
      <c r="C93" t="s">
        <v>16</v>
      </c>
      <c r="D93">
        <v>346</v>
      </c>
      <c r="E93">
        <v>91</v>
      </c>
      <c r="F93">
        <v>250.96</v>
      </c>
      <c r="G93">
        <v>54</v>
      </c>
      <c r="H93">
        <v>11</v>
      </c>
      <c r="I93" t="s">
        <v>17</v>
      </c>
      <c r="J93" s="6">
        <v>45386</v>
      </c>
      <c r="K93">
        <f>Table1[[#This Row],[Stock_Level]]*Table1[[#This Row],[Unit_Cost]]</f>
        <v>86832.16</v>
      </c>
      <c r="L93">
        <f t="shared" si="1"/>
        <v>0</v>
      </c>
      <c r="M93" s="7">
        <f ca="1">_xlfn.DAYS(TODAY(),Table1[[#This Row],[Last_Stocked_Date]])</f>
        <v>694</v>
      </c>
    </row>
    <row r="94" spans="1:13" x14ac:dyDescent="0.45">
      <c r="A94" t="s">
        <v>134</v>
      </c>
      <c r="B94" t="s">
        <v>24</v>
      </c>
      <c r="C94" t="s">
        <v>20</v>
      </c>
      <c r="D94">
        <v>136</v>
      </c>
      <c r="E94">
        <v>82</v>
      </c>
      <c r="F94">
        <v>458.89</v>
      </c>
      <c r="G94">
        <v>191</v>
      </c>
      <c r="H94">
        <v>25</v>
      </c>
      <c r="I94" t="s">
        <v>21</v>
      </c>
      <c r="J94" s="6">
        <v>45387</v>
      </c>
      <c r="K94">
        <f>Table1[[#This Row],[Stock_Level]]*Table1[[#This Row],[Unit_Cost]]</f>
        <v>62409.04</v>
      </c>
      <c r="L94">
        <f t="shared" si="1"/>
        <v>0</v>
      </c>
      <c r="M94" s="7">
        <f ca="1">_xlfn.DAYS(TODAY(),Table1[[#This Row],[Last_Stocked_Date]])</f>
        <v>693</v>
      </c>
    </row>
    <row r="95" spans="1:13" x14ac:dyDescent="0.45">
      <c r="A95" t="s">
        <v>135</v>
      </c>
      <c r="B95" t="s">
        <v>29</v>
      </c>
      <c r="C95" t="s">
        <v>16</v>
      </c>
      <c r="D95">
        <v>244</v>
      </c>
      <c r="E95">
        <v>99</v>
      </c>
      <c r="F95">
        <v>389.26</v>
      </c>
      <c r="G95">
        <v>184</v>
      </c>
      <c r="H95">
        <v>4</v>
      </c>
      <c r="I95" t="s">
        <v>17</v>
      </c>
      <c r="J95" s="6">
        <v>45388</v>
      </c>
      <c r="K95">
        <f>Table1[[#This Row],[Stock_Level]]*Table1[[#This Row],[Unit_Cost]]</f>
        <v>94979.44</v>
      </c>
      <c r="L95">
        <f t="shared" si="1"/>
        <v>0</v>
      </c>
      <c r="M95" s="7">
        <f ca="1">_xlfn.DAYS(TODAY(),Table1[[#This Row],[Last_Stocked_Date]])</f>
        <v>692</v>
      </c>
    </row>
    <row r="96" spans="1:13" x14ac:dyDescent="0.45">
      <c r="A96" t="s">
        <v>136</v>
      </c>
      <c r="B96" t="s">
        <v>19</v>
      </c>
      <c r="C96" t="s">
        <v>25</v>
      </c>
      <c r="D96">
        <v>108</v>
      </c>
      <c r="E96">
        <v>112</v>
      </c>
      <c r="F96">
        <v>69.599999999999994</v>
      </c>
      <c r="G96">
        <v>68</v>
      </c>
      <c r="H96">
        <v>24</v>
      </c>
      <c r="I96" t="s">
        <v>26</v>
      </c>
      <c r="J96" s="6">
        <v>45389</v>
      </c>
      <c r="K96">
        <f>Table1[[#This Row],[Stock_Level]]*Table1[[#This Row],[Unit_Cost]]</f>
        <v>7516.7999999999993</v>
      </c>
      <c r="L96">
        <f t="shared" si="1"/>
        <v>1</v>
      </c>
      <c r="M96" s="7">
        <f ca="1">_xlfn.DAYS(TODAY(),Table1[[#This Row],[Last_Stocked_Date]])</f>
        <v>691</v>
      </c>
    </row>
    <row r="97" spans="1:13" x14ac:dyDescent="0.45">
      <c r="A97" t="s">
        <v>138</v>
      </c>
      <c r="B97" t="s">
        <v>24</v>
      </c>
      <c r="C97" t="s">
        <v>32</v>
      </c>
      <c r="D97">
        <v>312</v>
      </c>
      <c r="E97">
        <v>149</v>
      </c>
      <c r="F97">
        <v>284.88</v>
      </c>
      <c r="G97">
        <v>60</v>
      </c>
      <c r="H97">
        <v>15</v>
      </c>
      <c r="I97" t="s">
        <v>21</v>
      </c>
      <c r="J97" s="6">
        <v>45390</v>
      </c>
      <c r="K97">
        <f>Table1[[#This Row],[Stock_Level]]*Table1[[#This Row],[Unit_Cost]]</f>
        <v>88882.559999999998</v>
      </c>
      <c r="L97">
        <f t="shared" si="1"/>
        <v>0</v>
      </c>
      <c r="M97" s="7">
        <f ca="1">_xlfn.DAYS(TODAY(),Table1[[#This Row],[Last_Stocked_Date]])</f>
        <v>690</v>
      </c>
    </row>
    <row r="98" spans="1:13" x14ac:dyDescent="0.45">
      <c r="A98" t="s">
        <v>139</v>
      </c>
      <c r="B98" t="s">
        <v>19</v>
      </c>
      <c r="C98" t="s">
        <v>32</v>
      </c>
      <c r="D98">
        <v>286</v>
      </c>
      <c r="E98">
        <v>86</v>
      </c>
      <c r="F98">
        <v>223.91</v>
      </c>
      <c r="G98">
        <v>129</v>
      </c>
      <c r="H98">
        <v>24</v>
      </c>
      <c r="I98" t="s">
        <v>17</v>
      </c>
      <c r="J98" s="6">
        <v>45391</v>
      </c>
      <c r="K98">
        <f>Table1[[#This Row],[Stock_Level]]*Table1[[#This Row],[Unit_Cost]]</f>
        <v>64038.26</v>
      </c>
      <c r="L98">
        <f t="shared" si="1"/>
        <v>0</v>
      </c>
      <c r="M98" s="7">
        <f ca="1">_xlfn.DAYS(TODAY(),Table1[[#This Row],[Last_Stocked_Date]])</f>
        <v>689</v>
      </c>
    </row>
    <row r="99" spans="1:13" x14ac:dyDescent="0.45">
      <c r="A99" t="s">
        <v>140</v>
      </c>
      <c r="B99" t="s">
        <v>15</v>
      </c>
      <c r="C99" t="s">
        <v>20</v>
      </c>
      <c r="D99">
        <v>20</v>
      </c>
      <c r="E99">
        <v>108</v>
      </c>
      <c r="F99">
        <v>399.62</v>
      </c>
      <c r="G99">
        <v>54</v>
      </c>
      <c r="H99">
        <v>15</v>
      </c>
      <c r="I99" t="s">
        <v>26</v>
      </c>
      <c r="J99" s="6">
        <v>45392</v>
      </c>
      <c r="K99">
        <f>Table1[[#This Row],[Stock_Level]]*Table1[[#This Row],[Unit_Cost]]</f>
        <v>7992.4</v>
      </c>
      <c r="L99">
        <f t="shared" si="1"/>
        <v>1</v>
      </c>
      <c r="M99" s="7">
        <f ca="1">_xlfn.DAYS(TODAY(),Table1[[#This Row],[Last_Stocked_Date]])</f>
        <v>688</v>
      </c>
    </row>
    <row r="100" spans="1:13" x14ac:dyDescent="0.45">
      <c r="A100" t="s">
        <v>141</v>
      </c>
      <c r="B100" t="s">
        <v>19</v>
      </c>
      <c r="C100" t="s">
        <v>32</v>
      </c>
      <c r="D100">
        <v>89</v>
      </c>
      <c r="E100">
        <v>130</v>
      </c>
      <c r="F100">
        <v>363.5</v>
      </c>
      <c r="G100">
        <v>121</v>
      </c>
      <c r="H100">
        <v>11</v>
      </c>
      <c r="I100" t="s">
        <v>21</v>
      </c>
      <c r="J100" s="6">
        <v>45393</v>
      </c>
      <c r="K100">
        <f>Table1[[#This Row],[Stock_Level]]*Table1[[#This Row],[Unit_Cost]]</f>
        <v>32351.5</v>
      </c>
      <c r="L100">
        <f t="shared" si="1"/>
        <v>1</v>
      </c>
      <c r="M100" s="7">
        <f ca="1">_xlfn.DAYS(TODAY(),Table1[[#This Row],[Last_Stocked_Date]])</f>
        <v>687</v>
      </c>
    </row>
    <row r="101" spans="1:13" x14ac:dyDescent="0.45">
      <c r="A101" t="s">
        <v>142</v>
      </c>
      <c r="B101" t="s">
        <v>15</v>
      </c>
      <c r="C101" t="s">
        <v>25</v>
      </c>
      <c r="D101">
        <v>295</v>
      </c>
      <c r="E101">
        <v>148</v>
      </c>
      <c r="F101">
        <v>346.75</v>
      </c>
      <c r="G101">
        <v>96</v>
      </c>
      <c r="H101">
        <v>13</v>
      </c>
      <c r="I101" t="s">
        <v>26</v>
      </c>
      <c r="J101" s="6">
        <v>45394</v>
      </c>
      <c r="K101">
        <f>Table1[[#This Row],[Stock_Level]]*Table1[[#This Row],[Unit_Cost]]</f>
        <v>102291.25</v>
      </c>
      <c r="L101">
        <f t="shared" si="1"/>
        <v>0</v>
      </c>
      <c r="M101" s="7">
        <f ca="1">_xlfn.DAYS(TODAY(),Table1[[#This Row],[Last_Stocked_Date]])</f>
        <v>686</v>
      </c>
    </row>
    <row r="102" spans="1:13" x14ac:dyDescent="0.45">
      <c r="A102" t="s">
        <v>143</v>
      </c>
      <c r="B102" t="s">
        <v>19</v>
      </c>
      <c r="C102" t="s">
        <v>32</v>
      </c>
      <c r="D102">
        <v>111</v>
      </c>
      <c r="E102">
        <v>97</v>
      </c>
      <c r="F102">
        <v>173.57</v>
      </c>
      <c r="G102">
        <v>79</v>
      </c>
      <c r="H102">
        <v>7</v>
      </c>
      <c r="I102" t="s">
        <v>26</v>
      </c>
      <c r="J102" s="6">
        <v>45395</v>
      </c>
      <c r="K102">
        <f>Table1[[#This Row],[Stock_Level]]*Table1[[#This Row],[Unit_Cost]]</f>
        <v>19266.27</v>
      </c>
      <c r="L102">
        <f t="shared" si="1"/>
        <v>0</v>
      </c>
      <c r="M102" s="7">
        <f ca="1">_xlfn.DAYS(TODAY(),Table1[[#This Row],[Last_Stocked_Date]])</f>
        <v>685</v>
      </c>
    </row>
    <row r="103" spans="1:13" x14ac:dyDescent="0.45">
      <c r="A103" t="s">
        <v>145</v>
      </c>
      <c r="B103" t="s">
        <v>29</v>
      </c>
      <c r="C103" t="s">
        <v>20</v>
      </c>
      <c r="D103">
        <v>300</v>
      </c>
      <c r="E103">
        <v>54</v>
      </c>
      <c r="F103">
        <v>403.46</v>
      </c>
      <c r="G103">
        <v>86</v>
      </c>
      <c r="H103">
        <v>13</v>
      </c>
      <c r="I103" t="s">
        <v>26</v>
      </c>
      <c r="J103" s="6">
        <v>45396</v>
      </c>
      <c r="K103">
        <f>Table1[[#This Row],[Stock_Level]]*Table1[[#This Row],[Unit_Cost]]</f>
        <v>121038</v>
      </c>
      <c r="L103">
        <f t="shared" si="1"/>
        <v>0</v>
      </c>
      <c r="M103" s="7">
        <f ca="1">_xlfn.DAYS(TODAY(),Table1[[#This Row],[Last_Stocked_Date]])</f>
        <v>684</v>
      </c>
    </row>
    <row r="104" spans="1:13" x14ac:dyDescent="0.45">
      <c r="A104" t="s">
        <v>146</v>
      </c>
      <c r="B104" t="s">
        <v>19</v>
      </c>
      <c r="C104" t="s">
        <v>25</v>
      </c>
      <c r="D104">
        <v>76</v>
      </c>
      <c r="E104">
        <v>97</v>
      </c>
      <c r="F104">
        <v>30.93</v>
      </c>
      <c r="G104">
        <v>37</v>
      </c>
      <c r="H104">
        <v>24</v>
      </c>
      <c r="I104" t="s">
        <v>17</v>
      </c>
      <c r="J104" s="6">
        <v>45397</v>
      </c>
      <c r="K104">
        <f>Table1[[#This Row],[Stock_Level]]*Table1[[#This Row],[Unit_Cost]]</f>
        <v>2350.6799999999998</v>
      </c>
      <c r="L104">
        <f t="shared" si="1"/>
        <v>1</v>
      </c>
      <c r="M104" s="7">
        <f ca="1">_xlfn.DAYS(TODAY(),Table1[[#This Row],[Last_Stocked_Date]])</f>
        <v>683</v>
      </c>
    </row>
    <row r="105" spans="1:13" x14ac:dyDescent="0.45">
      <c r="A105" t="s">
        <v>147</v>
      </c>
      <c r="B105" t="s">
        <v>29</v>
      </c>
      <c r="C105" t="s">
        <v>16</v>
      </c>
      <c r="D105">
        <v>176</v>
      </c>
      <c r="E105">
        <v>145</v>
      </c>
      <c r="F105">
        <v>84.01</v>
      </c>
      <c r="G105">
        <v>118</v>
      </c>
      <c r="H105">
        <v>15</v>
      </c>
      <c r="I105" t="s">
        <v>21</v>
      </c>
      <c r="J105" s="6">
        <v>45398</v>
      </c>
      <c r="K105">
        <f>Table1[[#This Row],[Stock_Level]]*Table1[[#This Row],[Unit_Cost]]</f>
        <v>14785.76</v>
      </c>
      <c r="L105">
        <f t="shared" si="1"/>
        <v>0</v>
      </c>
      <c r="M105" s="7">
        <f ca="1">_xlfn.DAYS(TODAY(),Table1[[#This Row],[Last_Stocked_Date]])</f>
        <v>682</v>
      </c>
    </row>
    <row r="106" spans="1:13" x14ac:dyDescent="0.45">
      <c r="A106" t="s">
        <v>148</v>
      </c>
      <c r="B106" t="s">
        <v>29</v>
      </c>
      <c r="C106" t="s">
        <v>20</v>
      </c>
      <c r="D106">
        <v>342</v>
      </c>
      <c r="E106">
        <v>52</v>
      </c>
      <c r="F106">
        <v>171.13</v>
      </c>
      <c r="G106">
        <v>77</v>
      </c>
      <c r="H106">
        <v>3</v>
      </c>
      <c r="I106" t="s">
        <v>21</v>
      </c>
      <c r="J106" s="6">
        <v>45399</v>
      </c>
      <c r="K106">
        <f>Table1[[#This Row],[Stock_Level]]*Table1[[#This Row],[Unit_Cost]]</f>
        <v>58526.46</v>
      </c>
      <c r="L106">
        <f t="shared" si="1"/>
        <v>0</v>
      </c>
      <c r="M106" s="7">
        <f ca="1">_xlfn.DAYS(TODAY(),Table1[[#This Row],[Last_Stocked_Date]])</f>
        <v>681</v>
      </c>
    </row>
    <row r="107" spans="1:13" x14ac:dyDescent="0.45">
      <c r="A107" t="s">
        <v>149</v>
      </c>
      <c r="B107" t="s">
        <v>24</v>
      </c>
      <c r="C107" t="s">
        <v>16</v>
      </c>
      <c r="D107">
        <v>147</v>
      </c>
      <c r="E107">
        <v>96</v>
      </c>
      <c r="F107">
        <v>43.02</v>
      </c>
      <c r="G107">
        <v>156</v>
      </c>
      <c r="H107">
        <v>10</v>
      </c>
      <c r="I107" t="s">
        <v>17</v>
      </c>
      <c r="J107" s="6">
        <v>45400</v>
      </c>
      <c r="K107">
        <f>Table1[[#This Row],[Stock_Level]]*Table1[[#This Row],[Unit_Cost]]</f>
        <v>6323.9400000000005</v>
      </c>
      <c r="L107">
        <f t="shared" si="1"/>
        <v>0</v>
      </c>
      <c r="M107" s="7">
        <f ca="1">_xlfn.DAYS(TODAY(),Table1[[#This Row],[Last_Stocked_Date]])</f>
        <v>680</v>
      </c>
    </row>
    <row r="108" spans="1:13" x14ac:dyDescent="0.45">
      <c r="A108" t="s">
        <v>151</v>
      </c>
      <c r="B108" t="s">
        <v>29</v>
      </c>
      <c r="C108" t="s">
        <v>25</v>
      </c>
      <c r="D108">
        <v>100</v>
      </c>
      <c r="E108">
        <v>111</v>
      </c>
      <c r="F108">
        <v>121.32</v>
      </c>
      <c r="G108">
        <v>153</v>
      </c>
      <c r="H108">
        <v>11</v>
      </c>
      <c r="I108" t="s">
        <v>21</v>
      </c>
      <c r="J108" s="6">
        <v>45401</v>
      </c>
      <c r="K108">
        <f>Table1[[#This Row],[Stock_Level]]*Table1[[#This Row],[Unit_Cost]]</f>
        <v>12132</v>
      </c>
      <c r="L108">
        <f t="shared" si="1"/>
        <v>1</v>
      </c>
      <c r="M108" s="7">
        <f ca="1">_xlfn.DAYS(TODAY(),Table1[[#This Row],[Last_Stocked_Date]])</f>
        <v>679</v>
      </c>
    </row>
    <row r="109" spans="1:13" x14ac:dyDescent="0.45">
      <c r="A109" t="s">
        <v>152</v>
      </c>
      <c r="B109" t="s">
        <v>15</v>
      </c>
      <c r="C109" t="s">
        <v>20</v>
      </c>
      <c r="D109">
        <v>245</v>
      </c>
      <c r="E109">
        <v>148</v>
      </c>
      <c r="F109">
        <v>415.92</v>
      </c>
      <c r="G109">
        <v>34</v>
      </c>
      <c r="H109">
        <v>27</v>
      </c>
      <c r="I109" t="s">
        <v>26</v>
      </c>
      <c r="J109" s="6">
        <v>45402</v>
      </c>
      <c r="K109">
        <f>Table1[[#This Row],[Stock_Level]]*Table1[[#This Row],[Unit_Cost]]</f>
        <v>101900.40000000001</v>
      </c>
      <c r="L109">
        <f t="shared" si="1"/>
        <v>0</v>
      </c>
      <c r="M109" s="7">
        <f ca="1">_xlfn.DAYS(TODAY(),Table1[[#This Row],[Last_Stocked_Date]])</f>
        <v>678</v>
      </c>
    </row>
    <row r="110" spans="1:13" x14ac:dyDescent="0.45">
      <c r="A110" t="s">
        <v>154</v>
      </c>
      <c r="B110" t="s">
        <v>24</v>
      </c>
      <c r="C110" t="s">
        <v>20</v>
      </c>
      <c r="D110">
        <v>116</v>
      </c>
      <c r="E110">
        <v>63</v>
      </c>
      <c r="F110">
        <v>474.38</v>
      </c>
      <c r="G110">
        <v>78</v>
      </c>
      <c r="H110">
        <v>18</v>
      </c>
      <c r="I110" t="s">
        <v>21</v>
      </c>
      <c r="J110" s="6">
        <v>45403</v>
      </c>
      <c r="K110">
        <f>Table1[[#This Row],[Stock_Level]]*Table1[[#This Row],[Unit_Cost]]</f>
        <v>55028.08</v>
      </c>
      <c r="L110">
        <f t="shared" si="1"/>
        <v>0</v>
      </c>
      <c r="M110" s="7">
        <f ca="1">_xlfn.DAYS(TODAY(),Table1[[#This Row],[Last_Stocked_Date]])</f>
        <v>677</v>
      </c>
    </row>
    <row r="111" spans="1:13" x14ac:dyDescent="0.45">
      <c r="A111" t="s">
        <v>155</v>
      </c>
      <c r="B111" t="s">
        <v>24</v>
      </c>
      <c r="C111" t="s">
        <v>25</v>
      </c>
      <c r="D111">
        <v>91</v>
      </c>
      <c r="E111">
        <v>112</v>
      </c>
      <c r="F111">
        <v>155.78</v>
      </c>
      <c r="G111">
        <v>66</v>
      </c>
      <c r="H111">
        <v>18</v>
      </c>
      <c r="I111" t="s">
        <v>17</v>
      </c>
      <c r="J111" s="6">
        <v>45404</v>
      </c>
      <c r="K111">
        <f>Table1[[#This Row],[Stock_Level]]*Table1[[#This Row],[Unit_Cost]]</f>
        <v>14175.98</v>
      </c>
      <c r="L111">
        <f t="shared" si="1"/>
        <v>1</v>
      </c>
      <c r="M111" s="7">
        <f ca="1">_xlfn.DAYS(TODAY(),Table1[[#This Row],[Last_Stocked_Date]])</f>
        <v>676</v>
      </c>
    </row>
    <row r="112" spans="1:13" x14ac:dyDescent="0.45">
      <c r="A112" t="s">
        <v>156</v>
      </c>
      <c r="B112" t="s">
        <v>19</v>
      </c>
      <c r="C112" t="s">
        <v>32</v>
      </c>
      <c r="D112">
        <v>400</v>
      </c>
      <c r="E112">
        <v>110</v>
      </c>
      <c r="F112">
        <v>135.94</v>
      </c>
      <c r="G112">
        <v>86</v>
      </c>
      <c r="H112">
        <v>4</v>
      </c>
      <c r="I112" t="s">
        <v>26</v>
      </c>
      <c r="J112" s="6">
        <v>45405</v>
      </c>
      <c r="K112">
        <f>Table1[[#This Row],[Stock_Level]]*Table1[[#This Row],[Unit_Cost]]</f>
        <v>54376</v>
      </c>
      <c r="L112">
        <f t="shared" si="1"/>
        <v>0</v>
      </c>
      <c r="M112" s="7">
        <f ca="1">_xlfn.DAYS(TODAY(),Table1[[#This Row],[Last_Stocked_Date]])</f>
        <v>675</v>
      </c>
    </row>
    <row r="113" spans="1:13" x14ac:dyDescent="0.45">
      <c r="A113" t="s">
        <v>157</v>
      </c>
      <c r="B113" t="s">
        <v>29</v>
      </c>
      <c r="C113" t="s">
        <v>20</v>
      </c>
      <c r="D113">
        <v>27</v>
      </c>
      <c r="E113">
        <v>80</v>
      </c>
      <c r="F113">
        <v>143.55000000000001</v>
      </c>
      <c r="G113">
        <v>156</v>
      </c>
      <c r="H113">
        <v>20</v>
      </c>
      <c r="I113" t="s">
        <v>17</v>
      </c>
      <c r="J113" s="6">
        <v>45406</v>
      </c>
      <c r="K113">
        <f>Table1[[#This Row],[Stock_Level]]*Table1[[#This Row],[Unit_Cost]]</f>
        <v>3875.8500000000004</v>
      </c>
      <c r="L113">
        <f t="shared" si="1"/>
        <v>1</v>
      </c>
      <c r="M113" s="7">
        <f ca="1">_xlfn.DAYS(TODAY(),Table1[[#This Row],[Last_Stocked_Date]])</f>
        <v>674</v>
      </c>
    </row>
    <row r="114" spans="1:13" x14ac:dyDescent="0.45">
      <c r="A114" t="s">
        <v>158</v>
      </c>
      <c r="B114" t="s">
        <v>29</v>
      </c>
      <c r="C114" t="s">
        <v>20</v>
      </c>
      <c r="D114">
        <v>424</v>
      </c>
      <c r="E114">
        <v>144</v>
      </c>
      <c r="F114">
        <v>142.47</v>
      </c>
      <c r="G114">
        <v>33</v>
      </c>
      <c r="H114">
        <v>2</v>
      </c>
      <c r="I114" t="s">
        <v>26</v>
      </c>
      <c r="J114" s="6">
        <v>45407</v>
      </c>
      <c r="K114">
        <f>Table1[[#This Row],[Stock_Level]]*Table1[[#This Row],[Unit_Cost]]</f>
        <v>60407.28</v>
      </c>
      <c r="L114">
        <f t="shared" si="1"/>
        <v>0</v>
      </c>
      <c r="M114" s="7">
        <f ca="1">_xlfn.DAYS(TODAY(),Table1[[#This Row],[Last_Stocked_Date]])</f>
        <v>673</v>
      </c>
    </row>
    <row r="115" spans="1:13" x14ac:dyDescent="0.45">
      <c r="A115" t="s">
        <v>160</v>
      </c>
      <c r="B115" t="s">
        <v>15</v>
      </c>
      <c r="C115" t="s">
        <v>16</v>
      </c>
      <c r="D115">
        <v>449</v>
      </c>
      <c r="E115">
        <v>66</v>
      </c>
      <c r="F115">
        <v>22.79</v>
      </c>
      <c r="G115">
        <v>96</v>
      </c>
      <c r="H115">
        <v>13</v>
      </c>
      <c r="I115" t="s">
        <v>26</v>
      </c>
      <c r="J115" s="6">
        <v>45408</v>
      </c>
      <c r="K115">
        <f>Table1[[#This Row],[Stock_Level]]*Table1[[#This Row],[Unit_Cost]]</f>
        <v>10232.709999999999</v>
      </c>
      <c r="L115">
        <f t="shared" si="1"/>
        <v>0</v>
      </c>
      <c r="M115" s="7">
        <f ca="1">_xlfn.DAYS(TODAY(),Table1[[#This Row],[Last_Stocked_Date]])</f>
        <v>672</v>
      </c>
    </row>
    <row r="116" spans="1:13" x14ac:dyDescent="0.45">
      <c r="A116" t="s">
        <v>161</v>
      </c>
      <c r="B116" t="s">
        <v>19</v>
      </c>
      <c r="C116" t="s">
        <v>32</v>
      </c>
      <c r="D116">
        <v>24</v>
      </c>
      <c r="E116">
        <v>73</v>
      </c>
      <c r="F116">
        <v>463.82</v>
      </c>
      <c r="G116">
        <v>168</v>
      </c>
      <c r="H116">
        <v>8</v>
      </c>
      <c r="I116" t="s">
        <v>21</v>
      </c>
      <c r="J116" s="6">
        <v>45409</v>
      </c>
      <c r="K116">
        <f>Table1[[#This Row],[Stock_Level]]*Table1[[#This Row],[Unit_Cost]]</f>
        <v>11131.68</v>
      </c>
      <c r="L116">
        <f t="shared" si="1"/>
        <v>1</v>
      </c>
      <c r="M116" s="7">
        <f ca="1">_xlfn.DAYS(TODAY(),Table1[[#This Row],[Last_Stocked_Date]])</f>
        <v>671</v>
      </c>
    </row>
    <row r="117" spans="1:13" x14ac:dyDescent="0.45">
      <c r="A117" t="s">
        <v>162</v>
      </c>
      <c r="B117" t="s">
        <v>19</v>
      </c>
      <c r="C117" t="s">
        <v>16</v>
      </c>
      <c r="D117">
        <v>57</v>
      </c>
      <c r="E117">
        <v>72</v>
      </c>
      <c r="F117">
        <v>110.78</v>
      </c>
      <c r="G117">
        <v>168</v>
      </c>
      <c r="H117">
        <v>5</v>
      </c>
      <c r="I117" t="s">
        <v>26</v>
      </c>
      <c r="J117" s="6">
        <v>45410</v>
      </c>
      <c r="K117">
        <f>Table1[[#This Row],[Stock_Level]]*Table1[[#This Row],[Unit_Cost]]</f>
        <v>6314.46</v>
      </c>
      <c r="L117">
        <f t="shared" si="1"/>
        <v>1</v>
      </c>
      <c r="M117" s="7">
        <f ca="1">_xlfn.DAYS(TODAY(),Table1[[#This Row],[Last_Stocked_Date]])</f>
        <v>670</v>
      </c>
    </row>
    <row r="118" spans="1:13" x14ac:dyDescent="0.45">
      <c r="A118" t="s">
        <v>163</v>
      </c>
      <c r="B118" t="s">
        <v>24</v>
      </c>
      <c r="C118" t="s">
        <v>16</v>
      </c>
      <c r="D118">
        <v>497</v>
      </c>
      <c r="E118">
        <v>131</v>
      </c>
      <c r="F118">
        <v>212.9</v>
      </c>
      <c r="G118">
        <v>150</v>
      </c>
      <c r="H118">
        <v>11</v>
      </c>
      <c r="I118" t="s">
        <v>17</v>
      </c>
      <c r="J118" s="6">
        <v>45411</v>
      </c>
      <c r="K118">
        <f>Table1[[#This Row],[Stock_Level]]*Table1[[#This Row],[Unit_Cost]]</f>
        <v>105811.3</v>
      </c>
      <c r="L118">
        <f t="shared" si="1"/>
        <v>0</v>
      </c>
      <c r="M118" s="7">
        <f ca="1">_xlfn.DAYS(TODAY(),Table1[[#This Row],[Last_Stocked_Date]])</f>
        <v>669</v>
      </c>
    </row>
    <row r="119" spans="1:13" x14ac:dyDescent="0.45">
      <c r="A119" t="s">
        <v>164</v>
      </c>
      <c r="B119" t="s">
        <v>24</v>
      </c>
      <c r="C119" t="s">
        <v>32</v>
      </c>
      <c r="D119">
        <v>296</v>
      </c>
      <c r="E119">
        <v>99</v>
      </c>
      <c r="F119">
        <v>9.8000000000000007</v>
      </c>
      <c r="G119">
        <v>70</v>
      </c>
      <c r="H119">
        <v>14</v>
      </c>
      <c r="I119" t="s">
        <v>21</v>
      </c>
      <c r="J119" s="6">
        <v>45412</v>
      </c>
      <c r="K119">
        <f>Table1[[#This Row],[Stock_Level]]*Table1[[#This Row],[Unit_Cost]]</f>
        <v>2900.8</v>
      </c>
      <c r="L119">
        <f t="shared" si="1"/>
        <v>0</v>
      </c>
      <c r="M119" s="7">
        <f ca="1">_xlfn.DAYS(TODAY(),Table1[[#This Row],[Last_Stocked_Date]])</f>
        <v>668</v>
      </c>
    </row>
    <row r="120" spans="1:13" x14ac:dyDescent="0.45">
      <c r="A120" t="s">
        <v>165</v>
      </c>
      <c r="B120" t="s">
        <v>24</v>
      </c>
      <c r="C120" t="s">
        <v>32</v>
      </c>
      <c r="D120">
        <v>133</v>
      </c>
      <c r="E120">
        <v>127</v>
      </c>
      <c r="F120">
        <v>429.69</v>
      </c>
      <c r="G120">
        <v>2</v>
      </c>
      <c r="H120">
        <v>3</v>
      </c>
      <c r="I120" t="s">
        <v>17</v>
      </c>
      <c r="J120" s="6">
        <v>45413</v>
      </c>
      <c r="K120">
        <f>Table1[[#This Row],[Stock_Level]]*Table1[[#This Row],[Unit_Cost]]</f>
        <v>57148.77</v>
      </c>
      <c r="L120">
        <f t="shared" si="1"/>
        <v>0</v>
      </c>
      <c r="M120" s="7">
        <f ca="1">_xlfn.DAYS(TODAY(),Table1[[#This Row],[Last_Stocked_Date]])</f>
        <v>667</v>
      </c>
    </row>
    <row r="121" spans="1:13" x14ac:dyDescent="0.45">
      <c r="A121" t="s">
        <v>166</v>
      </c>
      <c r="B121" t="s">
        <v>15</v>
      </c>
      <c r="C121" t="s">
        <v>25</v>
      </c>
      <c r="D121">
        <v>330</v>
      </c>
      <c r="E121">
        <v>128</v>
      </c>
      <c r="F121">
        <v>366.92</v>
      </c>
      <c r="G121">
        <v>57</v>
      </c>
      <c r="H121">
        <v>11</v>
      </c>
      <c r="I121" t="s">
        <v>26</v>
      </c>
      <c r="J121" s="6">
        <v>45414</v>
      </c>
      <c r="K121">
        <f>Table1[[#This Row],[Stock_Level]]*Table1[[#This Row],[Unit_Cost]]</f>
        <v>121083.6</v>
      </c>
      <c r="L121">
        <f t="shared" si="1"/>
        <v>0</v>
      </c>
      <c r="M121" s="7">
        <f ca="1">_xlfn.DAYS(TODAY(),Table1[[#This Row],[Last_Stocked_Date]])</f>
        <v>666</v>
      </c>
    </row>
    <row r="122" spans="1:13" x14ac:dyDescent="0.45">
      <c r="A122" t="s">
        <v>167</v>
      </c>
      <c r="B122" t="s">
        <v>15</v>
      </c>
      <c r="C122" t="s">
        <v>32</v>
      </c>
      <c r="D122">
        <v>248</v>
      </c>
      <c r="E122">
        <v>128</v>
      </c>
      <c r="F122">
        <v>473.64</v>
      </c>
      <c r="G122">
        <v>31</v>
      </c>
      <c r="H122">
        <v>22</v>
      </c>
      <c r="I122" t="s">
        <v>17</v>
      </c>
      <c r="J122" s="6">
        <v>45415</v>
      </c>
      <c r="K122">
        <f>Table1[[#This Row],[Stock_Level]]*Table1[[#This Row],[Unit_Cost]]</f>
        <v>117462.72</v>
      </c>
      <c r="L122">
        <f t="shared" si="1"/>
        <v>0</v>
      </c>
      <c r="M122" s="7">
        <f ca="1">_xlfn.DAYS(TODAY(),Table1[[#This Row],[Last_Stocked_Date]])</f>
        <v>665</v>
      </c>
    </row>
    <row r="123" spans="1:13" x14ac:dyDescent="0.45">
      <c r="A123" t="s">
        <v>168</v>
      </c>
      <c r="B123" t="s">
        <v>24</v>
      </c>
      <c r="C123" t="s">
        <v>20</v>
      </c>
      <c r="D123">
        <v>37</v>
      </c>
      <c r="E123">
        <v>119</v>
      </c>
      <c r="F123">
        <v>391.9</v>
      </c>
      <c r="G123">
        <v>30</v>
      </c>
      <c r="H123">
        <v>23</v>
      </c>
      <c r="I123" t="s">
        <v>17</v>
      </c>
      <c r="J123" s="6">
        <v>45416</v>
      </c>
      <c r="K123">
        <f>Table1[[#This Row],[Stock_Level]]*Table1[[#This Row],[Unit_Cost]]</f>
        <v>14500.3</v>
      </c>
      <c r="L123">
        <f t="shared" si="1"/>
        <v>1</v>
      </c>
      <c r="M123" s="7">
        <f ca="1">_xlfn.DAYS(TODAY(),Table1[[#This Row],[Last_Stocked_Date]])</f>
        <v>664</v>
      </c>
    </row>
    <row r="124" spans="1:13" x14ac:dyDescent="0.45">
      <c r="A124" t="s">
        <v>169</v>
      </c>
      <c r="B124" t="s">
        <v>19</v>
      </c>
      <c r="C124" t="s">
        <v>32</v>
      </c>
      <c r="D124">
        <v>389</v>
      </c>
      <c r="E124">
        <v>76</v>
      </c>
      <c r="F124">
        <v>160.28</v>
      </c>
      <c r="G124">
        <v>81</v>
      </c>
      <c r="H124">
        <v>26</v>
      </c>
      <c r="I124" t="s">
        <v>26</v>
      </c>
      <c r="J124" s="6">
        <v>45417</v>
      </c>
      <c r="K124">
        <f>Table1[[#This Row],[Stock_Level]]*Table1[[#This Row],[Unit_Cost]]</f>
        <v>62348.92</v>
      </c>
      <c r="L124">
        <f t="shared" si="1"/>
        <v>0</v>
      </c>
      <c r="M124" s="7">
        <f ca="1">_xlfn.DAYS(TODAY(),Table1[[#This Row],[Last_Stocked_Date]])</f>
        <v>663</v>
      </c>
    </row>
    <row r="125" spans="1:13" x14ac:dyDescent="0.45">
      <c r="A125" t="s">
        <v>170</v>
      </c>
      <c r="B125" t="s">
        <v>15</v>
      </c>
      <c r="C125" t="s">
        <v>25</v>
      </c>
      <c r="D125">
        <v>428</v>
      </c>
      <c r="E125">
        <v>64</v>
      </c>
      <c r="F125">
        <v>127.7</v>
      </c>
      <c r="G125">
        <v>42</v>
      </c>
      <c r="H125">
        <v>5</v>
      </c>
      <c r="I125" t="s">
        <v>21</v>
      </c>
      <c r="J125" s="6">
        <v>45418</v>
      </c>
      <c r="K125">
        <f>Table1[[#This Row],[Stock_Level]]*Table1[[#This Row],[Unit_Cost]]</f>
        <v>54655.6</v>
      </c>
      <c r="L125">
        <f t="shared" si="1"/>
        <v>0</v>
      </c>
      <c r="M125" s="7">
        <f ca="1">_xlfn.DAYS(TODAY(),Table1[[#This Row],[Last_Stocked_Date]])</f>
        <v>662</v>
      </c>
    </row>
    <row r="126" spans="1:13" x14ac:dyDescent="0.45">
      <c r="A126" t="s">
        <v>171</v>
      </c>
      <c r="B126" t="s">
        <v>19</v>
      </c>
      <c r="C126" t="s">
        <v>25</v>
      </c>
      <c r="D126">
        <v>74</v>
      </c>
      <c r="E126">
        <v>99</v>
      </c>
      <c r="F126">
        <v>350.37</v>
      </c>
      <c r="G126">
        <v>134</v>
      </c>
      <c r="H126">
        <v>19</v>
      </c>
      <c r="I126" t="s">
        <v>17</v>
      </c>
      <c r="J126" s="6">
        <v>45419</v>
      </c>
      <c r="K126">
        <f>Table1[[#This Row],[Stock_Level]]*Table1[[#This Row],[Unit_Cost]]</f>
        <v>25927.38</v>
      </c>
      <c r="L126">
        <f t="shared" si="1"/>
        <v>1</v>
      </c>
      <c r="M126" s="7">
        <f ca="1">_xlfn.DAYS(TODAY(),Table1[[#This Row],[Last_Stocked_Date]])</f>
        <v>661</v>
      </c>
    </row>
    <row r="127" spans="1:13" x14ac:dyDescent="0.45">
      <c r="A127" t="s">
        <v>172</v>
      </c>
      <c r="B127" t="s">
        <v>19</v>
      </c>
      <c r="C127" t="s">
        <v>25</v>
      </c>
      <c r="D127">
        <v>141</v>
      </c>
      <c r="E127">
        <v>85</v>
      </c>
      <c r="F127">
        <v>185.24</v>
      </c>
      <c r="G127">
        <v>104</v>
      </c>
      <c r="H127">
        <v>6</v>
      </c>
      <c r="I127" t="s">
        <v>26</v>
      </c>
      <c r="J127" s="6">
        <v>45420</v>
      </c>
      <c r="K127">
        <f>Table1[[#This Row],[Stock_Level]]*Table1[[#This Row],[Unit_Cost]]</f>
        <v>26118.84</v>
      </c>
      <c r="L127">
        <f t="shared" si="1"/>
        <v>0</v>
      </c>
      <c r="M127" s="7">
        <f ca="1">_xlfn.DAYS(TODAY(),Table1[[#This Row],[Last_Stocked_Date]])</f>
        <v>660</v>
      </c>
    </row>
    <row r="128" spans="1:13" x14ac:dyDescent="0.45">
      <c r="A128" t="s">
        <v>173</v>
      </c>
      <c r="B128" t="s">
        <v>29</v>
      </c>
      <c r="C128" t="s">
        <v>32</v>
      </c>
      <c r="D128">
        <v>321</v>
      </c>
      <c r="E128">
        <v>57</v>
      </c>
      <c r="F128">
        <v>285.27999999999997</v>
      </c>
      <c r="G128">
        <v>0</v>
      </c>
      <c r="H128">
        <v>20</v>
      </c>
      <c r="I128" t="s">
        <v>21</v>
      </c>
      <c r="J128" s="6">
        <v>45421</v>
      </c>
      <c r="K128">
        <f>Table1[[#This Row],[Stock_Level]]*Table1[[#This Row],[Unit_Cost]]</f>
        <v>91574.87999999999</v>
      </c>
      <c r="L128">
        <f t="shared" si="1"/>
        <v>0</v>
      </c>
      <c r="M128" s="7">
        <f ca="1">_xlfn.DAYS(TODAY(),Table1[[#This Row],[Last_Stocked_Date]])</f>
        <v>659</v>
      </c>
    </row>
    <row r="129" spans="1:13" x14ac:dyDescent="0.45">
      <c r="A129" t="s">
        <v>175</v>
      </c>
      <c r="B129" t="s">
        <v>24</v>
      </c>
      <c r="C129" t="s">
        <v>32</v>
      </c>
      <c r="D129">
        <v>167</v>
      </c>
      <c r="E129">
        <v>128</v>
      </c>
      <c r="F129">
        <v>8.1</v>
      </c>
      <c r="G129">
        <v>60</v>
      </c>
      <c r="H129">
        <v>3</v>
      </c>
      <c r="I129" t="s">
        <v>21</v>
      </c>
      <c r="J129" s="6">
        <v>45422</v>
      </c>
      <c r="K129">
        <f>Table1[[#This Row],[Stock_Level]]*Table1[[#This Row],[Unit_Cost]]</f>
        <v>1352.7</v>
      </c>
      <c r="L129">
        <f t="shared" si="1"/>
        <v>0</v>
      </c>
      <c r="M129" s="7">
        <f ca="1">_xlfn.DAYS(TODAY(),Table1[[#This Row],[Last_Stocked_Date]])</f>
        <v>658</v>
      </c>
    </row>
    <row r="130" spans="1:13" x14ac:dyDescent="0.45">
      <c r="A130" t="s">
        <v>176</v>
      </c>
      <c r="B130" t="s">
        <v>29</v>
      </c>
      <c r="C130" t="s">
        <v>16</v>
      </c>
      <c r="D130">
        <v>258</v>
      </c>
      <c r="E130">
        <v>52</v>
      </c>
      <c r="F130">
        <v>35.630000000000003</v>
      </c>
      <c r="G130">
        <v>13</v>
      </c>
      <c r="H130">
        <v>13</v>
      </c>
      <c r="I130" t="s">
        <v>21</v>
      </c>
      <c r="J130" s="6">
        <v>45423</v>
      </c>
      <c r="K130">
        <f>Table1[[#This Row],[Stock_Level]]*Table1[[#This Row],[Unit_Cost]]</f>
        <v>9192.5400000000009</v>
      </c>
      <c r="L130">
        <f t="shared" ref="L130:L193" si="2">IF(D130&lt;E130,1,0)</f>
        <v>0</v>
      </c>
      <c r="M130" s="7">
        <f ca="1">_xlfn.DAYS(TODAY(),Table1[[#This Row],[Last_Stocked_Date]])</f>
        <v>657</v>
      </c>
    </row>
    <row r="131" spans="1:13" x14ac:dyDescent="0.45">
      <c r="A131" t="s">
        <v>178</v>
      </c>
      <c r="B131" t="s">
        <v>24</v>
      </c>
      <c r="C131" t="s">
        <v>16</v>
      </c>
      <c r="D131">
        <v>372</v>
      </c>
      <c r="E131">
        <v>111</v>
      </c>
      <c r="F131">
        <v>270.01</v>
      </c>
      <c r="G131">
        <v>179</v>
      </c>
      <c r="H131">
        <v>18</v>
      </c>
      <c r="I131" t="s">
        <v>17</v>
      </c>
      <c r="J131" s="6">
        <v>45424</v>
      </c>
      <c r="K131">
        <f>Table1[[#This Row],[Stock_Level]]*Table1[[#This Row],[Unit_Cost]]</f>
        <v>100443.72</v>
      </c>
      <c r="L131">
        <f t="shared" si="2"/>
        <v>0</v>
      </c>
      <c r="M131" s="7">
        <f ca="1">_xlfn.DAYS(TODAY(),Table1[[#This Row],[Last_Stocked_Date]])</f>
        <v>656</v>
      </c>
    </row>
    <row r="132" spans="1:13" x14ac:dyDescent="0.45">
      <c r="A132" t="s">
        <v>180</v>
      </c>
      <c r="B132" t="s">
        <v>24</v>
      </c>
      <c r="C132" t="s">
        <v>20</v>
      </c>
      <c r="D132">
        <v>354</v>
      </c>
      <c r="E132">
        <v>96</v>
      </c>
      <c r="F132">
        <v>285.20999999999998</v>
      </c>
      <c r="G132">
        <v>5</v>
      </c>
      <c r="H132">
        <v>11</v>
      </c>
      <c r="I132" t="s">
        <v>17</v>
      </c>
      <c r="J132" s="6">
        <v>45425</v>
      </c>
      <c r="K132">
        <f>Table1[[#This Row],[Stock_Level]]*Table1[[#This Row],[Unit_Cost]]</f>
        <v>100964.34</v>
      </c>
      <c r="L132">
        <f t="shared" si="2"/>
        <v>0</v>
      </c>
      <c r="M132" s="7">
        <f ca="1">_xlfn.DAYS(TODAY(),Table1[[#This Row],[Last_Stocked_Date]])</f>
        <v>655</v>
      </c>
    </row>
    <row r="133" spans="1:13" x14ac:dyDescent="0.45">
      <c r="A133" t="s">
        <v>181</v>
      </c>
      <c r="B133" t="s">
        <v>19</v>
      </c>
      <c r="C133" t="s">
        <v>16</v>
      </c>
      <c r="D133">
        <v>224</v>
      </c>
      <c r="E133">
        <v>126</v>
      </c>
      <c r="F133">
        <v>376.97</v>
      </c>
      <c r="G133">
        <v>102</v>
      </c>
      <c r="H133">
        <v>3</v>
      </c>
      <c r="I133" t="s">
        <v>17</v>
      </c>
      <c r="J133" s="6">
        <v>45426</v>
      </c>
      <c r="K133">
        <f>Table1[[#This Row],[Stock_Level]]*Table1[[#This Row],[Unit_Cost]]</f>
        <v>84441.279999999999</v>
      </c>
      <c r="L133">
        <f t="shared" si="2"/>
        <v>0</v>
      </c>
      <c r="M133" s="7">
        <f ca="1">_xlfn.DAYS(TODAY(),Table1[[#This Row],[Last_Stocked_Date]])</f>
        <v>654</v>
      </c>
    </row>
    <row r="134" spans="1:13" x14ac:dyDescent="0.45">
      <c r="A134" t="s">
        <v>182</v>
      </c>
      <c r="B134" t="s">
        <v>24</v>
      </c>
      <c r="C134" t="s">
        <v>20</v>
      </c>
      <c r="D134">
        <v>151</v>
      </c>
      <c r="E134">
        <v>147</v>
      </c>
      <c r="F134">
        <v>70.319999999999993</v>
      </c>
      <c r="G134">
        <v>9</v>
      </c>
      <c r="H134">
        <v>7</v>
      </c>
      <c r="I134" t="s">
        <v>21</v>
      </c>
      <c r="J134" s="6">
        <v>45427</v>
      </c>
      <c r="K134">
        <f>Table1[[#This Row],[Stock_Level]]*Table1[[#This Row],[Unit_Cost]]</f>
        <v>10618.32</v>
      </c>
      <c r="L134">
        <f t="shared" si="2"/>
        <v>0</v>
      </c>
      <c r="M134" s="7">
        <f ca="1">_xlfn.DAYS(TODAY(),Table1[[#This Row],[Last_Stocked_Date]])</f>
        <v>653</v>
      </c>
    </row>
    <row r="135" spans="1:13" x14ac:dyDescent="0.45">
      <c r="A135" t="s">
        <v>183</v>
      </c>
      <c r="B135" t="s">
        <v>19</v>
      </c>
      <c r="C135" t="s">
        <v>25</v>
      </c>
      <c r="D135">
        <v>18</v>
      </c>
      <c r="E135">
        <v>137</v>
      </c>
      <c r="F135">
        <v>259.02999999999997</v>
      </c>
      <c r="G135">
        <v>70</v>
      </c>
      <c r="H135">
        <v>9</v>
      </c>
      <c r="I135" t="s">
        <v>17</v>
      </c>
      <c r="J135" s="6">
        <v>45428</v>
      </c>
      <c r="K135">
        <f>Table1[[#This Row],[Stock_Level]]*Table1[[#This Row],[Unit_Cost]]</f>
        <v>4662.5399999999991</v>
      </c>
      <c r="L135">
        <f t="shared" si="2"/>
        <v>1</v>
      </c>
      <c r="M135" s="7">
        <f ca="1">_xlfn.DAYS(TODAY(),Table1[[#This Row],[Last_Stocked_Date]])</f>
        <v>652</v>
      </c>
    </row>
    <row r="136" spans="1:13" x14ac:dyDescent="0.45">
      <c r="A136" t="s">
        <v>184</v>
      </c>
      <c r="B136" t="s">
        <v>19</v>
      </c>
      <c r="C136" t="s">
        <v>16</v>
      </c>
      <c r="D136">
        <v>145</v>
      </c>
      <c r="E136">
        <v>145</v>
      </c>
      <c r="F136">
        <v>101.25</v>
      </c>
      <c r="G136">
        <v>89</v>
      </c>
      <c r="H136">
        <v>20</v>
      </c>
      <c r="I136" t="s">
        <v>26</v>
      </c>
      <c r="J136" s="6">
        <v>45429</v>
      </c>
      <c r="K136">
        <f>Table1[[#This Row],[Stock_Level]]*Table1[[#This Row],[Unit_Cost]]</f>
        <v>14681.25</v>
      </c>
      <c r="L136">
        <f t="shared" si="2"/>
        <v>0</v>
      </c>
      <c r="M136" s="7">
        <f ca="1">_xlfn.DAYS(TODAY(),Table1[[#This Row],[Last_Stocked_Date]])</f>
        <v>651</v>
      </c>
    </row>
    <row r="137" spans="1:13" x14ac:dyDescent="0.45">
      <c r="A137" t="s">
        <v>186</v>
      </c>
      <c r="B137" t="s">
        <v>24</v>
      </c>
      <c r="C137" t="s">
        <v>32</v>
      </c>
      <c r="D137">
        <v>447</v>
      </c>
      <c r="E137">
        <v>110</v>
      </c>
      <c r="F137">
        <v>51.13</v>
      </c>
      <c r="G137">
        <v>157</v>
      </c>
      <c r="H137">
        <v>12</v>
      </c>
      <c r="I137" t="s">
        <v>17</v>
      </c>
      <c r="J137" s="6">
        <v>45430</v>
      </c>
      <c r="K137">
        <f>Table1[[#This Row],[Stock_Level]]*Table1[[#This Row],[Unit_Cost]]</f>
        <v>22855.11</v>
      </c>
      <c r="L137">
        <f t="shared" si="2"/>
        <v>0</v>
      </c>
      <c r="M137" s="7">
        <f ca="1">_xlfn.DAYS(TODAY(),Table1[[#This Row],[Last_Stocked_Date]])</f>
        <v>650</v>
      </c>
    </row>
    <row r="138" spans="1:13" x14ac:dyDescent="0.45">
      <c r="A138" t="s">
        <v>187</v>
      </c>
      <c r="B138" t="s">
        <v>19</v>
      </c>
      <c r="C138" t="s">
        <v>16</v>
      </c>
      <c r="D138">
        <v>240</v>
      </c>
      <c r="E138">
        <v>81</v>
      </c>
      <c r="F138">
        <v>208.2</v>
      </c>
      <c r="G138">
        <v>148</v>
      </c>
      <c r="H138">
        <v>26</v>
      </c>
      <c r="I138" t="s">
        <v>17</v>
      </c>
      <c r="J138" s="6">
        <v>45431</v>
      </c>
      <c r="K138">
        <f>Table1[[#This Row],[Stock_Level]]*Table1[[#This Row],[Unit_Cost]]</f>
        <v>49968</v>
      </c>
      <c r="L138">
        <f t="shared" si="2"/>
        <v>0</v>
      </c>
      <c r="M138" s="7">
        <f ca="1">_xlfn.DAYS(TODAY(),Table1[[#This Row],[Last_Stocked_Date]])</f>
        <v>649</v>
      </c>
    </row>
    <row r="139" spans="1:13" x14ac:dyDescent="0.45">
      <c r="A139" t="s">
        <v>188</v>
      </c>
      <c r="B139" t="s">
        <v>19</v>
      </c>
      <c r="C139" t="s">
        <v>20</v>
      </c>
      <c r="D139">
        <v>371</v>
      </c>
      <c r="E139">
        <v>143</v>
      </c>
      <c r="F139">
        <v>85.85</v>
      </c>
      <c r="G139">
        <v>125</v>
      </c>
      <c r="H139">
        <v>13</v>
      </c>
      <c r="I139" t="s">
        <v>21</v>
      </c>
      <c r="J139" s="6">
        <v>45432</v>
      </c>
      <c r="K139">
        <f>Table1[[#This Row],[Stock_Level]]*Table1[[#This Row],[Unit_Cost]]</f>
        <v>31850.35</v>
      </c>
      <c r="L139">
        <f t="shared" si="2"/>
        <v>0</v>
      </c>
      <c r="M139" s="7">
        <f ca="1">_xlfn.DAYS(TODAY(),Table1[[#This Row],[Last_Stocked_Date]])</f>
        <v>648</v>
      </c>
    </row>
    <row r="140" spans="1:13" x14ac:dyDescent="0.45">
      <c r="A140" t="s">
        <v>189</v>
      </c>
      <c r="B140" t="s">
        <v>19</v>
      </c>
      <c r="C140" t="s">
        <v>16</v>
      </c>
      <c r="D140">
        <v>380</v>
      </c>
      <c r="E140">
        <v>62</v>
      </c>
      <c r="F140">
        <v>114.78</v>
      </c>
      <c r="G140">
        <v>187</v>
      </c>
      <c r="H140">
        <v>10</v>
      </c>
      <c r="I140" t="s">
        <v>17</v>
      </c>
      <c r="J140" s="6">
        <v>45433</v>
      </c>
      <c r="K140">
        <f>Table1[[#This Row],[Stock_Level]]*Table1[[#This Row],[Unit_Cost]]</f>
        <v>43616.4</v>
      </c>
      <c r="L140">
        <f t="shared" si="2"/>
        <v>0</v>
      </c>
      <c r="M140" s="7">
        <f ca="1">_xlfn.DAYS(TODAY(),Table1[[#This Row],[Last_Stocked_Date]])</f>
        <v>647</v>
      </c>
    </row>
    <row r="141" spans="1:13" x14ac:dyDescent="0.45">
      <c r="A141" t="s">
        <v>190</v>
      </c>
      <c r="B141" t="s">
        <v>15</v>
      </c>
      <c r="C141" t="s">
        <v>25</v>
      </c>
      <c r="D141">
        <v>343</v>
      </c>
      <c r="E141">
        <v>50</v>
      </c>
      <c r="F141">
        <v>162.19</v>
      </c>
      <c r="G141">
        <v>96</v>
      </c>
      <c r="H141">
        <v>3</v>
      </c>
      <c r="I141" t="s">
        <v>26</v>
      </c>
      <c r="J141" s="6">
        <v>45434</v>
      </c>
      <c r="K141">
        <f>Table1[[#This Row],[Stock_Level]]*Table1[[#This Row],[Unit_Cost]]</f>
        <v>55631.17</v>
      </c>
      <c r="L141">
        <f t="shared" si="2"/>
        <v>0</v>
      </c>
      <c r="M141" s="7">
        <f ca="1">_xlfn.DAYS(TODAY(),Table1[[#This Row],[Last_Stocked_Date]])</f>
        <v>646</v>
      </c>
    </row>
    <row r="142" spans="1:13" x14ac:dyDescent="0.45">
      <c r="A142" t="s">
        <v>192</v>
      </c>
      <c r="B142" t="s">
        <v>19</v>
      </c>
      <c r="C142" t="s">
        <v>32</v>
      </c>
      <c r="D142">
        <v>236</v>
      </c>
      <c r="E142">
        <v>83</v>
      </c>
      <c r="F142">
        <v>133.4</v>
      </c>
      <c r="G142">
        <v>73</v>
      </c>
      <c r="H142">
        <v>9</v>
      </c>
      <c r="I142" t="s">
        <v>21</v>
      </c>
      <c r="J142" s="6">
        <v>45435</v>
      </c>
      <c r="K142">
        <f>Table1[[#This Row],[Stock_Level]]*Table1[[#This Row],[Unit_Cost]]</f>
        <v>31482.400000000001</v>
      </c>
      <c r="L142">
        <f t="shared" si="2"/>
        <v>0</v>
      </c>
      <c r="M142" s="7">
        <f ca="1">_xlfn.DAYS(TODAY(),Table1[[#This Row],[Last_Stocked_Date]])</f>
        <v>645</v>
      </c>
    </row>
    <row r="143" spans="1:13" x14ac:dyDescent="0.45">
      <c r="A143" t="s">
        <v>194</v>
      </c>
      <c r="B143" t="s">
        <v>15</v>
      </c>
      <c r="C143" t="s">
        <v>20</v>
      </c>
      <c r="D143">
        <v>34</v>
      </c>
      <c r="E143">
        <v>111</v>
      </c>
      <c r="F143">
        <v>48.36</v>
      </c>
      <c r="G143">
        <v>114</v>
      </c>
      <c r="H143">
        <v>27</v>
      </c>
      <c r="I143" t="s">
        <v>26</v>
      </c>
      <c r="J143" s="6">
        <v>45436</v>
      </c>
      <c r="K143">
        <f>Table1[[#This Row],[Stock_Level]]*Table1[[#This Row],[Unit_Cost]]</f>
        <v>1644.24</v>
      </c>
      <c r="L143">
        <f t="shared" si="2"/>
        <v>1</v>
      </c>
      <c r="M143" s="7">
        <f ca="1">_xlfn.DAYS(TODAY(),Table1[[#This Row],[Last_Stocked_Date]])</f>
        <v>644</v>
      </c>
    </row>
    <row r="144" spans="1:13" x14ac:dyDescent="0.45">
      <c r="A144" t="s">
        <v>195</v>
      </c>
      <c r="B144" t="s">
        <v>15</v>
      </c>
      <c r="C144" t="s">
        <v>32</v>
      </c>
      <c r="D144">
        <v>189</v>
      </c>
      <c r="E144">
        <v>128</v>
      </c>
      <c r="F144">
        <v>49.51</v>
      </c>
      <c r="G144">
        <v>190</v>
      </c>
      <c r="H144">
        <v>12</v>
      </c>
      <c r="I144" t="s">
        <v>21</v>
      </c>
      <c r="J144" s="6">
        <v>45437</v>
      </c>
      <c r="K144">
        <f>Table1[[#This Row],[Stock_Level]]*Table1[[#This Row],[Unit_Cost]]</f>
        <v>9357.39</v>
      </c>
      <c r="L144">
        <f t="shared" si="2"/>
        <v>0</v>
      </c>
      <c r="M144" s="7">
        <f ca="1">_xlfn.DAYS(TODAY(),Table1[[#This Row],[Last_Stocked_Date]])</f>
        <v>643</v>
      </c>
    </row>
    <row r="145" spans="1:13" x14ac:dyDescent="0.45">
      <c r="A145" t="s">
        <v>196</v>
      </c>
      <c r="B145" t="s">
        <v>19</v>
      </c>
      <c r="C145" t="s">
        <v>32</v>
      </c>
      <c r="D145">
        <v>0</v>
      </c>
      <c r="E145">
        <v>127</v>
      </c>
      <c r="F145">
        <v>100.66</v>
      </c>
      <c r="G145">
        <v>169</v>
      </c>
      <c r="H145">
        <v>29</v>
      </c>
      <c r="I145" t="s">
        <v>21</v>
      </c>
      <c r="J145" s="6">
        <v>45438</v>
      </c>
      <c r="K145">
        <f>Table1[[#This Row],[Stock_Level]]*Table1[[#This Row],[Unit_Cost]]</f>
        <v>0</v>
      </c>
      <c r="L145">
        <f t="shared" si="2"/>
        <v>1</v>
      </c>
      <c r="M145" s="7">
        <f ca="1">_xlfn.DAYS(TODAY(),Table1[[#This Row],[Last_Stocked_Date]])</f>
        <v>642</v>
      </c>
    </row>
    <row r="146" spans="1:13" x14ac:dyDescent="0.45">
      <c r="A146" t="s">
        <v>197</v>
      </c>
      <c r="B146" t="s">
        <v>19</v>
      </c>
      <c r="C146" t="s">
        <v>20</v>
      </c>
      <c r="D146">
        <v>483</v>
      </c>
      <c r="E146">
        <v>142</v>
      </c>
      <c r="F146">
        <v>30.03</v>
      </c>
      <c r="G146">
        <v>50</v>
      </c>
      <c r="H146">
        <v>22</v>
      </c>
      <c r="I146" t="s">
        <v>17</v>
      </c>
      <c r="J146" s="6">
        <v>45439</v>
      </c>
      <c r="K146">
        <f>Table1[[#This Row],[Stock_Level]]*Table1[[#This Row],[Unit_Cost]]</f>
        <v>14504.49</v>
      </c>
      <c r="L146">
        <f t="shared" si="2"/>
        <v>0</v>
      </c>
      <c r="M146" s="7">
        <f ca="1">_xlfn.DAYS(TODAY(),Table1[[#This Row],[Last_Stocked_Date]])</f>
        <v>641</v>
      </c>
    </row>
    <row r="147" spans="1:13" x14ac:dyDescent="0.45">
      <c r="A147" t="s">
        <v>198</v>
      </c>
      <c r="B147" t="s">
        <v>15</v>
      </c>
      <c r="C147" t="s">
        <v>32</v>
      </c>
      <c r="D147">
        <v>152</v>
      </c>
      <c r="E147">
        <v>147</v>
      </c>
      <c r="F147">
        <v>315.10000000000002</v>
      </c>
      <c r="G147">
        <v>191</v>
      </c>
      <c r="H147">
        <v>5</v>
      </c>
      <c r="I147" t="s">
        <v>26</v>
      </c>
      <c r="J147" s="6">
        <v>45440</v>
      </c>
      <c r="K147">
        <f>Table1[[#This Row],[Stock_Level]]*Table1[[#This Row],[Unit_Cost]]</f>
        <v>47895.200000000004</v>
      </c>
      <c r="L147">
        <f t="shared" si="2"/>
        <v>0</v>
      </c>
      <c r="M147" s="7">
        <f ca="1">_xlfn.DAYS(TODAY(),Table1[[#This Row],[Last_Stocked_Date]])</f>
        <v>640</v>
      </c>
    </row>
    <row r="148" spans="1:13" x14ac:dyDescent="0.45">
      <c r="A148" t="s">
        <v>199</v>
      </c>
      <c r="B148" t="s">
        <v>15</v>
      </c>
      <c r="C148" t="s">
        <v>32</v>
      </c>
      <c r="D148">
        <v>428</v>
      </c>
      <c r="E148">
        <v>131</v>
      </c>
      <c r="F148">
        <v>147.22999999999999</v>
      </c>
      <c r="G148">
        <v>55</v>
      </c>
      <c r="H148">
        <v>11</v>
      </c>
      <c r="I148" t="s">
        <v>21</v>
      </c>
      <c r="J148" s="6">
        <v>45441</v>
      </c>
      <c r="K148">
        <f>Table1[[#This Row],[Stock_Level]]*Table1[[#This Row],[Unit_Cost]]</f>
        <v>63014.439999999995</v>
      </c>
      <c r="L148">
        <f t="shared" si="2"/>
        <v>0</v>
      </c>
      <c r="M148" s="7">
        <f ca="1">_xlfn.DAYS(TODAY(),Table1[[#This Row],[Last_Stocked_Date]])</f>
        <v>639</v>
      </c>
    </row>
    <row r="149" spans="1:13" x14ac:dyDescent="0.45">
      <c r="A149" t="s">
        <v>200</v>
      </c>
      <c r="B149" t="s">
        <v>19</v>
      </c>
      <c r="C149" t="s">
        <v>16</v>
      </c>
      <c r="D149">
        <v>432</v>
      </c>
      <c r="E149">
        <v>120</v>
      </c>
      <c r="F149">
        <v>143.47</v>
      </c>
      <c r="G149">
        <v>40</v>
      </c>
      <c r="H149">
        <v>22</v>
      </c>
      <c r="I149" t="s">
        <v>17</v>
      </c>
      <c r="J149" s="6">
        <v>45442</v>
      </c>
      <c r="K149">
        <f>Table1[[#This Row],[Stock_Level]]*Table1[[#This Row],[Unit_Cost]]</f>
        <v>61979.040000000001</v>
      </c>
      <c r="L149">
        <f t="shared" si="2"/>
        <v>0</v>
      </c>
      <c r="M149" s="7">
        <f ca="1">_xlfn.DAYS(TODAY(),Table1[[#This Row],[Last_Stocked_Date]])</f>
        <v>638</v>
      </c>
    </row>
    <row r="150" spans="1:13" x14ac:dyDescent="0.45">
      <c r="A150" t="s">
        <v>201</v>
      </c>
      <c r="B150" t="s">
        <v>19</v>
      </c>
      <c r="C150" t="s">
        <v>32</v>
      </c>
      <c r="D150">
        <v>125</v>
      </c>
      <c r="E150">
        <v>142</v>
      </c>
      <c r="F150">
        <v>169.34</v>
      </c>
      <c r="G150">
        <v>31</v>
      </c>
      <c r="H150">
        <v>21</v>
      </c>
      <c r="I150" t="s">
        <v>21</v>
      </c>
      <c r="J150" s="6">
        <v>45443</v>
      </c>
      <c r="K150">
        <f>Table1[[#This Row],[Stock_Level]]*Table1[[#This Row],[Unit_Cost]]</f>
        <v>21167.5</v>
      </c>
      <c r="L150">
        <f t="shared" si="2"/>
        <v>1</v>
      </c>
      <c r="M150" s="7">
        <f ca="1">_xlfn.DAYS(TODAY(),Table1[[#This Row],[Last_Stocked_Date]])</f>
        <v>637</v>
      </c>
    </row>
    <row r="151" spans="1:13" x14ac:dyDescent="0.45">
      <c r="A151" t="s">
        <v>202</v>
      </c>
      <c r="B151" t="s">
        <v>24</v>
      </c>
      <c r="C151" t="s">
        <v>32</v>
      </c>
      <c r="D151">
        <v>490</v>
      </c>
      <c r="E151">
        <v>80</v>
      </c>
      <c r="F151">
        <v>333.08</v>
      </c>
      <c r="G151">
        <v>14</v>
      </c>
      <c r="H151">
        <v>17</v>
      </c>
      <c r="I151" t="s">
        <v>21</v>
      </c>
      <c r="J151" s="6">
        <v>45444</v>
      </c>
      <c r="K151">
        <f>Table1[[#This Row],[Stock_Level]]*Table1[[#This Row],[Unit_Cost]]</f>
        <v>163209.19999999998</v>
      </c>
      <c r="L151">
        <f t="shared" si="2"/>
        <v>0</v>
      </c>
      <c r="M151" s="7">
        <f ca="1">_xlfn.DAYS(TODAY(),Table1[[#This Row],[Last_Stocked_Date]])</f>
        <v>636</v>
      </c>
    </row>
    <row r="152" spans="1:13" x14ac:dyDescent="0.45">
      <c r="A152" t="s">
        <v>204</v>
      </c>
      <c r="B152" t="s">
        <v>15</v>
      </c>
      <c r="C152" t="s">
        <v>32</v>
      </c>
      <c r="D152">
        <v>481</v>
      </c>
      <c r="E152">
        <v>113</v>
      </c>
      <c r="F152">
        <v>435.96</v>
      </c>
      <c r="G152">
        <v>61</v>
      </c>
      <c r="H152">
        <v>9</v>
      </c>
      <c r="I152" t="s">
        <v>21</v>
      </c>
      <c r="J152" s="6">
        <v>45445</v>
      </c>
      <c r="K152">
        <f>Table1[[#This Row],[Stock_Level]]*Table1[[#This Row],[Unit_Cost]]</f>
        <v>209696.75999999998</v>
      </c>
      <c r="L152">
        <f t="shared" si="2"/>
        <v>0</v>
      </c>
      <c r="M152" s="7">
        <f ca="1">_xlfn.DAYS(TODAY(),Table1[[#This Row],[Last_Stocked_Date]])</f>
        <v>635</v>
      </c>
    </row>
    <row r="153" spans="1:13" x14ac:dyDescent="0.45">
      <c r="A153" t="s">
        <v>205</v>
      </c>
      <c r="B153" t="s">
        <v>15</v>
      </c>
      <c r="C153" t="s">
        <v>32</v>
      </c>
      <c r="D153">
        <v>344</v>
      </c>
      <c r="E153">
        <v>74</v>
      </c>
      <c r="F153">
        <v>380.75</v>
      </c>
      <c r="G153">
        <v>154</v>
      </c>
      <c r="H153">
        <v>5</v>
      </c>
      <c r="I153" t="s">
        <v>21</v>
      </c>
      <c r="J153" s="6">
        <v>45446</v>
      </c>
      <c r="K153">
        <f>Table1[[#This Row],[Stock_Level]]*Table1[[#This Row],[Unit_Cost]]</f>
        <v>130978</v>
      </c>
      <c r="L153">
        <f t="shared" si="2"/>
        <v>0</v>
      </c>
      <c r="M153" s="7">
        <f ca="1">_xlfn.DAYS(TODAY(),Table1[[#This Row],[Last_Stocked_Date]])</f>
        <v>634</v>
      </c>
    </row>
    <row r="154" spans="1:13" x14ac:dyDescent="0.45">
      <c r="A154" t="s">
        <v>206</v>
      </c>
      <c r="B154" t="s">
        <v>24</v>
      </c>
      <c r="C154" t="s">
        <v>20</v>
      </c>
      <c r="D154">
        <v>399</v>
      </c>
      <c r="E154">
        <v>87</v>
      </c>
      <c r="F154">
        <v>365.13</v>
      </c>
      <c r="G154">
        <v>27</v>
      </c>
      <c r="H154">
        <v>11</v>
      </c>
      <c r="I154" t="s">
        <v>21</v>
      </c>
      <c r="J154" s="6">
        <v>45447</v>
      </c>
      <c r="K154">
        <f>Table1[[#This Row],[Stock_Level]]*Table1[[#This Row],[Unit_Cost]]</f>
        <v>145686.87</v>
      </c>
      <c r="L154">
        <f t="shared" si="2"/>
        <v>0</v>
      </c>
      <c r="M154" s="7">
        <f ca="1">_xlfn.DAYS(TODAY(),Table1[[#This Row],[Last_Stocked_Date]])</f>
        <v>633</v>
      </c>
    </row>
    <row r="155" spans="1:13" x14ac:dyDescent="0.45">
      <c r="A155" t="s">
        <v>207</v>
      </c>
      <c r="B155" t="s">
        <v>15</v>
      </c>
      <c r="C155" t="s">
        <v>25</v>
      </c>
      <c r="D155">
        <v>225</v>
      </c>
      <c r="E155">
        <v>63</v>
      </c>
      <c r="F155">
        <v>244.77</v>
      </c>
      <c r="G155">
        <v>63</v>
      </c>
      <c r="H155">
        <v>13</v>
      </c>
      <c r="I155" t="s">
        <v>21</v>
      </c>
      <c r="J155" s="6">
        <v>45448</v>
      </c>
      <c r="K155">
        <f>Table1[[#This Row],[Stock_Level]]*Table1[[#This Row],[Unit_Cost]]</f>
        <v>55073.25</v>
      </c>
      <c r="L155">
        <f t="shared" si="2"/>
        <v>0</v>
      </c>
      <c r="M155" s="7">
        <f ca="1">_xlfn.DAYS(TODAY(),Table1[[#This Row],[Last_Stocked_Date]])</f>
        <v>632</v>
      </c>
    </row>
    <row r="156" spans="1:13" x14ac:dyDescent="0.45">
      <c r="A156" t="s">
        <v>208</v>
      </c>
      <c r="B156" t="s">
        <v>29</v>
      </c>
      <c r="C156" t="s">
        <v>16</v>
      </c>
      <c r="D156">
        <v>220</v>
      </c>
      <c r="E156">
        <v>57</v>
      </c>
      <c r="F156">
        <v>348.43</v>
      </c>
      <c r="G156">
        <v>186</v>
      </c>
      <c r="H156">
        <v>15</v>
      </c>
      <c r="I156" t="s">
        <v>17</v>
      </c>
      <c r="J156" s="6">
        <v>45449</v>
      </c>
      <c r="K156">
        <f>Table1[[#This Row],[Stock_Level]]*Table1[[#This Row],[Unit_Cost]]</f>
        <v>76654.600000000006</v>
      </c>
      <c r="L156">
        <f t="shared" si="2"/>
        <v>0</v>
      </c>
      <c r="M156" s="7">
        <f ca="1">_xlfn.DAYS(TODAY(),Table1[[#This Row],[Last_Stocked_Date]])</f>
        <v>631</v>
      </c>
    </row>
    <row r="157" spans="1:13" x14ac:dyDescent="0.45">
      <c r="A157" t="s">
        <v>210</v>
      </c>
      <c r="B157" t="s">
        <v>15</v>
      </c>
      <c r="C157" t="s">
        <v>32</v>
      </c>
      <c r="D157">
        <v>402</v>
      </c>
      <c r="E157">
        <v>140</v>
      </c>
      <c r="F157">
        <v>278.62</v>
      </c>
      <c r="G157">
        <v>185</v>
      </c>
      <c r="H157">
        <v>17</v>
      </c>
      <c r="I157" t="s">
        <v>21</v>
      </c>
      <c r="J157" s="6">
        <v>45450</v>
      </c>
      <c r="K157">
        <f>Table1[[#This Row],[Stock_Level]]*Table1[[#This Row],[Unit_Cost]]</f>
        <v>112005.24</v>
      </c>
      <c r="L157">
        <f t="shared" si="2"/>
        <v>0</v>
      </c>
      <c r="M157" s="7">
        <f ca="1">_xlfn.DAYS(TODAY(),Table1[[#This Row],[Last_Stocked_Date]])</f>
        <v>630</v>
      </c>
    </row>
    <row r="158" spans="1:13" x14ac:dyDescent="0.45">
      <c r="A158" t="s">
        <v>211</v>
      </c>
      <c r="B158" t="s">
        <v>24</v>
      </c>
      <c r="C158" t="s">
        <v>32</v>
      </c>
      <c r="D158">
        <v>406</v>
      </c>
      <c r="E158">
        <v>103</v>
      </c>
      <c r="F158">
        <v>112.04</v>
      </c>
      <c r="G158">
        <v>129</v>
      </c>
      <c r="H158">
        <v>23</v>
      </c>
      <c r="I158" t="s">
        <v>26</v>
      </c>
      <c r="J158" s="6">
        <v>45451</v>
      </c>
      <c r="K158">
        <f>Table1[[#This Row],[Stock_Level]]*Table1[[#This Row],[Unit_Cost]]</f>
        <v>45488.240000000005</v>
      </c>
      <c r="L158">
        <f t="shared" si="2"/>
        <v>0</v>
      </c>
      <c r="M158" s="7">
        <f ca="1">_xlfn.DAYS(TODAY(),Table1[[#This Row],[Last_Stocked_Date]])</f>
        <v>629</v>
      </c>
    </row>
    <row r="159" spans="1:13" x14ac:dyDescent="0.45">
      <c r="A159" t="s">
        <v>213</v>
      </c>
      <c r="B159" t="s">
        <v>29</v>
      </c>
      <c r="C159" t="s">
        <v>20</v>
      </c>
      <c r="D159">
        <v>210</v>
      </c>
      <c r="E159">
        <v>51</v>
      </c>
      <c r="F159">
        <v>108.25</v>
      </c>
      <c r="G159">
        <v>126</v>
      </c>
      <c r="H159">
        <v>19</v>
      </c>
      <c r="I159" t="s">
        <v>17</v>
      </c>
      <c r="J159" s="6">
        <v>45452</v>
      </c>
      <c r="K159">
        <f>Table1[[#This Row],[Stock_Level]]*Table1[[#This Row],[Unit_Cost]]</f>
        <v>22732.5</v>
      </c>
      <c r="L159">
        <f t="shared" si="2"/>
        <v>0</v>
      </c>
      <c r="M159" s="7">
        <f ca="1">_xlfn.DAYS(TODAY(),Table1[[#This Row],[Last_Stocked_Date]])</f>
        <v>628</v>
      </c>
    </row>
    <row r="160" spans="1:13" x14ac:dyDescent="0.45">
      <c r="A160" t="s">
        <v>215</v>
      </c>
      <c r="B160" t="s">
        <v>19</v>
      </c>
      <c r="C160" t="s">
        <v>25</v>
      </c>
      <c r="D160">
        <v>24</v>
      </c>
      <c r="E160">
        <v>130</v>
      </c>
      <c r="F160">
        <v>151.71</v>
      </c>
      <c r="G160">
        <v>35</v>
      </c>
      <c r="H160">
        <v>22</v>
      </c>
      <c r="I160" t="s">
        <v>26</v>
      </c>
      <c r="J160" s="6">
        <v>45453</v>
      </c>
      <c r="K160">
        <f>Table1[[#This Row],[Stock_Level]]*Table1[[#This Row],[Unit_Cost]]</f>
        <v>3641.04</v>
      </c>
      <c r="L160">
        <f t="shared" si="2"/>
        <v>1</v>
      </c>
      <c r="M160" s="7">
        <f ca="1">_xlfn.DAYS(TODAY(),Table1[[#This Row],[Last_Stocked_Date]])</f>
        <v>627</v>
      </c>
    </row>
    <row r="161" spans="1:13" x14ac:dyDescent="0.45">
      <c r="A161" t="s">
        <v>216</v>
      </c>
      <c r="B161" t="s">
        <v>24</v>
      </c>
      <c r="C161" t="s">
        <v>32</v>
      </c>
      <c r="D161">
        <v>15</v>
      </c>
      <c r="E161">
        <v>127</v>
      </c>
      <c r="F161">
        <v>455.85</v>
      </c>
      <c r="G161">
        <v>113</v>
      </c>
      <c r="H161">
        <v>23</v>
      </c>
      <c r="I161" t="s">
        <v>21</v>
      </c>
      <c r="J161" s="6">
        <v>45454</v>
      </c>
      <c r="K161">
        <f>Table1[[#This Row],[Stock_Level]]*Table1[[#This Row],[Unit_Cost]]</f>
        <v>6837.75</v>
      </c>
      <c r="L161">
        <f t="shared" si="2"/>
        <v>1</v>
      </c>
      <c r="M161" s="7">
        <f ca="1">_xlfn.DAYS(TODAY(),Table1[[#This Row],[Last_Stocked_Date]])</f>
        <v>626</v>
      </c>
    </row>
    <row r="162" spans="1:13" x14ac:dyDescent="0.45">
      <c r="A162" t="s">
        <v>217</v>
      </c>
      <c r="B162" t="s">
        <v>24</v>
      </c>
      <c r="C162" t="s">
        <v>20</v>
      </c>
      <c r="D162">
        <v>181</v>
      </c>
      <c r="E162">
        <v>138</v>
      </c>
      <c r="F162">
        <v>275.97000000000003</v>
      </c>
      <c r="G162">
        <v>198</v>
      </c>
      <c r="H162">
        <v>22</v>
      </c>
      <c r="I162" t="s">
        <v>26</v>
      </c>
      <c r="J162" s="6">
        <v>45455</v>
      </c>
      <c r="K162">
        <f>Table1[[#This Row],[Stock_Level]]*Table1[[#This Row],[Unit_Cost]]</f>
        <v>49950.570000000007</v>
      </c>
      <c r="L162">
        <f t="shared" si="2"/>
        <v>0</v>
      </c>
      <c r="M162" s="7">
        <f ca="1">_xlfn.DAYS(TODAY(),Table1[[#This Row],[Last_Stocked_Date]])</f>
        <v>625</v>
      </c>
    </row>
    <row r="163" spans="1:13" x14ac:dyDescent="0.45">
      <c r="A163" t="s">
        <v>218</v>
      </c>
      <c r="B163" t="s">
        <v>19</v>
      </c>
      <c r="C163" t="s">
        <v>16</v>
      </c>
      <c r="D163">
        <v>498</v>
      </c>
      <c r="E163">
        <v>105</v>
      </c>
      <c r="F163">
        <v>368.28</v>
      </c>
      <c r="G163">
        <v>12</v>
      </c>
      <c r="H163">
        <v>13</v>
      </c>
      <c r="I163" t="s">
        <v>21</v>
      </c>
      <c r="J163" s="6">
        <v>45456</v>
      </c>
      <c r="K163">
        <f>Table1[[#This Row],[Stock_Level]]*Table1[[#This Row],[Unit_Cost]]</f>
        <v>183403.43999999997</v>
      </c>
      <c r="L163">
        <f t="shared" si="2"/>
        <v>0</v>
      </c>
      <c r="M163" s="7">
        <f ca="1">_xlfn.DAYS(TODAY(),Table1[[#This Row],[Last_Stocked_Date]])</f>
        <v>624</v>
      </c>
    </row>
    <row r="164" spans="1:13" x14ac:dyDescent="0.45">
      <c r="A164" t="s">
        <v>219</v>
      </c>
      <c r="B164" t="s">
        <v>24</v>
      </c>
      <c r="C164" t="s">
        <v>16</v>
      </c>
      <c r="D164">
        <v>328</v>
      </c>
      <c r="E164">
        <v>143</v>
      </c>
      <c r="F164">
        <v>176.55</v>
      </c>
      <c r="G164">
        <v>14</v>
      </c>
      <c r="H164">
        <v>19</v>
      </c>
      <c r="I164" t="s">
        <v>21</v>
      </c>
      <c r="J164" s="6">
        <v>45457</v>
      </c>
      <c r="K164">
        <f>Table1[[#This Row],[Stock_Level]]*Table1[[#This Row],[Unit_Cost]]</f>
        <v>57908.4</v>
      </c>
      <c r="L164">
        <f t="shared" si="2"/>
        <v>0</v>
      </c>
      <c r="M164" s="7">
        <f ca="1">_xlfn.DAYS(TODAY(),Table1[[#This Row],[Last_Stocked_Date]])</f>
        <v>623</v>
      </c>
    </row>
    <row r="165" spans="1:13" x14ac:dyDescent="0.45">
      <c r="A165" t="s">
        <v>220</v>
      </c>
      <c r="B165" t="s">
        <v>15</v>
      </c>
      <c r="C165" t="s">
        <v>32</v>
      </c>
      <c r="D165">
        <v>128</v>
      </c>
      <c r="E165">
        <v>142</v>
      </c>
      <c r="F165">
        <v>206.82</v>
      </c>
      <c r="G165">
        <v>88</v>
      </c>
      <c r="H165">
        <v>8</v>
      </c>
      <c r="I165" t="s">
        <v>17</v>
      </c>
      <c r="J165" s="6">
        <v>45458</v>
      </c>
      <c r="K165">
        <f>Table1[[#This Row],[Stock_Level]]*Table1[[#This Row],[Unit_Cost]]</f>
        <v>26472.959999999999</v>
      </c>
      <c r="L165">
        <f t="shared" si="2"/>
        <v>1</v>
      </c>
      <c r="M165" s="7">
        <f ca="1">_xlfn.DAYS(TODAY(),Table1[[#This Row],[Last_Stocked_Date]])</f>
        <v>622</v>
      </c>
    </row>
    <row r="166" spans="1:13" x14ac:dyDescent="0.45">
      <c r="A166" t="s">
        <v>221</v>
      </c>
      <c r="B166" t="s">
        <v>19</v>
      </c>
      <c r="C166" t="s">
        <v>32</v>
      </c>
      <c r="D166">
        <v>41</v>
      </c>
      <c r="E166">
        <v>133</v>
      </c>
      <c r="F166">
        <v>67.150000000000006</v>
      </c>
      <c r="G166">
        <v>187</v>
      </c>
      <c r="H166">
        <v>21</v>
      </c>
      <c r="I166" t="s">
        <v>17</v>
      </c>
      <c r="J166" s="6">
        <v>45459</v>
      </c>
      <c r="K166">
        <f>Table1[[#This Row],[Stock_Level]]*Table1[[#This Row],[Unit_Cost]]</f>
        <v>2753.15</v>
      </c>
      <c r="L166">
        <f t="shared" si="2"/>
        <v>1</v>
      </c>
      <c r="M166" s="7">
        <f ca="1">_xlfn.DAYS(TODAY(),Table1[[#This Row],[Last_Stocked_Date]])</f>
        <v>621</v>
      </c>
    </row>
    <row r="167" spans="1:13" x14ac:dyDescent="0.45">
      <c r="A167" t="s">
        <v>222</v>
      </c>
      <c r="B167" t="s">
        <v>24</v>
      </c>
      <c r="C167" t="s">
        <v>25</v>
      </c>
      <c r="D167">
        <v>402</v>
      </c>
      <c r="E167">
        <v>134</v>
      </c>
      <c r="F167">
        <v>89.79</v>
      </c>
      <c r="G167">
        <v>21</v>
      </c>
      <c r="H167">
        <v>25</v>
      </c>
      <c r="I167" t="s">
        <v>21</v>
      </c>
      <c r="J167" s="6">
        <v>45460</v>
      </c>
      <c r="K167">
        <f>Table1[[#This Row],[Stock_Level]]*Table1[[#This Row],[Unit_Cost]]</f>
        <v>36095.58</v>
      </c>
      <c r="L167">
        <f t="shared" si="2"/>
        <v>0</v>
      </c>
      <c r="M167" s="7">
        <f ca="1">_xlfn.DAYS(TODAY(),Table1[[#This Row],[Last_Stocked_Date]])</f>
        <v>620</v>
      </c>
    </row>
    <row r="168" spans="1:13" x14ac:dyDescent="0.45">
      <c r="A168" t="s">
        <v>223</v>
      </c>
      <c r="B168" t="s">
        <v>19</v>
      </c>
      <c r="C168" t="s">
        <v>25</v>
      </c>
      <c r="D168">
        <v>480</v>
      </c>
      <c r="E168">
        <v>110</v>
      </c>
      <c r="F168">
        <v>414.54</v>
      </c>
      <c r="G168">
        <v>190</v>
      </c>
      <c r="H168">
        <v>24</v>
      </c>
      <c r="I168" t="s">
        <v>17</v>
      </c>
      <c r="J168" s="6">
        <v>45461</v>
      </c>
      <c r="K168">
        <f>Table1[[#This Row],[Stock_Level]]*Table1[[#This Row],[Unit_Cost]]</f>
        <v>198979.20000000001</v>
      </c>
      <c r="L168">
        <f t="shared" si="2"/>
        <v>0</v>
      </c>
      <c r="M168" s="7">
        <f ca="1">_xlfn.DAYS(TODAY(),Table1[[#This Row],[Last_Stocked_Date]])</f>
        <v>619</v>
      </c>
    </row>
    <row r="169" spans="1:13" x14ac:dyDescent="0.45">
      <c r="A169" t="s">
        <v>224</v>
      </c>
      <c r="B169" t="s">
        <v>19</v>
      </c>
      <c r="C169" t="s">
        <v>32</v>
      </c>
      <c r="D169">
        <v>417</v>
      </c>
      <c r="E169">
        <v>71</v>
      </c>
      <c r="F169">
        <v>294.5</v>
      </c>
      <c r="G169">
        <v>73</v>
      </c>
      <c r="H169">
        <v>8</v>
      </c>
      <c r="I169" t="s">
        <v>26</v>
      </c>
      <c r="J169" s="6">
        <v>45462</v>
      </c>
      <c r="K169">
        <f>Table1[[#This Row],[Stock_Level]]*Table1[[#This Row],[Unit_Cost]]</f>
        <v>122806.5</v>
      </c>
      <c r="L169">
        <f t="shared" si="2"/>
        <v>0</v>
      </c>
      <c r="M169" s="7">
        <f ca="1">_xlfn.DAYS(TODAY(),Table1[[#This Row],[Last_Stocked_Date]])</f>
        <v>618</v>
      </c>
    </row>
    <row r="170" spans="1:13" x14ac:dyDescent="0.45">
      <c r="A170" t="s">
        <v>225</v>
      </c>
      <c r="B170" t="s">
        <v>19</v>
      </c>
      <c r="C170" t="s">
        <v>20</v>
      </c>
      <c r="D170">
        <v>335</v>
      </c>
      <c r="E170">
        <v>84</v>
      </c>
      <c r="F170">
        <v>172.08</v>
      </c>
      <c r="G170">
        <v>24</v>
      </c>
      <c r="H170">
        <v>10</v>
      </c>
      <c r="I170" t="s">
        <v>17</v>
      </c>
      <c r="J170" s="6">
        <v>45463</v>
      </c>
      <c r="K170">
        <f>Table1[[#This Row],[Stock_Level]]*Table1[[#This Row],[Unit_Cost]]</f>
        <v>57646.8</v>
      </c>
      <c r="L170">
        <f t="shared" si="2"/>
        <v>0</v>
      </c>
      <c r="M170" s="7">
        <f ca="1">_xlfn.DAYS(TODAY(),Table1[[#This Row],[Last_Stocked_Date]])</f>
        <v>617</v>
      </c>
    </row>
    <row r="171" spans="1:13" x14ac:dyDescent="0.45">
      <c r="A171" t="s">
        <v>226</v>
      </c>
      <c r="B171" t="s">
        <v>29</v>
      </c>
      <c r="C171" t="s">
        <v>25</v>
      </c>
      <c r="D171">
        <v>235</v>
      </c>
      <c r="E171">
        <v>65</v>
      </c>
      <c r="F171">
        <v>402.41</v>
      </c>
      <c r="G171">
        <v>100</v>
      </c>
      <c r="H171">
        <v>2</v>
      </c>
      <c r="I171" t="s">
        <v>17</v>
      </c>
      <c r="J171" s="6">
        <v>45464</v>
      </c>
      <c r="K171">
        <f>Table1[[#This Row],[Stock_Level]]*Table1[[#This Row],[Unit_Cost]]</f>
        <v>94566.35</v>
      </c>
      <c r="L171">
        <f t="shared" si="2"/>
        <v>0</v>
      </c>
      <c r="M171" s="7">
        <f ca="1">_xlfn.DAYS(TODAY(),Table1[[#This Row],[Last_Stocked_Date]])</f>
        <v>616</v>
      </c>
    </row>
    <row r="172" spans="1:13" x14ac:dyDescent="0.45">
      <c r="A172" t="s">
        <v>227</v>
      </c>
      <c r="B172" t="s">
        <v>24</v>
      </c>
      <c r="C172" t="s">
        <v>32</v>
      </c>
      <c r="D172">
        <v>359</v>
      </c>
      <c r="E172">
        <v>99</v>
      </c>
      <c r="F172">
        <v>127.03</v>
      </c>
      <c r="G172">
        <v>175</v>
      </c>
      <c r="H172">
        <v>27</v>
      </c>
      <c r="I172" t="s">
        <v>26</v>
      </c>
      <c r="J172" s="6">
        <v>45465</v>
      </c>
      <c r="K172">
        <f>Table1[[#This Row],[Stock_Level]]*Table1[[#This Row],[Unit_Cost]]</f>
        <v>45603.77</v>
      </c>
      <c r="L172">
        <f t="shared" si="2"/>
        <v>0</v>
      </c>
      <c r="M172" s="7">
        <f ca="1">_xlfn.DAYS(TODAY(),Table1[[#This Row],[Last_Stocked_Date]])</f>
        <v>615</v>
      </c>
    </row>
    <row r="173" spans="1:13" x14ac:dyDescent="0.45">
      <c r="A173" t="s">
        <v>228</v>
      </c>
      <c r="B173" t="s">
        <v>29</v>
      </c>
      <c r="C173" t="s">
        <v>25</v>
      </c>
      <c r="D173">
        <v>438</v>
      </c>
      <c r="E173">
        <v>92</v>
      </c>
      <c r="F173">
        <v>488.14</v>
      </c>
      <c r="G173">
        <v>170</v>
      </c>
      <c r="H173">
        <v>7</v>
      </c>
      <c r="I173" t="s">
        <v>17</v>
      </c>
      <c r="J173" s="6">
        <v>45466</v>
      </c>
      <c r="K173">
        <f>Table1[[#This Row],[Stock_Level]]*Table1[[#This Row],[Unit_Cost]]</f>
        <v>213805.32</v>
      </c>
      <c r="L173">
        <f t="shared" si="2"/>
        <v>0</v>
      </c>
      <c r="M173" s="7">
        <f ca="1">_xlfn.DAYS(TODAY(),Table1[[#This Row],[Last_Stocked_Date]])</f>
        <v>614</v>
      </c>
    </row>
    <row r="174" spans="1:13" x14ac:dyDescent="0.45">
      <c r="A174" t="s">
        <v>229</v>
      </c>
      <c r="B174" t="s">
        <v>24</v>
      </c>
      <c r="C174" t="s">
        <v>32</v>
      </c>
      <c r="D174">
        <v>401</v>
      </c>
      <c r="E174">
        <v>66</v>
      </c>
      <c r="F174">
        <v>175.68</v>
      </c>
      <c r="G174">
        <v>116</v>
      </c>
      <c r="H174">
        <v>7</v>
      </c>
      <c r="I174" t="s">
        <v>21</v>
      </c>
      <c r="J174" s="6">
        <v>45467</v>
      </c>
      <c r="K174">
        <f>Table1[[#This Row],[Stock_Level]]*Table1[[#This Row],[Unit_Cost]]</f>
        <v>70447.680000000008</v>
      </c>
      <c r="L174">
        <f t="shared" si="2"/>
        <v>0</v>
      </c>
      <c r="M174" s="7">
        <f ca="1">_xlfn.DAYS(TODAY(),Table1[[#This Row],[Last_Stocked_Date]])</f>
        <v>613</v>
      </c>
    </row>
    <row r="175" spans="1:13" x14ac:dyDescent="0.45">
      <c r="A175" t="s">
        <v>231</v>
      </c>
      <c r="B175" t="s">
        <v>15</v>
      </c>
      <c r="C175" t="s">
        <v>16</v>
      </c>
      <c r="D175">
        <v>33</v>
      </c>
      <c r="E175">
        <v>129</v>
      </c>
      <c r="F175">
        <v>171.97</v>
      </c>
      <c r="G175">
        <v>165</v>
      </c>
      <c r="H175">
        <v>23</v>
      </c>
      <c r="I175" t="s">
        <v>26</v>
      </c>
      <c r="J175" s="6">
        <v>45468</v>
      </c>
      <c r="K175">
        <f>Table1[[#This Row],[Stock_Level]]*Table1[[#This Row],[Unit_Cost]]</f>
        <v>5675.01</v>
      </c>
      <c r="L175">
        <f t="shared" si="2"/>
        <v>1</v>
      </c>
      <c r="M175" s="7">
        <f ca="1">_xlfn.DAYS(TODAY(),Table1[[#This Row],[Last_Stocked_Date]])</f>
        <v>612</v>
      </c>
    </row>
    <row r="176" spans="1:13" x14ac:dyDescent="0.45">
      <c r="A176" t="s">
        <v>232</v>
      </c>
      <c r="B176" t="s">
        <v>15</v>
      </c>
      <c r="C176" t="s">
        <v>32</v>
      </c>
      <c r="D176">
        <v>344</v>
      </c>
      <c r="E176">
        <v>107</v>
      </c>
      <c r="F176">
        <v>159.4</v>
      </c>
      <c r="G176">
        <v>40</v>
      </c>
      <c r="H176">
        <v>13</v>
      </c>
      <c r="I176" t="s">
        <v>21</v>
      </c>
      <c r="J176" s="6">
        <v>45469</v>
      </c>
      <c r="K176">
        <f>Table1[[#This Row],[Stock_Level]]*Table1[[#This Row],[Unit_Cost]]</f>
        <v>54833.599999999999</v>
      </c>
      <c r="L176">
        <f t="shared" si="2"/>
        <v>0</v>
      </c>
      <c r="M176" s="7">
        <f ca="1">_xlfn.DAYS(TODAY(),Table1[[#This Row],[Last_Stocked_Date]])</f>
        <v>611</v>
      </c>
    </row>
    <row r="177" spans="1:13" x14ac:dyDescent="0.45">
      <c r="A177" t="s">
        <v>233</v>
      </c>
      <c r="B177" t="s">
        <v>15</v>
      </c>
      <c r="C177" t="s">
        <v>16</v>
      </c>
      <c r="D177">
        <v>380</v>
      </c>
      <c r="E177">
        <v>51</v>
      </c>
      <c r="F177">
        <v>65.45</v>
      </c>
      <c r="G177">
        <v>172</v>
      </c>
      <c r="H177">
        <v>23</v>
      </c>
      <c r="I177" t="s">
        <v>26</v>
      </c>
      <c r="J177" s="6">
        <v>45470</v>
      </c>
      <c r="K177">
        <f>Table1[[#This Row],[Stock_Level]]*Table1[[#This Row],[Unit_Cost]]</f>
        <v>24871</v>
      </c>
      <c r="L177">
        <f t="shared" si="2"/>
        <v>0</v>
      </c>
      <c r="M177" s="7">
        <f ca="1">_xlfn.DAYS(TODAY(),Table1[[#This Row],[Last_Stocked_Date]])</f>
        <v>610</v>
      </c>
    </row>
    <row r="178" spans="1:13" x14ac:dyDescent="0.45">
      <c r="A178" t="s">
        <v>234</v>
      </c>
      <c r="B178" t="s">
        <v>24</v>
      </c>
      <c r="C178" t="s">
        <v>25</v>
      </c>
      <c r="D178">
        <v>44</v>
      </c>
      <c r="E178">
        <v>53</v>
      </c>
      <c r="F178">
        <v>60.01</v>
      </c>
      <c r="G178">
        <v>87</v>
      </c>
      <c r="H178">
        <v>13</v>
      </c>
      <c r="I178" t="s">
        <v>21</v>
      </c>
      <c r="J178" s="6">
        <v>45471</v>
      </c>
      <c r="K178">
        <f>Table1[[#This Row],[Stock_Level]]*Table1[[#This Row],[Unit_Cost]]</f>
        <v>2640.44</v>
      </c>
      <c r="L178">
        <f t="shared" si="2"/>
        <v>1</v>
      </c>
      <c r="M178" s="7">
        <f ca="1">_xlfn.DAYS(TODAY(),Table1[[#This Row],[Last_Stocked_Date]])</f>
        <v>609</v>
      </c>
    </row>
    <row r="179" spans="1:13" x14ac:dyDescent="0.45">
      <c r="A179" t="s">
        <v>235</v>
      </c>
      <c r="B179" t="s">
        <v>19</v>
      </c>
      <c r="C179" t="s">
        <v>32</v>
      </c>
      <c r="D179">
        <v>133</v>
      </c>
      <c r="E179">
        <v>134</v>
      </c>
      <c r="F179">
        <v>325.81</v>
      </c>
      <c r="G179">
        <v>167</v>
      </c>
      <c r="H179">
        <v>11</v>
      </c>
      <c r="I179" t="s">
        <v>21</v>
      </c>
      <c r="J179" s="6">
        <v>45472</v>
      </c>
      <c r="K179">
        <f>Table1[[#This Row],[Stock_Level]]*Table1[[#This Row],[Unit_Cost]]</f>
        <v>43332.73</v>
      </c>
      <c r="L179">
        <f t="shared" si="2"/>
        <v>1</v>
      </c>
      <c r="M179" s="7">
        <f ca="1">_xlfn.DAYS(TODAY(),Table1[[#This Row],[Last_Stocked_Date]])</f>
        <v>608</v>
      </c>
    </row>
    <row r="180" spans="1:13" x14ac:dyDescent="0.45">
      <c r="A180" t="s">
        <v>236</v>
      </c>
      <c r="B180" t="s">
        <v>19</v>
      </c>
      <c r="C180" t="s">
        <v>25</v>
      </c>
      <c r="D180">
        <v>20</v>
      </c>
      <c r="E180">
        <v>88</v>
      </c>
      <c r="F180">
        <v>438.18</v>
      </c>
      <c r="G180">
        <v>109</v>
      </c>
      <c r="H180">
        <v>24</v>
      </c>
      <c r="I180" t="s">
        <v>17</v>
      </c>
      <c r="J180" s="6">
        <v>45473</v>
      </c>
      <c r="K180">
        <f>Table1[[#This Row],[Stock_Level]]*Table1[[#This Row],[Unit_Cost]]</f>
        <v>8763.6</v>
      </c>
      <c r="L180">
        <f t="shared" si="2"/>
        <v>1</v>
      </c>
      <c r="M180" s="7">
        <f ca="1">_xlfn.DAYS(TODAY(),Table1[[#This Row],[Last_Stocked_Date]])</f>
        <v>607</v>
      </c>
    </row>
    <row r="181" spans="1:13" x14ac:dyDescent="0.45">
      <c r="A181" t="s">
        <v>237</v>
      </c>
      <c r="B181" t="s">
        <v>29</v>
      </c>
      <c r="C181" t="s">
        <v>16</v>
      </c>
      <c r="D181">
        <v>121</v>
      </c>
      <c r="E181">
        <v>147</v>
      </c>
      <c r="F181">
        <v>396.31</v>
      </c>
      <c r="G181">
        <v>119</v>
      </c>
      <c r="H181">
        <v>27</v>
      </c>
      <c r="I181" t="s">
        <v>21</v>
      </c>
      <c r="J181" s="6">
        <v>45474</v>
      </c>
      <c r="K181">
        <f>Table1[[#This Row],[Stock_Level]]*Table1[[#This Row],[Unit_Cost]]</f>
        <v>47953.51</v>
      </c>
      <c r="L181">
        <f t="shared" si="2"/>
        <v>1</v>
      </c>
      <c r="M181" s="7">
        <f ca="1">_xlfn.DAYS(TODAY(),Table1[[#This Row],[Last_Stocked_Date]])</f>
        <v>606</v>
      </c>
    </row>
    <row r="182" spans="1:13" x14ac:dyDescent="0.45">
      <c r="A182" t="s">
        <v>238</v>
      </c>
      <c r="B182" t="s">
        <v>29</v>
      </c>
      <c r="C182" t="s">
        <v>32</v>
      </c>
      <c r="D182">
        <v>69</v>
      </c>
      <c r="E182">
        <v>143</v>
      </c>
      <c r="F182">
        <v>74.849999999999994</v>
      </c>
      <c r="G182">
        <v>96</v>
      </c>
      <c r="H182">
        <v>7</v>
      </c>
      <c r="I182" t="s">
        <v>17</v>
      </c>
      <c r="J182" s="6">
        <v>45475</v>
      </c>
      <c r="K182">
        <f>Table1[[#This Row],[Stock_Level]]*Table1[[#This Row],[Unit_Cost]]</f>
        <v>5164.6499999999996</v>
      </c>
      <c r="L182">
        <f t="shared" si="2"/>
        <v>1</v>
      </c>
      <c r="M182" s="7">
        <f ca="1">_xlfn.DAYS(TODAY(),Table1[[#This Row],[Last_Stocked_Date]])</f>
        <v>605</v>
      </c>
    </row>
    <row r="183" spans="1:13" x14ac:dyDescent="0.45">
      <c r="A183" t="s">
        <v>239</v>
      </c>
      <c r="B183" t="s">
        <v>15</v>
      </c>
      <c r="C183" t="s">
        <v>25</v>
      </c>
      <c r="D183">
        <v>351</v>
      </c>
      <c r="E183">
        <v>55</v>
      </c>
      <c r="F183">
        <v>275.06</v>
      </c>
      <c r="G183">
        <v>144</v>
      </c>
      <c r="H183">
        <v>18</v>
      </c>
      <c r="I183" t="s">
        <v>26</v>
      </c>
      <c r="J183" s="6">
        <v>45476</v>
      </c>
      <c r="K183">
        <f>Table1[[#This Row],[Stock_Level]]*Table1[[#This Row],[Unit_Cost]]</f>
        <v>96546.06</v>
      </c>
      <c r="L183">
        <f t="shared" si="2"/>
        <v>0</v>
      </c>
      <c r="M183" s="7">
        <f ca="1">_xlfn.DAYS(TODAY(),Table1[[#This Row],[Last_Stocked_Date]])</f>
        <v>604</v>
      </c>
    </row>
    <row r="184" spans="1:13" x14ac:dyDescent="0.45">
      <c r="A184" t="s">
        <v>240</v>
      </c>
      <c r="B184" t="s">
        <v>29</v>
      </c>
      <c r="C184" t="s">
        <v>16</v>
      </c>
      <c r="D184">
        <v>360</v>
      </c>
      <c r="E184">
        <v>130</v>
      </c>
      <c r="F184">
        <v>57.27</v>
      </c>
      <c r="G184">
        <v>56</v>
      </c>
      <c r="H184">
        <v>20</v>
      </c>
      <c r="I184" t="s">
        <v>21</v>
      </c>
      <c r="J184" s="6">
        <v>45477</v>
      </c>
      <c r="K184">
        <f>Table1[[#This Row],[Stock_Level]]*Table1[[#This Row],[Unit_Cost]]</f>
        <v>20617.2</v>
      </c>
      <c r="L184">
        <f t="shared" si="2"/>
        <v>0</v>
      </c>
      <c r="M184" s="7">
        <f ca="1">_xlfn.DAYS(TODAY(),Table1[[#This Row],[Last_Stocked_Date]])</f>
        <v>603</v>
      </c>
    </row>
    <row r="185" spans="1:13" x14ac:dyDescent="0.45">
      <c r="A185" t="s">
        <v>241</v>
      </c>
      <c r="B185" t="s">
        <v>24</v>
      </c>
      <c r="C185" t="s">
        <v>25</v>
      </c>
      <c r="D185">
        <v>47</v>
      </c>
      <c r="E185">
        <v>138</v>
      </c>
      <c r="F185">
        <v>27.42</v>
      </c>
      <c r="G185">
        <v>129</v>
      </c>
      <c r="H185">
        <v>19</v>
      </c>
      <c r="I185" t="s">
        <v>21</v>
      </c>
      <c r="J185" s="6">
        <v>45478</v>
      </c>
      <c r="K185">
        <f>Table1[[#This Row],[Stock_Level]]*Table1[[#This Row],[Unit_Cost]]</f>
        <v>1288.74</v>
      </c>
      <c r="L185">
        <f t="shared" si="2"/>
        <v>1</v>
      </c>
      <c r="M185" s="7">
        <f ca="1">_xlfn.DAYS(TODAY(),Table1[[#This Row],[Last_Stocked_Date]])</f>
        <v>602</v>
      </c>
    </row>
    <row r="186" spans="1:13" x14ac:dyDescent="0.45">
      <c r="A186" t="s">
        <v>242</v>
      </c>
      <c r="B186" t="s">
        <v>24</v>
      </c>
      <c r="C186" t="s">
        <v>20</v>
      </c>
      <c r="D186">
        <v>490</v>
      </c>
      <c r="E186">
        <v>118</v>
      </c>
      <c r="F186">
        <v>329.91</v>
      </c>
      <c r="G186">
        <v>95</v>
      </c>
      <c r="H186">
        <v>7</v>
      </c>
      <c r="I186" t="s">
        <v>26</v>
      </c>
      <c r="J186" s="6">
        <v>45479</v>
      </c>
      <c r="K186">
        <f>Table1[[#This Row],[Stock_Level]]*Table1[[#This Row],[Unit_Cost]]</f>
        <v>161655.90000000002</v>
      </c>
      <c r="L186">
        <f t="shared" si="2"/>
        <v>0</v>
      </c>
      <c r="M186" s="7">
        <f ca="1">_xlfn.DAYS(TODAY(),Table1[[#This Row],[Last_Stocked_Date]])</f>
        <v>601</v>
      </c>
    </row>
    <row r="187" spans="1:13" x14ac:dyDescent="0.45">
      <c r="A187" t="s">
        <v>243</v>
      </c>
      <c r="B187" t="s">
        <v>29</v>
      </c>
      <c r="C187" t="s">
        <v>16</v>
      </c>
      <c r="D187">
        <v>38</v>
      </c>
      <c r="E187">
        <v>118</v>
      </c>
      <c r="F187">
        <v>269.89999999999998</v>
      </c>
      <c r="G187">
        <v>120</v>
      </c>
      <c r="H187">
        <v>25</v>
      </c>
      <c r="I187" t="s">
        <v>26</v>
      </c>
      <c r="J187" s="6">
        <v>45480</v>
      </c>
      <c r="K187">
        <f>Table1[[#This Row],[Stock_Level]]*Table1[[#This Row],[Unit_Cost]]</f>
        <v>10256.199999999999</v>
      </c>
      <c r="L187">
        <f t="shared" si="2"/>
        <v>1</v>
      </c>
      <c r="M187" s="7">
        <f ca="1">_xlfn.DAYS(TODAY(),Table1[[#This Row],[Last_Stocked_Date]])</f>
        <v>600</v>
      </c>
    </row>
    <row r="188" spans="1:13" x14ac:dyDescent="0.45">
      <c r="A188" t="s">
        <v>245</v>
      </c>
      <c r="B188" t="s">
        <v>29</v>
      </c>
      <c r="C188" t="s">
        <v>16</v>
      </c>
      <c r="D188">
        <v>286</v>
      </c>
      <c r="E188">
        <v>69</v>
      </c>
      <c r="F188">
        <v>45.6</v>
      </c>
      <c r="G188">
        <v>61</v>
      </c>
      <c r="H188">
        <v>20</v>
      </c>
      <c r="I188" t="s">
        <v>21</v>
      </c>
      <c r="J188" s="6">
        <v>45481</v>
      </c>
      <c r="K188">
        <f>Table1[[#This Row],[Stock_Level]]*Table1[[#This Row],[Unit_Cost]]</f>
        <v>13041.6</v>
      </c>
      <c r="L188">
        <f t="shared" si="2"/>
        <v>0</v>
      </c>
      <c r="M188" s="7">
        <f ca="1">_xlfn.DAYS(TODAY(),Table1[[#This Row],[Last_Stocked_Date]])</f>
        <v>599</v>
      </c>
    </row>
    <row r="189" spans="1:13" x14ac:dyDescent="0.45">
      <c r="A189" t="s">
        <v>246</v>
      </c>
      <c r="B189" t="s">
        <v>29</v>
      </c>
      <c r="C189" t="s">
        <v>16</v>
      </c>
      <c r="D189">
        <v>489</v>
      </c>
      <c r="E189">
        <v>113</v>
      </c>
      <c r="F189">
        <v>22.29</v>
      </c>
      <c r="G189">
        <v>136</v>
      </c>
      <c r="H189">
        <v>11</v>
      </c>
      <c r="I189" t="s">
        <v>26</v>
      </c>
      <c r="J189" s="6">
        <v>45482</v>
      </c>
      <c r="K189">
        <f>Table1[[#This Row],[Stock_Level]]*Table1[[#This Row],[Unit_Cost]]</f>
        <v>10899.81</v>
      </c>
      <c r="L189">
        <f t="shared" si="2"/>
        <v>0</v>
      </c>
      <c r="M189" s="7">
        <f ca="1">_xlfn.DAYS(TODAY(),Table1[[#This Row],[Last_Stocked_Date]])</f>
        <v>598</v>
      </c>
    </row>
    <row r="190" spans="1:13" x14ac:dyDescent="0.45">
      <c r="A190" t="s">
        <v>247</v>
      </c>
      <c r="B190" t="s">
        <v>29</v>
      </c>
      <c r="C190" t="s">
        <v>32</v>
      </c>
      <c r="D190">
        <v>9</v>
      </c>
      <c r="E190">
        <v>65</v>
      </c>
      <c r="F190">
        <v>494.93</v>
      </c>
      <c r="G190">
        <v>67</v>
      </c>
      <c r="H190">
        <v>25</v>
      </c>
      <c r="I190" t="s">
        <v>17</v>
      </c>
      <c r="J190" s="6">
        <v>45483</v>
      </c>
      <c r="K190">
        <f>Table1[[#This Row],[Stock_Level]]*Table1[[#This Row],[Unit_Cost]]</f>
        <v>4454.37</v>
      </c>
      <c r="L190">
        <f t="shared" si="2"/>
        <v>1</v>
      </c>
      <c r="M190" s="7">
        <f ca="1">_xlfn.DAYS(TODAY(),Table1[[#This Row],[Last_Stocked_Date]])</f>
        <v>597</v>
      </c>
    </row>
    <row r="191" spans="1:13" x14ac:dyDescent="0.45">
      <c r="A191" t="s">
        <v>249</v>
      </c>
      <c r="B191" t="s">
        <v>15</v>
      </c>
      <c r="C191" t="s">
        <v>32</v>
      </c>
      <c r="D191">
        <v>29</v>
      </c>
      <c r="E191">
        <v>100</v>
      </c>
      <c r="F191">
        <v>19.86</v>
      </c>
      <c r="G191">
        <v>80</v>
      </c>
      <c r="H191">
        <v>9</v>
      </c>
      <c r="I191" t="s">
        <v>26</v>
      </c>
      <c r="J191" s="6">
        <v>45484</v>
      </c>
      <c r="K191">
        <f>Table1[[#This Row],[Stock_Level]]*Table1[[#This Row],[Unit_Cost]]</f>
        <v>575.93999999999994</v>
      </c>
      <c r="L191">
        <f t="shared" si="2"/>
        <v>1</v>
      </c>
      <c r="M191" s="7">
        <f ca="1">_xlfn.DAYS(TODAY(),Table1[[#This Row],[Last_Stocked_Date]])</f>
        <v>596</v>
      </c>
    </row>
    <row r="192" spans="1:13" x14ac:dyDescent="0.45">
      <c r="A192" t="s">
        <v>251</v>
      </c>
      <c r="B192" t="s">
        <v>15</v>
      </c>
      <c r="C192" t="s">
        <v>32</v>
      </c>
      <c r="D192">
        <v>243</v>
      </c>
      <c r="E192">
        <v>86</v>
      </c>
      <c r="F192">
        <v>225.04</v>
      </c>
      <c r="G192">
        <v>16</v>
      </c>
      <c r="H192">
        <v>22</v>
      </c>
      <c r="I192" t="s">
        <v>26</v>
      </c>
      <c r="J192" s="6">
        <v>45485</v>
      </c>
      <c r="K192">
        <f>Table1[[#This Row],[Stock_Level]]*Table1[[#This Row],[Unit_Cost]]</f>
        <v>54684.72</v>
      </c>
      <c r="L192">
        <f t="shared" si="2"/>
        <v>0</v>
      </c>
      <c r="M192" s="7">
        <f ca="1">_xlfn.DAYS(TODAY(),Table1[[#This Row],[Last_Stocked_Date]])</f>
        <v>595</v>
      </c>
    </row>
    <row r="193" spans="1:13" x14ac:dyDescent="0.45">
      <c r="A193" t="s">
        <v>253</v>
      </c>
      <c r="B193" t="s">
        <v>29</v>
      </c>
      <c r="C193" t="s">
        <v>20</v>
      </c>
      <c r="D193">
        <v>273</v>
      </c>
      <c r="E193">
        <v>122</v>
      </c>
      <c r="F193">
        <v>254.79</v>
      </c>
      <c r="G193">
        <v>116</v>
      </c>
      <c r="H193">
        <v>25</v>
      </c>
      <c r="I193" t="s">
        <v>21</v>
      </c>
      <c r="J193" s="6">
        <v>45486</v>
      </c>
      <c r="K193">
        <f>Table1[[#This Row],[Stock_Level]]*Table1[[#This Row],[Unit_Cost]]</f>
        <v>69557.67</v>
      </c>
      <c r="L193">
        <f t="shared" si="2"/>
        <v>0</v>
      </c>
      <c r="M193" s="7">
        <f ca="1">_xlfn.DAYS(TODAY(),Table1[[#This Row],[Last_Stocked_Date]])</f>
        <v>594</v>
      </c>
    </row>
    <row r="194" spans="1:13" x14ac:dyDescent="0.45">
      <c r="A194" t="s">
        <v>254</v>
      </c>
      <c r="B194" t="s">
        <v>24</v>
      </c>
      <c r="C194" t="s">
        <v>20</v>
      </c>
      <c r="D194">
        <v>443</v>
      </c>
      <c r="E194">
        <v>118</v>
      </c>
      <c r="F194">
        <v>63.05</v>
      </c>
      <c r="G194">
        <v>49</v>
      </c>
      <c r="H194">
        <v>7</v>
      </c>
      <c r="I194" t="s">
        <v>17</v>
      </c>
      <c r="J194" s="6">
        <v>45487</v>
      </c>
      <c r="K194">
        <f>Table1[[#This Row],[Stock_Level]]*Table1[[#This Row],[Unit_Cost]]</f>
        <v>27931.149999999998</v>
      </c>
      <c r="L194">
        <f t="shared" ref="L194:L257" si="3">IF(D194&lt;E194,1,0)</f>
        <v>0</v>
      </c>
      <c r="M194" s="7">
        <f ca="1">_xlfn.DAYS(TODAY(),Table1[[#This Row],[Last_Stocked_Date]])</f>
        <v>593</v>
      </c>
    </row>
    <row r="195" spans="1:13" x14ac:dyDescent="0.45">
      <c r="A195" t="s">
        <v>255</v>
      </c>
      <c r="B195" t="s">
        <v>15</v>
      </c>
      <c r="C195" t="s">
        <v>16</v>
      </c>
      <c r="D195">
        <v>87</v>
      </c>
      <c r="E195">
        <v>91</v>
      </c>
      <c r="F195">
        <v>88.69</v>
      </c>
      <c r="G195">
        <v>111</v>
      </c>
      <c r="H195">
        <v>22</v>
      </c>
      <c r="I195" t="s">
        <v>26</v>
      </c>
      <c r="J195" s="6">
        <v>45488</v>
      </c>
      <c r="K195">
        <f>Table1[[#This Row],[Stock_Level]]*Table1[[#This Row],[Unit_Cost]]</f>
        <v>7716.03</v>
      </c>
      <c r="L195">
        <f t="shared" si="3"/>
        <v>1</v>
      </c>
      <c r="M195" s="7">
        <f ca="1">_xlfn.DAYS(TODAY(),Table1[[#This Row],[Last_Stocked_Date]])</f>
        <v>592</v>
      </c>
    </row>
    <row r="196" spans="1:13" x14ac:dyDescent="0.45">
      <c r="A196" t="s">
        <v>256</v>
      </c>
      <c r="B196" t="s">
        <v>24</v>
      </c>
      <c r="C196" t="s">
        <v>20</v>
      </c>
      <c r="D196">
        <v>243</v>
      </c>
      <c r="E196">
        <v>106</v>
      </c>
      <c r="F196">
        <v>179.14</v>
      </c>
      <c r="G196">
        <v>93</v>
      </c>
      <c r="H196">
        <v>26</v>
      </c>
      <c r="I196" t="s">
        <v>17</v>
      </c>
      <c r="J196" s="6">
        <v>45489</v>
      </c>
      <c r="K196">
        <f>Table1[[#This Row],[Stock_Level]]*Table1[[#This Row],[Unit_Cost]]</f>
        <v>43531.02</v>
      </c>
      <c r="L196">
        <f t="shared" si="3"/>
        <v>0</v>
      </c>
      <c r="M196" s="7">
        <f ca="1">_xlfn.DAYS(TODAY(),Table1[[#This Row],[Last_Stocked_Date]])</f>
        <v>591</v>
      </c>
    </row>
    <row r="197" spans="1:13" x14ac:dyDescent="0.45">
      <c r="A197" t="s">
        <v>257</v>
      </c>
      <c r="B197" t="s">
        <v>19</v>
      </c>
      <c r="C197" t="s">
        <v>25</v>
      </c>
      <c r="D197">
        <v>380</v>
      </c>
      <c r="E197">
        <v>115</v>
      </c>
      <c r="F197">
        <v>382.03</v>
      </c>
      <c r="G197">
        <v>167</v>
      </c>
      <c r="H197">
        <v>8</v>
      </c>
      <c r="I197" t="s">
        <v>17</v>
      </c>
      <c r="J197" s="6">
        <v>45490</v>
      </c>
      <c r="K197">
        <f>Table1[[#This Row],[Stock_Level]]*Table1[[#This Row],[Unit_Cost]]</f>
        <v>145171.4</v>
      </c>
      <c r="L197">
        <f t="shared" si="3"/>
        <v>0</v>
      </c>
      <c r="M197" s="7">
        <f ca="1">_xlfn.DAYS(TODAY(),Table1[[#This Row],[Last_Stocked_Date]])</f>
        <v>590</v>
      </c>
    </row>
    <row r="198" spans="1:13" x14ac:dyDescent="0.45">
      <c r="A198" t="s">
        <v>258</v>
      </c>
      <c r="B198" t="s">
        <v>24</v>
      </c>
      <c r="C198" t="s">
        <v>16</v>
      </c>
      <c r="D198">
        <v>328</v>
      </c>
      <c r="E198">
        <v>58</v>
      </c>
      <c r="F198">
        <v>256.01</v>
      </c>
      <c r="G198">
        <v>185</v>
      </c>
      <c r="H198">
        <v>25</v>
      </c>
      <c r="I198" t="s">
        <v>17</v>
      </c>
      <c r="J198" s="6">
        <v>45491</v>
      </c>
      <c r="K198">
        <f>Table1[[#This Row],[Stock_Level]]*Table1[[#This Row],[Unit_Cost]]</f>
        <v>83971.28</v>
      </c>
      <c r="L198">
        <f t="shared" si="3"/>
        <v>0</v>
      </c>
      <c r="M198" s="7">
        <f ca="1">_xlfn.DAYS(TODAY(),Table1[[#This Row],[Last_Stocked_Date]])</f>
        <v>589</v>
      </c>
    </row>
    <row r="199" spans="1:13" x14ac:dyDescent="0.45">
      <c r="A199" t="s">
        <v>260</v>
      </c>
      <c r="B199" t="s">
        <v>29</v>
      </c>
      <c r="C199" t="s">
        <v>16</v>
      </c>
      <c r="D199">
        <v>478</v>
      </c>
      <c r="E199">
        <v>149</v>
      </c>
      <c r="F199">
        <v>320.76</v>
      </c>
      <c r="G199">
        <v>84</v>
      </c>
      <c r="H199">
        <v>2</v>
      </c>
      <c r="I199" t="s">
        <v>21</v>
      </c>
      <c r="J199" s="6">
        <v>45492</v>
      </c>
      <c r="K199">
        <f>Table1[[#This Row],[Stock_Level]]*Table1[[#This Row],[Unit_Cost]]</f>
        <v>153323.28</v>
      </c>
      <c r="L199">
        <f t="shared" si="3"/>
        <v>0</v>
      </c>
      <c r="M199" s="7">
        <f ca="1">_xlfn.DAYS(TODAY(),Table1[[#This Row],[Last_Stocked_Date]])</f>
        <v>588</v>
      </c>
    </row>
    <row r="200" spans="1:13" x14ac:dyDescent="0.45">
      <c r="A200" t="s">
        <v>261</v>
      </c>
      <c r="B200" t="s">
        <v>19</v>
      </c>
      <c r="C200" t="s">
        <v>25</v>
      </c>
      <c r="D200">
        <v>14</v>
      </c>
      <c r="E200">
        <v>135</v>
      </c>
      <c r="F200">
        <v>492.66</v>
      </c>
      <c r="G200">
        <v>148</v>
      </c>
      <c r="H200">
        <v>28</v>
      </c>
      <c r="I200" t="s">
        <v>26</v>
      </c>
      <c r="J200" s="6">
        <v>45493</v>
      </c>
      <c r="K200">
        <f>Table1[[#This Row],[Stock_Level]]*Table1[[#This Row],[Unit_Cost]]</f>
        <v>6897.2400000000007</v>
      </c>
      <c r="L200">
        <f t="shared" si="3"/>
        <v>1</v>
      </c>
      <c r="M200" s="7">
        <f ca="1">_xlfn.DAYS(TODAY(),Table1[[#This Row],[Last_Stocked_Date]])</f>
        <v>587</v>
      </c>
    </row>
    <row r="201" spans="1:13" x14ac:dyDescent="0.45">
      <c r="A201" t="s">
        <v>262</v>
      </c>
      <c r="B201" t="s">
        <v>15</v>
      </c>
      <c r="C201" t="s">
        <v>16</v>
      </c>
      <c r="D201">
        <v>3</v>
      </c>
      <c r="E201">
        <v>113</v>
      </c>
      <c r="F201">
        <v>385.16</v>
      </c>
      <c r="G201">
        <v>145</v>
      </c>
      <c r="H201">
        <v>19</v>
      </c>
      <c r="I201" t="s">
        <v>21</v>
      </c>
      <c r="J201" s="6">
        <v>45494</v>
      </c>
      <c r="K201">
        <f>Table1[[#This Row],[Stock_Level]]*Table1[[#This Row],[Unit_Cost]]</f>
        <v>1155.48</v>
      </c>
      <c r="L201">
        <f t="shared" si="3"/>
        <v>1</v>
      </c>
      <c r="M201" s="7">
        <f ca="1">_xlfn.DAYS(TODAY(),Table1[[#This Row],[Last_Stocked_Date]])</f>
        <v>586</v>
      </c>
    </row>
    <row r="202" spans="1:13" x14ac:dyDescent="0.45">
      <c r="A202" t="s">
        <v>263</v>
      </c>
      <c r="B202" t="s">
        <v>15</v>
      </c>
      <c r="C202" t="s">
        <v>20</v>
      </c>
      <c r="D202">
        <v>190</v>
      </c>
      <c r="E202">
        <v>135</v>
      </c>
      <c r="F202">
        <v>220.01</v>
      </c>
      <c r="G202">
        <v>182</v>
      </c>
      <c r="H202">
        <v>25</v>
      </c>
      <c r="I202" t="s">
        <v>26</v>
      </c>
      <c r="J202" s="6">
        <v>45495</v>
      </c>
      <c r="K202">
        <f>Table1[[#This Row],[Stock_Level]]*Table1[[#This Row],[Unit_Cost]]</f>
        <v>41801.9</v>
      </c>
      <c r="L202">
        <f t="shared" si="3"/>
        <v>0</v>
      </c>
      <c r="M202" s="7">
        <f ca="1">_xlfn.DAYS(TODAY(),Table1[[#This Row],[Last_Stocked_Date]])</f>
        <v>585</v>
      </c>
    </row>
    <row r="203" spans="1:13" x14ac:dyDescent="0.45">
      <c r="A203" t="s">
        <v>264</v>
      </c>
      <c r="B203" t="s">
        <v>19</v>
      </c>
      <c r="C203" t="s">
        <v>32</v>
      </c>
      <c r="D203">
        <v>167</v>
      </c>
      <c r="E203">
        <v>71</v>
      </c>
      <c r="F203">
        <v>225.99</v>
      </c>
      <c r="G203">
        <v>156</v>
      </c>
      <c r="H203">
        <v>29</v>
      </c>
      <c r="I203" t="s">
        <v>26</v>
      </c>
      <c r="J203" s="6">
        <v>45496</v>
      </c>
      <c r="K203">
        <f>Table1[[#This Row],[Stock_Level]]*Table1[[#This Row],[Unit_Cost]]</f>
        <v>37740.33</v>
      </c>
      <c r="L203">
        <f t="shared" si="3"/>
        <v>0</v>
      </c>
      <c r="M203" s="7">
        <f ca="1">_xlfn.DAYS(TODAY(),Table1[[#This Row],[Last_Stocked_Date]])</f>
        <v>584</v>
      </c>
    </row>
    <row r="204" spans="1:13" x14ac:dyDescent="0.45">
      <c r="A204" t="s">
        <v>265</v>
      </c>
      <c r="B204" t="s">
        <v>24</v>
      </c>
      <c r="C204" t="s">
        <v>25</v>
      </c>
      <c r="D204">
        <v>8</v>
      </c>
      <c r="E204">
        <v>83</v>
      </c>
      <c r="F204">
        <v>311.29000000000002</v>
      </c>
      <c r="G204">
        <v>151</v>
      </c>
      <c r="H204">
        <v>26</v>
      </c>
      <c r="I204" t="s">
        <v>21</v>
      </c>
      <c r="J204" s="6">
        <v>45497</v>
      </c>
      <c r="K204">
        <f>Table1[[#This Row],[Stock_Level]]*Table1[[#This Row],[Unit_Cost]]</f>
        <v>2490.3200000000002</v>
      </c>
      <c r="L204">
        <f t="shared" si="3"/>
        <v>1</v>
      </c>
      <c r="M204" s="7">
        <f ca="1">_xlfn.DAYS(TODAY(),Table1[[#This Row],[Last_Stocked_Date]])</f>
        <v>583</v>
      </c>
    </row>
    <row r="205" spans="1:13" x14ac:dyDescent="0.45">
      <c r="A205" t="s">
        <v>266</v>
      </c>
      <c r="B205" t="s">
        <v>15</v>
      </c>
      <c r="C205" t="s">
        <v>20</v>
      </c>
      <c r="D205">
        <v>108</v>
      </c>
      <c r="E205">
        <v>104</v>
      </c>
      <c r="F205">
        <v>334.36</v>
      </c>
      <c r="G205">
        <v>73</v>
      </c>
      <c r="H205">
        <v>21</v>
      </c>
      <c r="I205" t="s">
        <v>17</v>
      </c>
      <c r="J205" s="6">
        <v>45498</v>
      </c>
      <c r="K205">
        <f>Table1[[#This Row],[Stock_Level]]*Table1[[#This Row],[Unit_Cost]]</f>
        <v>36110.880000000005</v>
      </c>
      <c r="L205">
        <f t="shared" si="3"/>
        <v>0</v>
      </c>
      <c r="M205" s="7">
        <f ca="1">_xlfn.DAYS(TODAY(),Table1[[#This Row],[Last_Stocked_Date]])</f>
        <v>582</v>
      </c>
    </row>
    <row r="206" spans="1:13" x14ac:dyDescent="0.45">
      <c r="A206" t="s">
        <v>267</v>
      </c>
      <c r="B206" t="s">
        <v>29</v>
      </c>
      <c r="C206" t="s">
        <v>25</v>
      </c>
      <c r="D206">
        <v>136</v>
      </c>
      <c r="E206">
        <v>78</v>
      </c>
      <c r="F206">
        <v>252.85</v>
      </c>
      <c r="G206">
        <v>108</v>
      </c>
      <c r="H206">
        <v>13</v>
      </c>
      <c r="I206" t="s">
        <v>17</v>
      </c>
      <c r="J206" s="6">
        <v>45499</v>
      </c>
      <c r="K206">
        <f>Table1[[#This Row],[Stock_Level]]*Table1[[#This Row],[Unit_Cost]]</f>
        <v>34387.599999999999</v>
      </c>
      <c r="L206">
        <f t="shared" si="3"/>
        <v>0</v>
      </c>
      <c r="M206" s="7">
        <f ca="1">_xlfn.DAYS(TODAY(),Table1[[#This Row],[Last_Stocked_Date]])</f>
        <v>581</v>
      </c>
    </row>
    <row r="207" spans="1:13" x14ac:dyDescent="0.45">
      <c r="A207" t="s">
        <v>268</v>
      </c>
      <c r="B207" t="s">
        <v>19</v>
      </c>
      <c r="C207" t="s">
        <v>25</v>
      </c>
      <c r="D207">
        <v>153</v>
      </c>
      <c r="E207">
        <v>87</v>
      </c>
      <c r="F207">
        <v>324.20999999999998</v>
      </c>
      <c r="G207">
        <v>144</v>
      </c>
      <c r="H207">
        <v>17</v>
      </c>
      <c r="I207" t="s">
        <v>26</v>
      </c>
      <c r="J207" s="6">
        <v>45500</v>
      </c>
      <c r="K207">
        <f>Table1[[#This Row],[Stock_Level]]*Table1[[#This Row],[Unit_Cost]]</f>
        <v>49604.13</v>
      </c>
      <c r="L207">
        <f t="shared" si="3"/>
        <v>0</v>
      </c>
      <c r="M207" s="7">
        <f ca="1">_xlfn.DAYS(TODAY(),Table1[[#This Row],[Last_Stocked_Date]])</f>
        <v>580</v>
      </c>
    </row>
    <row r="208" spans="1:13" x14ac:dyDescent="0.45">
      <c r="A208" t="s">
        <v>269</v>
      </c>
      <c r="B208" t="s">
        <v>29</v>
      </c>
      <c r="C208" t="s">
        <v>16</v>
      </c>
      <c r="D208">
        <v>387</v>
      </c>
      <c r="E208">
        <v>146</v>
      </c>
      <c r="F208">
        <v>16.649999999999999</v>
      </c>
      <c r="G208">
        <v>17</v>
      </c>
      <c r="H208">
        <v>11</v>
      </c>
      <c r="I208" t="s">
        <v>21</v>
      </c>
      <c r="J208" s="6">
        <v>45501</v>
      </c>
      <c r="K208">
        <f>Table1[[#This Row],[Stock_Level]]*Table1[[#This Row],[Unit_Cost]]</f>
        <v>6443.5499999999993</v>
      </c>
      <c r="L208">
        <f t="shared" si="3"/>
        <v>0</v>
      </c>
      <c r="M208" s="7">
        <f ca="1">_xlfn.DAYS(TODAY(),Table1[[#This Row],[Last_Stocked_Date]])</f>
        <v>579</v>
      </c>
    </row>
    <row r="209" spans="1:13" x14ac:dyDescent="0.45">
      <c r="A209" t="s">
        <v>270</v>
      </c>
      <c r="B209" t="s">
        <v>19</v>
      </c>
      <c r="C209" t="s">
        <v>16</v>
      </c>
      <c r="D209">
        <v>208</v>
      </c>
      <c r="E209">
        <v>67</v>
      </c>
      <c r="F209">
        <v>217.66</v>
      </c>
      <c r="G209">
        <v>41</v>
      </c>
      <c r="H209">
        <v>28</v>
      </c>
      <c r="I209" t="s">
        <v>17</v>
      </c>
      <c r="J209" s="6">
        <v>45502</v>
      </c>
      <c r="K209">
        <f>Table1[[#This Row],[Stock_Level]]*Table1[[#This Row],[Unit_Cost]]</f>
        <v>45273.279999999999</v>
      </c>
      <c r="L209">
        <f t="shared" si="3"/>
        <v>0</v>
      </c>
      <c r="M209" s="7">
        <f ca="1">_xlfn.DAYS(TODAY(),Table1[[#This Row],[Last_Stocked_Date]])</f>
        <v>578</v>
      </c>
    </row>
    <row r="210" spans="1:13" x14ac:dyDescent="0.45">
      <c r="A210" t="s">
        <v>271</v>
      </c>
      <c r="B210" t="s">
        <v>15</v>
      </c>
      <c r="C210" t="s">
        <v>20</v>
      </c>
      <c r="D210">
        <v>271</v>
      </c>
      <c r="E210">
        <v>120</v>
      </c>
      <c r="F210">
        <v>143.07</v>
      </c>
      <c r="G210">
        <v>100</v>
      </c>
      <c r="H210">
        <v>11</v>
      </c>
      <c r="I210" t="s">
        <v>17</v>
      </c>
      <c r="J210" s="6">
        <v>45503</v>
      </c>
      <c r="K210">
        <f>Table1[[#This Row],[Stock_Level]]*Table1[[#This Row],[Unit_Cost]]</f>
        <v>38771.97</v>
      </c>
      <c r="L210">
        <f t="shared" si="3"/>
        <v>0</v>
      </c>
      <c r="M210" s="7">
        <f ca="1">_xlfn.DAYS(TODAY(),Table1[[#This Row],[Last_Stocked_Date]])</f>
        <v>577</v>
      </c>
    </row>
    <row r="211" spans="1:13" x14ac:dyDescent="0.45">
      <c r="A211" t="s">
        <v>272</v>
      </c>
      <c r="B211" t="s">
        <v>24</v>
      </c>
      <c r="C211" t="s">
        <v>25</v>
      </c>
      <c r="D211">
        <v>142</v>
      </c>
      <c r="E211">
        <v>114</v>
      </c>
      <c r="F211">
        <v>68.94</v>
      </c>
      <c r="G211">
        <v>44</v>
      </c>
      <c r="H211">
        <v>15</v>
      </c>
      <c r="I211" t="s">
        <v>26</v>
      </c>
      <c r="J211" s="6">
        <v>45504</v>
      </c>
      <c r="K211">
        <f>Table1[[#This Row],[Stock_Level]]*Table1[[#This Row],[Unit_Cost]]</f>
        <v>9789.48</v>
      </c>
      <c r="L211">
        <f t="shared" si="3"/>
        <v>0</v>
      </c>
      <c r="M211" s="7">
        <f ca="1">_xlfn.DAYS(TODAY(),Table1[[#This Row],[Last_Stocked_Date]])</f>
        <v>576</v>
      </c>
    </row>
    <row r="212" spans="1:13" x14ac:dyDescent="0.45">
      <c r="A212" t="s">
        <v>273</v>
      </c>
      <c r="B212" t="s">
        <v>19</v>
      </c>
      <c r="C212" t="s">
        <v>16</v>
      </c>
      <c r="D212">
        <v>98</v>
      </c>
      <c r="E212">
        <v>146</v>
      </c>
      <c r="F212">
        <v>54.28</v>
      </c>
      <c r="G212">
        <v>81</v>
      </c>
      <c r="H212">
        <v>26</v>
      </c>
      <c r="I212" t="s">
        <v>26</v>
      </c>
      <c r="J212" s="6">
        <v>45505</v>
      </c>
      <c r="K212">
        <f>Table1[[#This Row],[Stock_Level]]*Table1[[#This Row],[Unit_Cost]]</f>
        <v>5319.4400000000005</v>
      </c>
      <c r="L212">
        <f t="shared" si="3"/>
        <v>1</v>
      </c>
      <c r="M212" s="7">
        <f ca="1">_xlfn.DAYS(TODAY(),Table1[[#This Row],[Last_Stocked_Date]])</f>
        <v>575</v>
      </c>
    </row>
    <row r="213" spans="1:13" x14ac:dyDescent="0.45">
      <c r="A213" t="s">
        <v>274</v>
      </c>
      <c r="B213" t="s">
        <v>19</v>
      </c>
      <c r="C213" t="s">
        <v>16</v>
      </c>
      <c r="D213">
        <v>376</v>
      </c>
      <c r="E213">
        <v>50</v>
      </c>
      <c r="F213">
        <v>303.58</v>
      </c>
      <c r="G213">
        <v>16</v>
      </c>
      <c r="H213">
        <v>21</v>
      </c>
      <c r="I213" t="s">
        <v>21</v>
      </c>
      <c r="J213" s="6">
        <v>45506</v>
      </c>
      <c r="K213">
        <f>Table1[[#This Row],[Stock_Level]]*Table1[[#This Row],[Unit_Cost]]</f>
        <v>114146.07999999999</v>
      </c>
      <c r="L213">
        <f t="shared" si="3"/>
        <v>0</v>
      </c>
      <c r="M213" s="7">
        <f ca="1">_xlfn.DAYS(TODAY(),Table1[[#This Row],[Last_Stocked_Date]])</f>
        <v>574</v>
      </c>
    </row>
    <row r="214" spans="1:13" x14ac:dyDescent="0.45">
      <c r="A214" t="s">
        <v>275</v>
      </c>
      <c r="B214" t="s">
        <v>29</v>
      </c>
      <c r="C214" t="s">
        <v>25</v>
      </c>
      <c r="D214">
        <v>307</v>
      </c>
      <c r="E214">
        <v>137</v>
      </c>
      <c r="F214">
        <v>264.18</v>
      </c>
      <c r="G214">
        <v>72</v>
      </c>
      <c r="H214">
        <v>11</v>
      </c>
      <c r="I214" t="s">
        <v>26</v>
      </c>
      <c r="J214" s="6">
        <v>45507</v>
      </c>
      <c r="K214">
        <f>Table1[[#This Row],[Stock_Level]]*Table1[[#This Row],[Unit_Cost]]</f>
        <v>81103.260000000009</v>
      </c>
      <c r="L214">
        <f t="shared" si="3"/>
        <v>0</v>
      </c>
      <c r="M214" s="7">
        <f ca="1">_xlfn.DAYS(TODAY(),Table1[[#This Row],[Last_Stocked_Date]])</f>
        <v>573</v>
      </c>
    </row>
    <row r="215" spans="1:13" x14ac:dyDescent="0.45">
      <c r="A215" t="s">
        <v>276</v>
      </c>
      <c r="B215" t="s">
        <v>15</v>
      </c>
      <c r="C215" t="s">
        <v>20</v>
      </c>
      <c r="D215">
        <v>68</v>
      </c>
      <c r="E215">
        <v>53</v>
      </c>
      <c r="F215">
        <v>130.52000000000001</v>
      </c>
      <c r="G215">
        <v>13</v>
      </c>
      <c r="H215">
        <v>11</v>
      </c>
      <c r="I215" t="s">
        <v>17</v>
      </c>
      <c r="J215" s="6">
        <v>45508</v>
      </c>
      <c r="K215">
        <f>Table1[[#This Row],[Stock_Level]]*Table1[[#This Row],[Unit_Cost]]</f>
        <v>8875.36</v>
      </c>
      <c r="L215">
        <f t="shared" si="3"/>
        <v>0</v>
      </c>
      <c r="M215" s="7">
        <f ca="1">_xlfn.DAYS(TODAY(),Table1[[#This Row],[Last_Stocked_Date]])</f>
        <v>572</v>
      </c>
    </row>
    <row r="216" spans="1:13" x14ac:dyDescent="0.45">
      <c r="A216" t="s">
        <v>277</v>
      </c>
      <c r="B216" t="s">
        <v>29</v>
      </c>
      <c r="C216" t="s">
        <v>20</v>
      </c>
      <c r="D216">
        <v>246</v>
      </c>
      <c r="E216">
        <v>53</v>
      </c>
      <c r="F216">
        <v>238.12</v>
      </c>
      <c r="G216">
        <v>176</v>
      </c>
      <c r="H216">
        <v>27</v>
      </c>
      <c r="I216" t="s">
        <v>17</v>
      </c>
      <c r="J216" s="6">
        <v>45509</v>
      </c>
      <c r="K216">
        <f>Table1[[#This Row],[Stock_Level]]*Table1[[#This Row],[Unit_Cost]]</f>
        <v>58577.520000000004</v>
      </c>
      <c r="L216">
        <f t="shared" si="3"/>
        <v>0</v>
      </c>
      <c r="M216" s="7">
        <f ca="1">_xlfn.DAYS(TODAY(),Table1[[#This Row],[Last_Stocked_Date]])</f>
        <v>571</v>
      </c>
    </row>
    <row r="217" spans="1:13" x14ac:dyDescent="0.45">
      <c r="A217" t="s">
        <v>278</v>
      </c>
      <c r="B217" t="s">
        <v>15</v>
      </c>
      <c r="C217" t="s">
        <v>25</v>
      </c>
      <c r="D217">
        <v>260</v>
      </c>
      <c r="E217">
        <v>131</v>
      </c>
      <c r="F217">
        <v>248.65</v>
      </c>
      <c r="G217">
        <v>156</v>
      </c>
      <c r="H217">
        <v>26</v>
      </c>
      <c r="I217" t="s">
        <v>17</v>
      </c>
      <c r="J217" s="6">
        <v>45510</v>
      </c>
      <c r="K217">
        <f>Table1[[#This Row],[Stock_Level]]*Table1[[#This Row],[Unit_Cost]]</f>
        <v>64649</v>
      </c>
      <c r="L217">
        <f t="shared" si="3"/>
        <v>0</v>
      </c>
      <c r="M217" s="7">
        <f ca="1">_xlfn.DAYS(TODAY(),Table1[[#This Row],[Last_Stocked_Date]])</f>
        <v>570</v>
      </c>
    </row>
    <row r="218" spans="1:13" x14ac:dyDescent="0.45">
      <c r="A218" t="s">
        <v>279</v>
      </c>
      <c r="B218" t="s">
        <v>29</v>
      </c>
      <c r="C218" t="s">
        <v>20</v>
      </c>
      <c r="D218">
        <v>275</v>
      </c>
      <c r="E218">
        <v>76</v>
      </c>
      <c r="F218">
        <v>101.53</v>
      </c>
      <c r="G218">
        <v>131</v>
      </c>
      <c r="H218">
        <v>12</v>
      </c>
      <c r="I218" t="s">
        <v>17</v>
      </c>
      <c r="J218" s="6">
        <v>45511</v>
      </c>
      <c r="K218">
        <f>Table1[[#This Row],[Stock_Level]]*Table1[[#This Row],[Unit_Cost]]</f>
        <v>27920.75</v>
      </c>
      <c r="L218">
        <f t="shared" si="3"/>
        <v>0</v>
      </c>
      <c r="M218" s="7">
        <f ca="1">_xlfn.DAYS(TODAY(),Table1[[#This Row],[Last_Stocked_Date]])</f>
        <v>569</v>
      </c>
    </row>
    <row r="219" spans="1:13" x14ac:dyDescent="0.45">
      <c r="A219" t="s">
        <v>281</v>
      </c>
      <c r="B219" t="s">
        <v>19</v>
      </c>
      <c r="C219" t="s">
        <v>16</v>
      </c>
      <c r="D219">
        <v>78</v>
      </c>
      <c r="E219">
        <v>92</v>
      </c>
      <c r="F219">
        <v>327.79</v>
      </c>
      <c r="G219">
        <v>81</v>
      </c>
      <c r="H219">
        <v>24</v>
      </c>
      <c r="I219" t="s">
        <v>21</v>
      </c>
      <c r="J219" s="6">
        <v>45512</v>
      </c>
      <c r="K219">
        <f>Table1[[#This Row],[Stock_Level]]*Table1[[#This Row],[Unit_Cost]]</f>
        <v>25567.620000000003</v>
      </c>
      <c r="L219">
        <f t="shared" si="3"/>
        <v>1</v>
      </c>
      <c r="M219" s="7">
        <f ca="1">_xlfn.DAYS(TODAY(),Table1[[#This Row],[Last_Stocked_Date]])</f>
        <v>568</v>
      </c>
    </row>
    <row r="220" spans="1:13" x14ac:dyDescent="0.45">
      <c r="A220" t="s">
        <v>282</v>
      </c>
      <c r="B220" t="s">
        <v>29</v>
      </c>
      <c r="C220" t="s">
        <v>25</v>
      </c>
      <c r="D220">
        <v>145</v>
      </c>
      <c r="E220">
        <v>108</v>
      </c>
      <c r="F220">
        <v>391.56</v>
      </c>
      <c r="G220">
        <v>147</v>
      </c>
      <c r="H220">
        <v>3</v>
      </c>
      <c r="I220" t="s">
        <v>21</v>
      </c>
      <c r="J220" s="6">
        <v>45513</v>
      </c>
      <c r="K220">
        <f>Table1[[#This Row],[Stock_Level]]*Table1[[#This Row],[Unit_Cost]]</f>
        <v>56776.2</v>
      </c>
      <c r="L220">
        <f t="shared" si="3"/>
        <v>0</v>
      </c>
      <c r="M220" s="7">
        <f ca="1">_xlfn.DAYS(TODAY(),Table1[[#This Row],[Last_Stocked_Date]])</f>
        <v>567</v>
      </c>
    </row>
    <row r="221" spans="1:13" x14ac:dyDescent="0.45">
      <c r="A221" t="s">
        <v>284</v>
      </c>
      <c r="B221" t="s">
        <v>24</v>
      </c>
      <c r="C221" t="s">
        <v>16</v>
      </c>
      <c r="D221">
        <v>110</v>
      </c>
      <c r="E221">
        <v>81</v>
      </c>
      <c r="F221">
        <v>396.77</v>
      </c>
      <c r="G221">
        <v>119</v>
      </c>
      <c r="H221">
        <v>26</v>
      </c>
      <c r="I221" t="s">
        <v>26</v>
      </c>
      <c r="J221" s="6">
        <v>45514</v>
      </c>
      <c r="K221">
        <f>Table1[[#This Row],[Stock_Level]]*Table1[[#This Row],[Unit_Cost]]</f>
        <v>43644.7</v>
      </c>
      <c r="L221">
        <f t="shared" si="3"/>
        <v>0</v>
      </c>
      <c r="M221" s="7">
        <f ca="1">_xlfn.DAYS(TODAY(),Table1[[#This Row],[Last_Stocked_Date]])</f>
        <v>566</v>
      </c>
    </row>
    <row r="222" spans="1:13" x14ac:dyDescent="0.45">
      <c r="A222" t="s">
        <v>285</v>
      </c>
      <c r="B222" t="s">
        <v>15</v>
      </c>
      <c r="C222" t="s">
        <v>32</v>
      </c>
      <c r="D222">
        <v>257</v>
      </c>
      <c r="E222">
        <v>82</v>
      </c>
      <c r="F222">
        <v>303.22000000000003</v>
      </c>
      <c r="G222">
        <v>119</v>
      </c>
      <c r="H222">
        <v>21</v>
      </c>
      <c r="I222" t="s">
        <v>26</v>
      </c>
      <c r="J222" s="6">
        <v>45515</v>
      </c>
      <c r="K222">
        <f>Table1[[#This Row],[Stock_Level]]*Table1[[#This Row],[Unit_Cost]]</f>
        <v>77927.540000000008</v>
      </c>
      <c r="L222">
        <f t="shared" si="3"/>
        <v>0</v>
      </c>
      <c r="M222" s="7">
        <f ca="1">_xlfn.DAYS(TODAY(),Table1[[#This Row],[Last_Stocked_Date]])</f>
        <v>565</v>
      </c>
    </row>
    <row r="223" spans="1:13" x14ac:dyDescent="0.45">
      <c r="A223" t="s">
        <v>286</v>
      </c>
      <c r="B223" t="s">
        <v>15</v>
      </c>
      <c r="C223" t="s">
        <v>32</v>
      </c>
      <c r="D223">
        <v>92</v>
      </c>
      <c r="E223">
        <v>77</v>
      </c>
      <c r="F223">
        <v>258.26</v>
      </c>
      <c r="G223">
        <v>46</v>
      </c>
      <c r="H223">
        <v>9</v>
      </c>
      <c r="I223" t="s">
        <v>26</v>
      </c>
      <c r="J223" s="6">
        <v>45516</v>
      </c>
      <c r="K223">
        <f>Table1[[#This Row],[Stock_Level]]*Table1[[#This Row],[Unit_Cost]]</f>
        <v>23759.919999999998</v>
      </c>
      <c r="L223">
        <f t="shared" si="3"/>
        <v>0</v>
      </c>
      <c r="M223" s="7">
        <f ca="1">_xlfn.DAYS(TODAY(),Table1[[#This Row],[Last_Stocked_Date]])</f>
        <v>564</v>
      </c>
    </row>
    <row r="224" spans="1:13" x14ac:dyDescent="0.45">
      <c r="A224" t="s">
        <v>288</v>
      </c>
      <c r="B224" t="s">
        <v>19</v>
      </c>
      <c r="C224" t="s">
        <v>20</v>
      </c>
      <c r="D224">
        <v>12</v>
      </c>
      <c r="E224">
        <v>104</v>
      </c>
      <c r="F224">
        <v>35.200000000000003</v>
      </c>
      <c r="G224">
        <v>106</v>
      </c>
      <c r="H224">
        <v>24</v>
      </c>
      <c r="I224" t="s">
        <v>21</v>
      </c>
      <c r="J224" s="6">
        <v>45517</v>
      </c>
      <c r="K224">
        <f>Table1[[#This Row],[Stock_Level]]*Table1[[#This Row],[Unit_Cost]]</f>
        <v>422.40000000000003</v>
      </c>
      <c r="L224">
        <f t="shared" si="3"/>
        <v>1</v>
      </c>
      <c r="M224" s="7">
        <f ca="1">_xlfn.DAYS(TODAY(),Table1[[#This Row],[Last_Stocked_Date]])</f>
        <v>563</v>
      </c>
    </row>
    <row r="225" spans="1:13" x14ac:dyDescent="0.45">
      <c r="A225" t="s">
        <v>289</v>
      </c>
      <c r="B225" t="s">
        <v>15</v>
      </c>
      <c r="C225" t="s">
        <v>32</v>
      </c>
      <c r="D225">
        <v>259</v>
      </c>
      <c r="E225">
        <v>149</v>
      </c>
      <c r="F225">
        <v>147.47999999999999</v>
      </c>
      <c r="G225">
        <v>107</v>
      </c>
      <c r="H225">
        <v>8</v>
      </c>
      <c r="I225" t="s">
        <v>17</v>
      </c>
      <c r="J225" s="6">
        <v>45518</v>
      </c>
      <c r="K225">
        <f>Table1[[#This Row],[Stock_Level]]*Table1[[#This Row],[Unit_Cost]]</f>
        <v>38197.32</v>
      </c>
      <c r="L225">
        <f t="shared" si="3"/>
        <v>0</v>
      </c>
      <c r="M225" s="7">
        <f ca="1">_xlfn.DAYS(TODAY(),Table1[[#This Row],[Last_Stocked_Date]])</f>
        <v>562</v>
      </c>
    </row>
    <row r="226" spans="1:13" x14ac:dyDescent="0.45">
      <c r="A226" t="s">
        <v>290</v>
      </c>
      <c r="B226" t="s">
        <v>24</v>
      </c>
      <c r="C226" t="s">
        <v>16</v>
      </c>
      <c r="D226">
        <v>425</v>
      </c>
      <c r="E226">
        <v>109</v>
      </c>
      <c r="F226">
        <v>51.17</v>
      </c>
      <c r="G226">
        <v>8</v>
      </c>
      <c r="H226">
        <v>9</v>
      </c>
      <c r="I226" t="s">
        <v>26</v>
      </c>
      <c r="J226" s="6">
        <v>45519</v>
      </c>
      <c r="K226">
        <f>Table1[[#This Row],[Stock_Level]]*Table1[[#This Row],[Unit_Cost]]</f>
        <v>21747.25</v>
      </c>
      <c r="L226">
        <f t="shared" si="3"/>
        <v>0</v>
      </c>
      <c r="M226" s="7">
        <f ca="1">_xlfn.DAYS(TODAY(),Table1[[#This Row],[Last_Stocked_Date]])</f>
        <v>561</v>
      </c>
    </row>
    <row r="227" spans="1:13" x14ac:dyDescent="0.45">
      <c r="A227" t="s">
        <v>291</v>
      </c>
      <c r="B227" t="s">
        <v>29</v>
      </c>
      <c r="C227" t="s">
        <v>32</v>
      </c>
      <c r="D227">
        <v>108</v>
      </c>
      <c r="E227">
        <v>119</v>
      </c>
      <c r="F227">
        <v>482.09</v>
      </c>
      <c r="G227">
        <v>78</v>
      </c>
      <c r="H227">
        <v>2</v>
      </c>
      <c r="I227" t="s">
        <v>17</v>
      </c>
      <c r="J227" s="6">
        <v>45520</v>
      </c>
      <c r="K227">
        <f>Table1[[#This Row],[Stock_Level]]*Table1[[#This Row],[Unit_Cost]]</f>
        <v>52065.719999999994</v>
      </c>
      <c r="L227">
        <f t="shared" si="3"/>
        <v>1</v>
      </c>
      <c r="M227" s="7">
        <f ca="1">_xlfn.DAYS(TODAY(),Table1[[#This Row],[Last_Stocked_Date]])</f>
        <v>560</v>
      </c>
    </row>
    <row r="228" spans="1:13" x14ac:dyDescent="0.45">
      <c r="A228" t="s">
        <v>292</v>
      </c>
      <c r="B228" t="s">
        <v>19</v>
      </c>
      <c r="C228" t="s">
        <v>16</v>
      </c>
      <c r="D228">
        <v>329</v>
      </c>
      <c r="E228">
        <v>111</v>
      </c>
      <c r="F228">
        <v>71.86</v>
      </c>
      <c r="G228">
        <v>154</v>
      </c>
      <c r="H228">
        <v>22</v>
      </c>
      <c r="I228" t="s">
        <v>26</v>
      </c>
      <c r="J228" s="6">
        <v>45521</v>
      </c>
      <c r="K228">
        <f>Table1[[#This Row],[Stock_Level]]*Table1[[#This Row],[Unit_Cost]]</f>
        <v>23641.94</v>
      </c>
      <c r="L228">
        <f t="shared" si="3"/>
        <v>0</v>
      </c>
      <c r="M228" s="7">
        <f ca="1">_xlfn.DAYS(TODAY(),Table1[[#This Row],[Last_Stocked_Date]])</f>
        <v>559</v>
      </c>
    </row>
    <row r="229" spans="1:13" x14ac:dyDescent="0.45">
      <c r="A229" t="s">
        <v>293</v>
      </c>
      <c r="B229" t="s">
        <v>24</v>
      </c>
      <c r="C229" t="s">
        <v>20</v>
      </c>
      <c r="D229">
        <v>188</v>
      </c>
      <c r="E229">
        <v>129</v>
      </c>
      <c r="F229">
        <v>80.13</v>
      </c>
      <c r="G229">
        <v>14</v>
      </c>
      <c r="H229">
        <v>3</v>
      </c>
      <c r="I229" t="s">
        <v>26</v>
      </c>
      <c r="J229" s="6">
        <v>45522</v>
      </c>
      <c r="K229">
        <f>Table1[[#This Row],[Stock_Level]]*Table1[[#This Row],[Unit_Cost]]</f>
        <v>15064.439999999999</v>
      </c>
      <c r="L229">
        <f t="shared" si="3"/>
        <v>0</v>
      </c>
      <c r="M229" s="7">
        <f ca="1">_xlfn.DAYS(TODAY(),Table1[[#This Row],[Last_Stocked_Date]])</f>
        <v>558</v>
      </c>
    </row>
    <row r="230" spans="1:13" x14ac:dyDescent="0.45">
      <c r="A230" t="s">
        <v>294</v>
      </c>
      <c r="B230" t="s">
        <v>15</v>
      </c>
      <c r="C230" t="s">
        <v>20</v>
      </c>
      <c r="D230">
        <v>94</v>
      </c>
      <c r="E230">
        <v>83</v>
      </c>
      <c r="F230">
        <v>445.34</v>
      </c>
      <c r="G230">
        <v>18</v>
      </c>
      <c r="H230">
        <v>19</v>
      </c>
      <c r="I230" t="s">
        <v>26</v>
      </c>
      <c r="J230" s="6">
        <v>45523</v>
      </c>
      <c r="K230">
        <f>Table1[[#This Row],[Stock_Level]]*Table1[[#This Row],[Unit_Cost]]</f>
        <v>41861.96</v>
      </c>
      <c r="L230">
        <f t="shared" si="3"/>
        <v>0</v>
      </c>
      <c r="M230" s="7">
        <f ca="1">_xlfn.DAYS(TODAY(),Table1[[#This Row],[Last_Stocked_Date]])</f>
        <v>557</v>
      </c>
    </row>
    <row r="231" spans="1:13" x14ac:dyDescent="0.45">
      <c r="A231" t="s">
        <v>295</v>
      </c>
      <c r="B231" t="s">
        <v>15</v>
      </c>
      <c r="C231" t="s">
        <v>16</v>
      </c>
      <c r="D231">
        <v>104</v>
      </c>
      <c r="E231">
        <v>136</v>
      </c>
      <c r="F231">
        <v>472.24</v>
      </c>
      <c r="G231">
        <v>89</v>
      </c>
      <c r="H231">
        <v>16</v>
      </c>
      <c r="I231" t="s">
        <v>26</v>
      </c>
      <c r="J231" s="6">
        <v>45524</v>
      </c>
      <c r="K231">
        <f>Table1[[#This Row],[Stock_Level]]*Table1[[#This Row],[Unit_Cost]]</f>
        <v>49112.959999999999</v>
      </c>
      <c r="L231">
        <f t="shared" si="3"/>
        <v>1</v>
      </c>
      <c r="M231" s="7">
        <f ca="1">_xlfn.DAYS(TODAY(),Table1[[#This Row],[Last_Stocked_Date]])</f>
        <v>556</v>
      </c>
    </row>
    <row r="232" spans="1:13" x14ac:dyDescent="0.45">
      <c r="A232" t="s">
        <v>297</v>
      </c>
      <c r="B232" t="s">
        <v>24</v>
      </c>
      <c r="C232" t="s">
        <v>32</v>
      </c>
      <c r="D232">
        <v>7</v>
      </c>
      <c r="E232">
        <v>137</v>
      </c>
      <c r="F232">
        <v>384.09</v>
      </c>
      <c r="G232">
        <v>179</v>
      </c>
      <c r="H232">
        <v>2</v>
      </c>
      <c r="I232" t="s">
        <v>26</v>
      </c>
      <c r="J232" s="6">
        <v>45525</v>
      </c>
      <c r="K232">
        <f>Table1[[#This Row],[Stock_Level]]*Table1[[#This Row],[Unit_Cost]]</f>
        <v>2688.6299999999997</v>
      </c>
      <c r="L232">
        <f t="shared" si="3"/>
        <v>1</v>
      </c>
      <c r="M232" s="7">
        <f ca="1">_xlfn.DAYS(TODAY(),Table1[[#This Row],[Last_Stocked_Date]])</f>
        <v>555</v>
      </c>
    </row>
    <row r="233" spans="1:13" x14ac:dyDescent="0.45">
      <c r="A233" t="s">
        <v>298</v>
      </c>
      <c r="B233" t="s">
        <v>29</v>
      </c>
      <c r="C233" t="s">
        <v>20</v>
      </c>
      <c r="D233">
        <v>66</v>
      </c>
      <c r="E233">
        <v>105</v>
      </c>
      <c r="F233">
        <v>7.68</v>
      </c>
      <c r="G233">
        <v>25</v>
      </c>
      <c r="H233">
        <v>6</v>
      </c>
      <c r="I233" t="s">
        <v>17</v>
      </c>
      <c r="J233" s="6">
        <v>45526</v>
      </c>
      <c r="K233">
        <f>Table1[[#This Row],[Stock_Level]]*Table1[[#This Row],[Unit_Cost]]</f>
        <v>506.88</v>
      </c>
      <c r="L233">
        <f t="shared" si="3"/>
        <v>1</v>
      </c>
      <c r="M233" s="7">
        <f ca="1">_xlfn.DAYS(TODAY(),Table1[[#This Row],[Last_Stocked_Date]])</f>
        <v>554</v>
      </c>
    </row>
    <row r="234" spans="1:13" x14ac:dyDescent="0.45">
      <c r="A234" t="s">
        <v>299</v>
      </c>
      <c r="B234" t="s">
        <v>29</v>
      </c>
      <c r="C234" t="s">
        <v>25</v>
      </c>
      <c r="D234">
        <v>495</v>
      </c>
      <c r="E234">
        <v>62</v>
      </c>
      <c r="F234">
        <v>5.67</v>
      </c>
      <c r="G234">
        <v>153</v>
      </c>
      <c r="H234">
        <v>3</v>
      </c>
      <c r="I234" t="s">
        <v>26</v>
      </c>
      <c r="J234" s="6">
        <v>45527</v>
      </c>
      <c r="K234">
        <f>Table1[[#This Row],[Stock_Level]]*Table1[[#This Row],[Unit_Cost]]</f>
        <v>2806.65</v>
      </c>
      <c r="L234">
        <f t="shared" si="3"/>
        <v>0</v>
      </c>
      <c r="M234" s="7">
        <f ca="1">_xlfn.DAYS(TODAY(),Table1[[#This Row],[Last_Stocked_Date]])</f>
        <v>553</v>
      </c>
    </row>
    <row r="235" spans="1:13" x14ac:dyDescent="0.45">
      <c r="A235" t="s">
        <v>300</v>
      </c>
      <c r="B235" t="s">
        <v>19</v>
      </c>
      <c r="C235" t="s">
        <v>20</v>
      </c>
      <c r="D235">
        <v>190</v>
      </c>
      <c r="E235">
        <v>105</v>
      </c>
      <c r="F235">
        <v>192.16</v>
      </c>
      <c r="G235">
        <v>153</v>
      </c>
      <c r="H235">
        <v>21</v>
      </c>
      <c r="I235" t="s">
        <v>17</v>
      </c>
      <c r="J235" s="6">
        <v>45528</v>
      </c>
      <c r="K235">
        <f>Table1[[#This Row],[Stock_Level]]*Table1[[#This Row],[Unit_Cost]]</f>
        <v>36510.400000000001</v>
      </c>
      <c r="L235">
        <f t="shared" si="3"/>
        <v>0</v>
      </c>
      <c r="M235" s="7">
        <f ca="1">_xlfn.DAYS(TODAY(),Table1[[#This Row],[Last_Stocked_Date]])</f>
        <v>552</v>
      </c>
    </row>
    <row r="236" spans="1:13" x14ac:dyDescent="0.45">
      <c r="A236" t="s">
        <v>301</v>
      </c>
      <c r="B236" t="s">
        <v>15</v>
      </c>
      <c r="C236" t="s">
        <v>32</v>
      </c>
      <c r="D236">
        <v>365</v>
      </c>
      <c r="E236">
        <v>67</v>
      </c>
      <c r="F236">
        <v>75.98</v>
      </c>
      <c r="G236">
        <v>173</v>
      </c>
      <c r="H236">
        <v>4</v>
      </c>
      <c r="I236" t="s">
        <v>21</v>
      </c>
      <c r="J236" s="6">
        <v>45529</v>
      </c>
      <c r="K236">
        <f>Table1[[#This Row],[Stock_Level]]*Table1[[#This Row],[Unit_Cost]]</f>
        <v>27732.7</v>
      </c>
      <c r="L236">
        <f t="shared" si="3"/>
        <v>0</v>
      </c>
      <c r="M236" s="7">
        <f ca="1">_xlfn.DAYS(TODAY(),Table1[[#This Row],[Last_Stocked_Date]])</f>
        <v>551</v>
      </c>
    </row>
    <row r="237" spans="1:13" x14ac:dyDescent="0.45">
      <c r="A237" t="s">
        <v>302</v>
      </c>
      <c r="B237" t="s">
        <v>24</v>
      </c>
      <c r="C237" t="s">
        <v>25</v>
      </c>
      <c r="D237">
        <v>255</v>
      </c>
      <c r="E237">
        <v>103</v>
      </c>
      <c r="F237">
        <v>14.1</v>
      </c>
      <c r="G237">
        <v>91</v>
      </c>
      <c r="H237">
        <v>20</v>
      </c>
      <c r="I237" t="s">
        <v>26</v>
      </c>
      <c r="J237" s="6">
        <v>45530</v>
      </c>
      <c r="K237">
        <f>Table1[[#This Row],[Stock_Level]]*Table1[[#This Row],[Unit_Cost]]</f>
        <v>3595.5</v>
      </c>
      <c r="L237">
        <f t="shared" si="3"/>
        <v>0</v>
      </c>
      <c r="M237" s="7">
        <f ca="1">_xlfn.DAYS(TODAY(),Table1[[#This Row],[Last_Stocked_Date]])</f>
        <v>550</v>
      </c>
    </row>
    <row r="238" spans="1:13" x14ac:dyDescent="0.45">
      <c r="A238" t="s">
        <v>303</v>
      </c>
      <c r="B238" t="s">
        <v>29</v>
      </c>
      <c r="C238" t="s">
        <v>32</v>
      </c>
      <c r="D238">
        <v>8</v>
      </c>
      <c r="E238">
        <v>126</v>
      </c>
      <c r="F238">
        <v>234.71</v>
      </c>
      <c r="G238">
        <v>176</v>
      </c>
      <c r="H238">
        <v>19</v>
      </c>
      <c r="I238" t="s">
        <v>17</v>
      </c>
      <c r="J238" s="6">
        <v>45531</v>
      </c>
      <c r="K238">
        <f>Table1[[#This Row],[Stock_Level]]*Table1[[#This Row],[Unit_Cost]]</f>
        <v>1877.68</v>
      </c>
      <c r="L238">
        <f t="shared" si="3"/>
        <v>1</v>
      </c>
      <c r="M238" s="7">
        <f ca="1">_xlfn.DAYS(TODAY(),Table1[[#This Row],[Last_Stocked_Date]])</f>
        <v>549</v>
      </c>
    </row>
    <row r="239" spans="1:13" x14ac:dyDescent="0.45">
      <c r="A239" t="s">
        <v>305</v>
      </c>
      <c r="B239" t="s">
        <v>19</v>
      </c>
      <c r="C239" t="s">
        <v>16</v>
      </c>
      <c r="D239">
        <v>477</v>
      </c>
      <c r="E239">
        <v>92</v>
      </c>
      <c r="F239">
        <v>471.82</v>
      </c>
      <c r="G239">
        <v>81</v>
      </c>
      <c r="H239">
        <v>23</v>
      </c>
      <c r="I239" t="s">
        <v>21</v>
      </c>
      <c r="J239" s="6">
        <v>45532</v>
      </c>
      <c r="K239">
        <f>Table1[[#This Row],[Stock_Level]]*Table1[[#This Row],[Unit_Cost]]</f>
        <v>225058.13999999998</v>
      </c>
      <c r="L239">
        <f t="shared" si="3"/>
        <v>0</v>
      </c>
      <c r="M239" s="7">
        <f ca="1">_xlfn.DAYS(TODAY(),Table1[[#This Row],[Last_Stocked_Date]])</f>
        <v>548</v>
      </c>
    </row>
    <row r="240" spans="1:13" x14ac:dyDescent="0.45">
      <c r="A240" t="s">
        <v>306</v>
      </c>
      <c r="B240" t="s">
        <v>15</v>
      </c>
      <c r="C240" t="s">
        <v>25</v>
      </c>
      <c r="D240">
        <v>116</v>
      </c>
      <c r="E240">
        <v>88</v>
      </c>
      <c r="F240">
        <v>165.29</v>
      </c>
      <c r="G240">
        <v>180</v>
      </c>
      <c r="H240">
        <v>19</v>
      </c>
      <c r="I240" t="s">
        <v>21</v>
      </c>
      <c r="J240" s="6">
        <v>45533</v>
      </c>
      <c r="K240">
        <f>Table1[[#This Row],[Stock_Level]]*Table1[[#This Row],[Unit_Cost]]</f>
        <v>19173.64</v>
      </c>
      <c r="L240">
        <f t="shared" si="3"/>
        <v>0</v>
      </c>
      <c r="M240" s="7">
        <f ca="1">_xlfn.DAYS(TODAY(),Table1[[#This Row],[Last_Stocked_Date]])</f>
        <v>547</v>
      </c>
    </row>
    <row r="241" spans="1:13" x14ac:dyDescent="0.45">
      <c r="A241" t="s">
        <v>307</v>
      </c>
      <c r="B241" t="s">
        <v>15</v>
      </c>
      <c r="C241" t="s">
        <v>32</v>
      </c>
      <c r="D241">
        <v>266</v>
      </c>
      <c r="E241">
        <v>110</v>
      </c>
      <c r="F241">
        <v>332.26</v>
      </c>
      <c r="G241">
        <v>130</v>
      </c>
      <c r="H241">
        <v>15</v>
      </c>
      <c r="I241" t="s">
        <v>21</v>
      </c>
      <c r="J241" s="6">
        <v>45534</v>
      </c>
      <c r="K241">
        <f>Table1[[#This Row],[Stock_Level]]*Table1[[#This Row],[Unit_Cost]]</f>
        <v>88381.16</v>
      </c>
      <c r="L241">
        <f t="shared" si="3"/>
        <v>0</v>
      </c>
      <c r="M241" s="7">
        <f ca="1">_xlfn.DAYS(TODAY(),Table1[[#This Row],[Last_Stocked_Date]])</f>
        <v>546</v>
      </c>
    </row>
    <row r="242" spans="1:13" x14ac:dyDescent="0.45">
      <c r="A242" t="s">
        <v>308</v>
      </c>
      <c r="B242" t="s">
        <v>19</v>
      </c>
      <c r="C242" t="s">
        <v>25</v>
      </c>
      <c r="D242">
        <v>98</v>
      </c>
      <c r="E242">
        <v>91</v>
      </c>
      <c r="F242">
        <v>327.86</v>
      </c>
      <c r="G242">
        <v>193</v>
      </c>
      <c r="H242">
        <v>25</v>
      </c>
      <c r="I242" t="s">
        <v>17</v>
      </c>
      <c r="J242" s="6">
        <v>45535</v>
      </c>
      <c r="K242">
        <f>Table1[[#This Row],[Stock_Level]]*Table1[[#This Row],[Unit_Cost]]</f>
        <v>32130.280000000002</v>
      </c>
      <c r="L242">
        <f t="shared" si="3"/>
        <v>0</v>
      </c>
      <c r="M242" s="7">
        <f ca="1">_xlfn.DAYS(TODAY(),Table1[[#This Row],[Last_Stocked_Date]])</f>
        <v>545</v>
      </c>
    </row>
    <row r="243" spans="1:13" x14ac:dyDescent="0.45">
      <c r="A243" t="s">
        <v>309</v>
      </c>
      <c r="B243" t="s">
        <v>19</v>
      </c>
      <c r="C243" t="s">
        <v>32</v>
      </c>
      <c r="D243">
        <v>484</v>
      </c>
      <c r="E243">
        <v>130</v>
      </c>
      <c r="F243">
        <v>129.28</v>
      </c>
      <c r="G243">
        <v>41</v>
      </c>
      <c r="H243">
        <v>9</v>
      </c>
      <c r="I243" t="s">
        <v>26</v>
      </c>
      <c r="J243" s="6">
        <v>45536</v>
      </c>
      <c r="K243">
        <f>Table1[[#This Row],[Stock_Level]]*Table1[[#This Row],[Unit_Cost]]</f>
        <v>62571.520000000004</v>
      </c>
      <c r="L243">
        <f t="shared" si="3"/>
        <v>0</v>
      </c>
      <c r="M243" s="7">
        <f ca="1">_xlfn.DAYS(TODAY(),Table1[[#This Row],[Last_Stocked_Date]])</f>
        <v>544</v>
      </c>
    </row>
    <row r="244" spans="1:13" x14ac:dyDescent="0.45">
      <c r="A244" t="s">
        <v>310</v>
      </c>
      <c r="B244" t="s">
        <v>29</v>
      </c>
      <c r="C244" t="s">
        <v>25</v>
      </c>
      <c r="D244">
        <v>297</v>
      </c>
      <c r="E244">
        <v>128</v>
      </c>
      <c r="F244">
        <v>326.95999999999998</v>
      </c>
      <c r="G244">
        <v>18</v>
      </c>
      <c r="H244">
        <v>13</v>
      </c>
      <c r="I244" t="s">
        <v>26</v>
      </c>
      <c r="J244" s="6">
        <v>45537</v>
      </c>
      <c r="K244">
        <f>Table1[[#This Row],[Stock_Level]]*Table1[[#This Row],[Unit_Cost]]</f>
        <v>97107.12</v>
      </c>
      <c r="L244">
        <f t="shared" si="3"/>
        <v>0</v>
      </c>
      <c r="M244" s="7">
        <f ca="1">_xlfn.DAYS(TODAY(),Table1[[#This Row],[Last_Stocked_Date]])</f>
        <v>543</v>
      </c>
    </row>
    <row r="245" spans="1:13" x14ac:dyDescent="0.45">
      <c r="A245" t="s">
        <v>311</v>
      </c>
      <c r="B245" t="s">
        <v>24</v>
      </c>
      <c r="C245" t="s">
        <v>32</v>
      </c>
      <c r="D245">
        <v>396</v>
      </c>
      <c r="E245">
        <v>67</v>
      </c>
      <c r="F245">
        <v>110.11</v>
      </c>
      <c r="G245">
        <v>16</v>
      </c>
      <c r="H245">
        <v>22</v>
      </c>
      <c r="I245" t="s">
        <v>17</v>
      </c>
      <c r="J245" s="6">
        <v>45538</v>
      </c>
      <c r="K245">
        <f>Table1[[#This Row],[Stock_Level]]*Table1[[#This Row],[Unit_Cost]]</f>
        <v>43603.56</v>
      </c>
      <c r="L245">
        <f t="shared" si="3"/>
        <v>0</v>
      </c>
      <c r="M245" s="7">
        <f ca="1">_xlfn.DAYS(TODAY(),Table1[[#This Row],[Last_Stocked_Date]])</f>
        <v>542</v>
      </c>
    </row>
    <row r="246" spans="1:13" x14ac:dyDescent="0.45">
      <c r="A246" t="s">
        <v>312</v>
      </c>
      <c r="B246" t="s">
        <v>15</v>
      </c>
      <c r="C246" t="s">
        <v>16</v>
      </c>
      <c r="D246">
        <v>163</v>
      </c>
      <c r="E246">
        <v>72</v>
      </c>
      <c r="F246">
        <v>65.39</v>
      </c>
      <c r="G246">
        <v>160</v>
      </c>
      <c r="H246">
        <v>11</v>
      </c>
      <c r="I246" t="s">
        <v>26</v>
      </c>
      <c r="J246" s="6">
        <v>45539</v>
      </c>
      <c r="K246">
        <f>Table1[[#This Row],[Stock_Level]]*Table1[[#This Row],[Unit_Cost]]</f>
        <v>10658.57</v>
      </c>
      <c r="L246">
        <f t="shared" si="3"/>
        <v>0</v>
      </c>
      <c r="M246" s="7">
        <f ca="1">_xlfn.DAYS(TODAY(),Table1[[#This Row],[Last_Stocked_Date]])</f>
        <v>541</v>
      </c>
    </row>
    <row r="247" spans="1:13" x14ac:dyDescent="0.45">
      <c r="A247" t="s">
        <v>313</v>
      </c>
      <c r="B247" t="s">
        <v>24</v>
      </c>
      <c r="C247" t="s">
        <v>25</v>
      </c>
      <c r="D247">
        <v>375</v>
      </c>
      <c r="E247">
        <v>103</v>
      </c>
      <c r="F247">
        <v>352.18</v>
      </c>
      <c r="G247">
        <v>75</v>
      </c>
      <c r="H247">
        <v>24</v>
      </c>
      <c r="I247" t="s">
        <v>17</v>
      </c>
      <c r="J247" s="6">
        <v>45540</v>
      </c>
      <c r="K247">
        <f>Table1[[#This Row],[Stock_Level]]*Table1[[#This Row],[Unit_Cost]]</f>
        <v>132067.5</v>
      </c>
      <c r="L247">
        <f t="shared" si="3"/>
        <v>0</v>
      </c>
      <c r="M247" s="7">
        <f ca="1">_xlfn.DAYS(TODAY(),Table1[[#This Row],[Last_Stocked_Date]])</f>
        <v>540</v>
      </c>
    </row>
    <row r="248" spans="1:13" x14ac:dyDescent="0.45">
      <c r="A248" t="s">
        <v>314</v>
      </c>
      <c r="B248" t="s">
        <v>15</v>
      </c>
      <c r="C248" t="s">
        <v>25</v>
      </c>
      <c r="D248">
        <v>140</v>
      </c>
      <c r="E248">
        <v>79</v>
      </c>
      <c r="F248">
        <v>61.15</v>
      </c>
      <c r="G248">
        <v>176</v>
      </c>
      <c r="H248">
        <v>21</v>
      </c>
      <c r="I248" t="s">
        <v>26</v>
      </c>
      <c r="J248" s="6">
        <v>45541</v>
      </c>
      <c r="K248">
        <f>Table1[[#This Row],[Stock_Level]]*Table1[[#This Row],[Unit_Cost]]</f>
        <v>8561</v>
      </c>
      <c r="L248">
        <f t="shared" si="3"/>
        <v>0</v>
      </c>
      <c r="M248" s="7">
        <f ca="1">_xlfn.DAYS(TODAY(),Table1[[#This Row],[Last_Stocked_Date]])</f>
        <v>539</v>
      </c>
    </row>
    <row r="249" spans="1:13" x14ac:dyDescent="0.45">
      <c r="A249" t="s">
        <v>315</v>
      </c>
      <c r="B249" t="s">
        <v>15</v>
      </c>
      <c r="C249" t="s">
        <v>25</v>
      </c>
      <c r="D249">
        <v>267</v>
      </c>
      <c r="E249">
        <v>147</v>
      </c>
      <c r="F249">
        <v>498.47</v>
      </c>
      <c r="G249">
        <v>183</v>
      </c>
      <c r="H249">
        <v>18</v>
      </c>
      <c r="I249" t="s">
        <v>21</v>
      </c>
      <c r="J249" s="6">
        <v>45542</v>
      </c>
      <c r="K249">
        <f>Table1[[#This Row],[Stock_Level]]*Table1[[#This Row],[Unit_Cost]]</f>
        <v>133091.49000000002</v>
      </c>
      <c r="L249">
        <f t="shared" si="3"/>
        <v>0</v>
      </c>
      <c r="M249" s="7">
        <f ca="1">_xlfn.DAYS(TODAY(),Table1[[#This Row],[Last_Stocked_Date]])</f>
        <v>538</v>
      </c>
    </row>
    <row r="250" spans="1:13" x14ac:dyDescent="0.45">
      <c r="A250" t="s">
        <v>316</v>
      </c>
      <c r="B250" t="s">
        <v>24</v>
      </c>
      <c r="C250" t="s">
        <v>25</v>
      </c>
      <c r="D250">
        <v>36</v>
      </c>
      <c r="E250">
        <v>107</v>
      </c>
      <c r="F250">
        <v>95.81</v>
      </c>
      <c r="G250">
        <v>62</v>
      </c>
      <c r="H250">
        <v>12</v>
      </c>
      <c r="I250" t="s">
        <v>26</v>
      </c>
      <c r="J250" s="6">
        <v>45543</v>
      </c>
      <c r="K250">
        <f>Table1[[#This Row],[Stock_Level]]*Table1[[#This Row],[Unit_Cost]]</f>
        <v>3449.16</v>
      </c>
      <c r="L250">
        <f t="shared" si="3"/>
        <v>1</v>
      </c>
      <c r="M250" s="7">
        <f ca="1">_xlfn.DAYS(TODAY(),Table1[[#This Row],[Last_Stocked_Date]])</f>
        <v>537</v>
      </c>
    </row>
    <row r="251" spans="1:13" x14ac:dyDescent="0.45">
      <c r="A251" t="s">
        <v>317</v>
      </c>
      <c r="B251" t="s">
        <v>19</v>
      </c>
      <c r="C251" t="s">
        <v>16</v>
      </c>
      <c r="D251">
        <v>73</v>
      </c>
      <c r="E251">
        <v>117</v>
      </c>
      <c r="F251">
        <v>299.10000000000002</v>
      </c>
      <c r="G251">
        <v>130</v>
      </c>
      <c r="H251">
        <v>3</v>
      </c>
      <c r="I251" t="s">
        <v>17</v>
      </c>
      <c r="J251" s="6">
        <v>45544</v>
      </c>
      <c r="K251">
        <f>Table1[[#This Row],[Stock_Level]]*Table1[[#This Row],[Unit_Cost]]</f>
        <v>21834.300000000003</v>
      </c>
      <c r="L251">
        <f t="shared" si="3"/>
        <v>1</v>
      </c>
      <c r="M251" s="7">
        <f ca="1">_xlfn.DAYS(TODAY(),Table1[[#This Row],[Last_Stocked_Date]])</f>
        <v>536</v>
      </c>
    </row>
    <row r="252" spans="1:13" x14ac:dyDescent="0.45">
      <c r="A252" t="s">
        <v>318</v>
      </c>
      <c r="B252" t="s">
        <v>29</v>
      </c>
      <c r="C252" t="s">
        <v>25</v>
      </c>
      <c r="D252">
        <v>72</v>
      </c>
      <c r="E252">
        <v>116</v>
      </c>
      <c r="F252">
        <v>208.63</v>
      </c>
      <c r="G252">
        <v>106</v>
      </c>
      <c r="H252">
        <v>27</v>
      </c>
      <c r="I252" t="s">
        <v>17</v>
      </c>
      <c r="J252" s="6">
        <v>45545</v>
      </c>
      <c r="K252">
        <f>Table1[[#This Row],[Stock_Level]]*Table1[[#This Row],[Unit_Cost]]</f>
        <v>15021.36</v>
      </c>
      <c r="L252">
        <f t="shared" si="3"/>
        <v>1</v>
      </c>
      <c r="M252" s="7">
        <f ca="1">_xlfn.DAYS(TODAY(),Table1[[#This Row],[Last_Stocked_Date]])</f>
        <v>535</v>
      </c>
    </row>
    <row r="253" spans="1:13" x14ac:dyDescent="0.45">
      <c r="A253" t="s">
        <v>320</v>
      </c>
      <c r="B253" t="s">
        <v>15</v>
      </c>
      <c r="C253" t="s">
        <v>20</v>
      </c>
      <c r="D253">
        <v>307</v>
      </c>
      <c r="E253">
        <v>120</v>
      </c>
      <c r="F253">
        <v>67.56</v>
      </c>
      <c r="G253">
        <v>48</v>
      </c>
      <c r="H253">
        <v>27</v>
      </c>
      <c r="I253" t="s">
        <v>21</v>
      </c>
      <c r="J253" s="6">
        <v>45546</v>
      </c>
      <c r="K253">
        <f>Table1[[#This Row],[Stock_Level]]*Table1[[#This Row],[Unit_Cost]]</f>
        <v>20740.920000000002</v>
      </c>
      <c r="L253">
        <f t="shared" si="3"/>
        <v>0</v>
      </c>
      <c r="M253" s="7">
        <f ca="1">_xlfn.DAYS(TODAY(),Table1[[#This Row],[Last_Stocked_Date]])</f>
        <v>534</v>
      </c>
    </row>
    <row r="254" spans="1:13" x14ac:dyDescent="0.45">
      <c r="A254" t="s">
        <v>321</v>
      </c>
      <c r="B254" t="s">
        <v>19</v>
      </c>
      <c r="C254" t="s">
        <v>16</v>
      </c>
      <c r="D254">
        <v>198</v>
      </c>
      <c r="E254">
        <v>67</v>
      </c>
      <c r="F254">
        <v>18.78</v>
      </c>
      <c r="G254">
        <v>54</v>
      </c>
      <c r="H254">
        <v>5</v>
      </c>
      <c r="I254" t="s">
        <v>17</v>
      </c>
      <c r="J254" s="6">
        <v>45547</v>
      </c>
      <c r="K254">
        <f>Table1[[#This Row],[Stock_Level]]*Table1[[#This Row],[Unit_Cost]]</f>
        <v>3718.44</v>
      </c>
      <c r="L254">
        <f t="shared" si="3"/>
        <v>0</v>
      </c>
      <c r="M254" s="7">
        <f ca="1">_xlfn.DAYS(TODAY(),Table1[[#This Row],[Last_Stocked_Date]])</f>
        <v>533</v>
      </c>
    </row>
    <row r="255" spans="1:13" x14ac:dyDescent="0.45">
      <c r="A255" t="s">
        <v>323</v>
      </c>
      <c r="B255" t="s">
        <v>15</v>
      </c>
      <c r="C255" t="s">
        <v>20</v>
      </c>
      <c r="D255">
        <v>129</v>
      </c>
      <c r="E255">
        <v>56</v>
      </c>
      <c r="F255">
        <v>313.25</v>
      </c>
      <c r="G255">
        <v>153</v>
      </c>
      <c r="H255">
        <v>2</v>
      </c>
      <c r="I255" t="s">
        <v>26</v>
      </c>
      <c r="J255" s="6">
        <v>45548</v>
      </c>
      <c r="K255">
        <f>Table1[[#This Row],[Stock_Level]]*Table1[[#This Row],[Unit_Cost]]</f>
        <v>40409.25</v>
      </c>
      <c r="L255">
        <f t="shared" si="3"/>
        <v>0</v>
      </c>
      <c r="M255" s="7">
        <f ca="1">_xlfn.DAYS(TODAY(),Table1[[#This Row],[Last_Stocked_Date]])</f>
        <v>532</v>
      </c>
    </row>
    <row r="256" spans="1:13" x14ac:dyDescent="0.45">
      <c r="A256" t="s">
        <v>324</v>
      </c>
      <c r="B256" t="s">
        <v>29</v>
      </c>
      <c r="C256" t="s">
        <v>25</v>
      </c>
      <c r="D256">
        <v>245</v>
      </c>
      <c r="E256">
        <v>89</v>
      </c>
      <c r="F256">
        <v>404.34</v>
      </c>
      <c r="G256">
        <v>98</v>
      </c>
      <c r="H256">
        <v>16</v>
      </c>
      <c r="I256" t="s">
        <v>26</v>
      </c>
      <c r="J256" s="6">
        <v>45549</v>
      </c>
      <c r="K256">
        <f>Table1[[#This Row],[Stock_Level]]*Table1[[#This Row],[Unit_Cost]]</f>
        <v>99063.299999999988</v>
      </c>
      <c r="L256">
        <f t="shared" si="3"/>
        <v>0</v>
      </c>
      <c r="M256" s="7">
        <f ca="1">_xlfn.DAYS(TODAY(),Table1[[#This Row],[Last_Stocked_Date]])</f>
        <v>531</v>
      </c>
    </row>
    <row r="257" spans="1:13" x14ac:dyDescent="0.45">
      <c r="A257" t="s">
        <v>325</v>
      </c>
      <c r="B257" t="s">
        <v>15</v>
      </c>
      <c r="C257" t="s">
        <v>32</v>
      </c>
      <c r="D257">
        <v>311</v>
      </c>
      <c r="E257">
        <v>119</v>
      </c>
      <c r="F257">
        <v>421.8</v>
      </c>
      <c r="G257">
        <v>199</v>
      </c>
      <c r="H257">
        <v>14</v>
      </c>
      <c r="I257" t="s">
        <v>21</v>
      </c>
      <c r="J257" s="6">
        <v>45550</v>
      </c>
      <c r="K257">
        <f>Table1[[#This Row],[Stock_Level]]*Table1[[#This Row],[Unit_Cost]]</f>
        <v>131179.80000000002</v>
      </c>
      <c r="L257">
        <f t="shared" si="3"/>
        <v>0</v>
      </c>
      <c r="M257" s="7">
        <f ca="1">_xlfn.DAYS(TODAY(),Table1[[#This Row],[Last_Stocked_Date]])</f>
        <v>530</v>
      </c>
    </row>
    <row r="258" spans="1:13" x14ac:dyDescent="0.45">
      <c r="A258" t="s">
        <v>326</v>
      </c>
      <c r="B258" t="s">
        <v>29</v>
      </c>
      <c r="C258" t="s">
        <v>20</v>
      </c>
      <c r="D258">
        <v>59</v>
      </c>
      <c r="E258">
        <v>135</v>
      </c>
      <c r="F258">
        <v>243.94</v>
      </c>
      <c r="G258">
        <v>51</v>
      </c>
      <c r="H258">
        <v>9</v>
      </c>
      <c r="I258" t="s">
        <v>17</v>
      </c>
      <c r="J258" s="6">
        <v>45551</v>
      </c>
      <c r="K258">
        <f>Table1[[#This Row],[Stock_Level]]*Table1[[#This Row],[Unit_Cost]]</f>
        <v>14392.46</v>
      </c>
      <c r="L258">
        <f t="shared" ref="L258:L301" si="4">IF(D258&lt;E258,1,0)</f>
        <v>1</v>
      </c>
      <c r="M258" s="7">
        <f ca="1">_xlfn.DAYS(TODAY(),Table1[[#This Row],[Last_Stocked_Date]])</f>
        <v>529</v>
      </c>
    </row>
    <row r="259" spans="1:13" x14ac:dyDescent="0.45">
      <c r="A259" t="s">
        <v>327</v>
      </c>
      <c r="B259" t="s">
        <v>29</v>
      </c>
      <c r="C259" t="s">
        <v>25</v>
      </c>
      <c r="D259">
        <v>278</v>
      </c>
      <c r="E259">
        <v>114</v>
      </c>
      <c r="F259">
        <v>389.84</v>
      </c>
      <c r="G259">
        <v>99</v>
      </c>
      <c r="H259">
        <v>26</v>
      </c>
      <c r="I259" t="s">
        <v>21</v>
      </c>
      <c r="J259" s="6">
        <v>45552</v>
      </c>
      <c r="K259">
        <f>Table1[[#This Row],[Stock_Level]]*Table1[[#This Row],[Unit_Cost]]</f>
        <v>108375.51999999999</v>
      </c>
      <c r="L259">
        <f t="shared" si="4"/>
        <v>0</v>
      </c>
      <c r="M259" s="7">
        <f ca="1">_xlfn.DAYS(TODAY(),Table1[[#This Row],[Last_Stocked_Date]])</f>
        <v>528</v>
      </c>
    </row>
    <row r="260" spans="1:13" x14ac:dyDescent="0.45">
      <c r="A260" t="s">
        <v>328</v>
      </c>
      <c r="B260" t="s">
        <v>15</v>
      </c>
      <c r="C260" t="s">
        <v>20</v>
      </c>
      <c r="D260">
        <v>102</v>
      </c>
      <c r="E260">
        <v>117</v>
      </c>
      <c r="F260">
        <v>338.06</v>
      </c>
      <c r="G260">
        <v>116</v>
      </c>
      <c r="H260">
        <v>5</v>
      </c>
      <c r="I260" t="s">
        <v>26</v>
      </c>
      <c r="J260" s="6">
        <v>45553</v>
      </c>
      <c r="K260">
        <f>Table1[[#This Row],[Stock_Level]]*Table1[[#This Row],[Unit_Cost]]</f>
        <v>34482.120000000003</v>
      </c>
      <c r="L260">
        <f t="shared" si="4"/>
        <v>1</v>
      </c>
      <c r="M260" s="7">
        <f ca="1">_xlfn.DAYS(TODAY(),Table1[[#This Row],[Last_Stocked_Date]])</f>
        <v>527</v>
      </c>
    </row>
    <row r="261" spans="1:13" x14ac:dyDescent="0.45">
      <c r="A261" t="s">
        <v>329</v>
      </c>
      <c r="B261" t="s">
        <v>15</v>
      </c>
      <c r="C261" t="s">
        <v>25</v>
      </c>
      <c r="D261">
        <v>295</v>
      </c>
      <c r="E261">
        <v>98</v>
      </c>
      <c r="F261">
        <v>363.51</v>
      </c>
      <c r="G261">
        <v>117</v>
      </c>
      <c r="H261">
        <v>11</v>
      </c>
      <c r="I261" t="s">
        <v>21</v>
      </c>
      <c r="J261" s="6">
        <v>45554</v>
      </c>
      <c r="K261">
        <f>Table1[[#This Row],[Stock_Level]]*Table1[[#This Row],[Unit_Cost]]</f>
        <v>107235.45</v>
      </c>
      <c r="L261">
        <f t="shared" si="4"/>
        <v>0</v>
      </c>
      <c r="M261" s="7">
        <f ca="1">_xlfn.DAYS(TODAY(),Table1[[#This Row],[Last_Stocked_Date]])</f>
        <v>526</v>
      </c>
    </row>
    <row r="262" spans="1:13" x14ac:dyDescent="0.45">
      <c r="A262" t="s">
        <v>330</v>
      </c>
      <c r="B262" t="s">
        <v>29</v>
      </c>
      <c r="C262" t="s">
        <v>25</v>
      </c>
      <c r="D262">
        <v>319</v>
      </c>
      <c r="E262">
        <v>101</v>
      </c>
      <c r="F262">
        <v>248.84</v>
      </c>
      <c r="G262">
        <v>6</v>
      </c>
      <c r="H262">
        <v>20</v>
      </c>
      <c r="I262" t="s">
        <v>17</v>
      </c>
      <c r="J262" s="6">
        <v>45555</v>
      </c>
      <c r="K262">
        <f>Table1[[#This Row],[Stock_Level]]*Table1[[#This Row],[Unit_Cost]]</f>
        <v>79379.960000000006</v>
      </c>
      <c r="L262">
        <f t="shared" si="4"/>
        <v>0</v>
      </c>
      <c r="M262" s="7">
        <f ca="1">_xlfn.DAYS(TODAY(),Table1[[#This Row],[Last_Stocked_Date]])</f>
        <v>525</v>
      </c>
    </row>
    <row r="263" spans="1:13" x14ac:dyDescent="0.45">
      <c r="A263" t="s">
        <v>331</v>
      </c>
      <c r="B263" t="s">
        <v>19</v>
      </c>
      <c r="C263" t="s">
        <v>25</v>
      </c>
      <c r="D263">
        <v>486</v>
      </c>
      <c r="E263">
        <v>78</v>
      </c>
      <c r="F263">
        <v>318.54000000000002</v>
      </c>
      <c r="G263">
        <v>45</v>
      </c>
      <c r="H263">
        <v>19</v>
      </c>
      <c r="I263" t="s">
        <v>21</v>
      </c>
      <c r="J263" s="6">
        <v>45556</v>
      </c>
      <c r="K263">
        <f>Table1[[#This Row],[Stock_Level]]*Table1[[#This Row],[Unit_Cost]]</f>
        <v>154810.44</v>
      </c>
      <c r="L263">
        <f t="shared" si="4"/>
        <v>0</v>
      </c>
      <c r="M263" s="7">
        <f ca="1">_xlfn.DAYS(TODAY(),Table1[[#This Row],[Last_Stocked_Date]])</f>
        <v>524</v>
      </c>
    </row>
    <row r="264" spans="1:13" x14ac:dyDescent="0.45">
      <c r="A264" t="s">
        <v>332</v>
      </c>
      <c r="B264" t="s">
        <v>24</v>
      </c>
      <c r="C264" t="s">
        <v>32</v>
      </c>
      <c r="D264">
        <v>340</v>
      </c>
      <c r="E264">
        <v>70</v>
      </c>
      <c r="F264">
        <v>403.74</v>
      </c>
      <c r="G264">
        <v>45</v>
      </c>
      <c r="H264">
        <v>6</v>
      </c>
      <c r="I264" t="s">
        <v>17</v>
      </c>
      <c r="J264" s="6">
        <v>45557</v>
      </c>
      <c r="K264">
        <f>Table1[[#This Row],[Stock_Level]]*Table1[[#This Row],[Unit_Cost]]</f>
        <v>137271.6</v>
      </c>
      <c r="L264">
        <f t="shared" si="4"/>
        <v>0</v>
      </c>
      <c r="M264" s="7">
        <f ca="1">_xlfn.DAYS(TODAY(),Table1[[#This Row],[Last_Stocked_Date]])</f>
        <v>523</v>
      </c>
    </row>
    <row r="265" spans="1:13" x14ac:dyDescent="0.45">
      <c r="A265" t="s">
        <v>333</v>
      </c>
      <c r="B265" t="s">
        <v>29</v>
      </c>
      <c r="C265" t="s">
        <v>20</v>
      </c>
      <c r="D265">
        <v>150</v>
      </c>
      <c r="E265">
        <v>139</v>
      </c>
      <c r="F265">
        <v>201.95</v>
      </c>
      <c r="G265">
        <v>99</v>
      </c>
      <c r="H265">
        <v>20</v>
      </c>
      <c r="I265" t="s">
        <v>17</v>
      </c>
      <c r="J265" s="6">
        <v>45558</v>
      </c>
      <c r="K265">
        <f>Table1[[#This Row],[Stock_Level]]*Table1[[#This Row],[Unit_Cost]]</f>
        <v>30292.5</v>
      </c>
      <c r="L265">
        <f t="shared" si="4"/>
        <v>0</v>
      </c>
      <c r="M265" s="7">
        <f ca="1">_xlfn.DAYS(TODAY(),Table1[[#This Row],[Last_Stocked_Date]])</f>
        <v>522</v>
      </c>
    </row>
    <row r="266" spans="1:13" x14ac:dyDescent="0.45">
      <c r="A266" t="s">
        <v>334</v>
      </c>
      <c r="B266" t="s">
        <v>15</v>
      </c>
      <c r="C266" t="s">
        <v>16</v>
      </c>
      <c r="D266">
        <v>156</v>
      </c>
      <c r="E266">
        <v>127</v>
      </c>
      <c r="F266">
        <v>403.96</v>
      </c>
      <c r="G266">
        <v>143</v>
      </c>
      <c r="H266">
        <v>27</v>
      </c>
      <c r="I266" t="s">
        <v>26</v>
      </c>
      <c r="J266" s="6">
        <v>45559</v>
      </c>
      <c r="K266">
        <f>Table1[[#This Row],[Stock_Level]]*Table1[[#This Row],[Unit_Cost]]</f>
        <v>63017.759999999995</v>
      </c>
      <c r="L266">
        <f t="shared" si="4"/>
        <v>0</v>
      </c>
      <c r="M266" s="7">
        <f ca="1">_xlfn.DAYS(TODAY(),Table1[[#This Row],[Last_Stocked_Date]])</f>
        <v>521</v>
      </c>
    </row>
    <row r="267" spans="1:13" x14ac:dyDescent="0.45">
      <c r="A267" t="s">
        <v>335</v>
      </c>
      <c r="B267" t="s">
        <v>15</v>
      </c>
      <c r="C267" t="s">
        <v>16</v>
      </c>
      <c r="D267">
        <v>205</v>
      </c>
      <c r="E267">
        <v>58</v>
      </c>
      <c r="F267">
        <v>298.05</v>
      </c>
      <c r="G267">
        <v>151</v>
      </c>
      <c r="H267">
        <v>24</v>
      </c>
      <c r="I267" t="s">
        <v>26</v>
      </c>
      <c r="J267" s="6">
        <v>45560</v>
      </c>
      <c r="K267">
        <f>Table1[[#This Row],[Stock_Level]]*Table1[[#This Row],[Unit_Cost]]</f>
        <v>61100.25</v>
      </c>
      <c r="L267">
        <f t="shared" si="4"/>
        <v>0</v>
      </c>
      <c r="M267" s="7">
        <f ca="1">_xlfn.DAYS(TODAY(),Table1[[#This Row],[Last_Stocked_Date]])</f>
        <v>520</v>
      </c>
    </row>
    <row r="268" spans="1:13" x14ac:dyDescent="0.45">
      <c r="A268" t="s">
        <v>337</v>
      </c>
      <c r="B268" t="s">
        <v>19</v>
      </c>
      <c r="C268" t="s">
        <v>16</v>
      </c>
      <c r="D268">
        <v>473</v>
      </c>
      <c r="E268">
        <v>96</v>
      </c>
      <c r="F268">
        <v>87.12</v>
      </c>
      <c r="G268">
        <v>188</v>
      </c>
      <c r="H268">
        <v>28</v>
      </c>
      <c r="I268" t="s">
        <v>26</v>
      </c>
      <c r="J268" s="6">
        <v>45561</v>
      </c>
      <c r="K268">
        <f>Table1[[#This Row],[Stock_Level]]*Table1[[#This Row],[Unit_Cost]]</f>
        <v>41207.760000000002</v>
      </c>
      <c r="L268">
        <f t="shared" si="4"/>
        <v>0</v>
      </c>
      <c r="M268" s="7">
        <f ca="1">_xlfn.DAYS(TODAY(),Table1[[#This Row],[Last_Stocked_Date]])</f>
        <v>519</v>
      </c>
    </row>
    <row r="269" spans="1:13" x14ac:dyDescent="0.45">
      <c r="A269" t="s">
        <v>338</v>
      </c>
      <c r="B269" t="s">
        <v>24</v>
      </c>
      <c r="C269" t="s">
        <v>16</v>
      </c>
      <c r="D269">
        <v>178</v>
      </c>
      <c r="E269">
        <v>125</v>
      </c>
      <c r="F269">
        <v>17.22</v>
      </c>
      <c r="G269">
        <v>53</v>
      </c>
      <c r="H269">
        <v>23</v>
      </c>
      <c r="I269" t="s">
        <v>17</v>
      </c>
      <c r="J269" s="6">
        <v>45562</v>
      </c>
      <c r="K269">
        <f>Table1[[#This Row],[Stock_Level]]*Table1[[#This Row],[Unit_Cost]]</f>
        <v>3065.16</v>
      </c>
      <c r="L269">
        <f t="shared" si="4"/>
        <v>0</v>
      </c>
      <c r="M269" s="7">
        <f ca="1">_xlfn.DAYS(TODAY(),Table1[[#This Row],[Last_Stocked_Date]])</f>
        <v>518</v>
      </c>
    </row>
    <row r="270" spans="1:13" x14ac:dyDescent="0.45">
      <c r="A270" t="s">
        <v>339</v>
      </c>
      <c r="B270" t="s">
        <v>29</v>
      </c>
      <c r="C270" t="s">
        <v>25</v>
      </c>
      <c r="D270">
        <v>196</v>
      </c>
      <c r="E270">
        <v>91</v>
      </c>
      <c r="F270">
        <v>184.56</v>
      </c>
      <c r="G270">
        <v>61</v>
      </c>
      <c r="H270">
        <v>17</v>
      </c>
      <c r="I270" t="s">
        <v>21</v>
      </c>
      <c r="J270" s="6">
        <v>45563</v>
      </c>
      <c r="K270">
        <f>Table1[[#This Row],[Stock_Level]]*Table1[[#This Row],[Unit_Cost]]</f>
        <v>36173.760000000002</v>
      </c>
      <c r="L270">
        <f t="shared" si="4"/>
        <v>0</v>
      </c>
      <c r="M270" s="7">
        <f ca="1">_xlfn.DAYS(TODAY(),Table1[[#This Row],[Last_Stocked_Date]])</f>
        <v>517</v>
      </c>
    </row>
    <row r="271" spans="1:13" x14ac:dyDescent="0.45">
      <c r="A271" t="s">
        <v>340</v>
      </c>
      <c r="B271" t="s">
        <v>29</v>
      </c>
      <c r="C271" t="s">
        <v>20</v>
      </c>
      <c r="D271">
        <v>222</v>
      </c>
      <c r="E271">
        <v>100</v>
      </c>
      <c r="F271">
        <v>275.61</v>
      </c>
      <c r="G271">
        <v>128</v>
      </c>
      <c r="H271">
        <v>2</v>
      </c>
      <c r="I271" t="s">
        <v>17</v>
      </c>
      <c r="J271" s="6">
        <v>45564</v>
      </c>
      <c r="K271">
        <f>Table1[[#This Row],[Stock_Level]]*Table1[[#This Row],[Unit_Cost]]</f>
        <v>61185.420000000006</v>
      </c>
      <c r="L271">
        <f t="shared" si="4"/>
        <v>0</v>
      </c>
      <c r="M271" s="7">
        <f ca="1">_xlfn.DAYS(TODAY(),Table1[[#This Row],[Last_Stocked_Date]])</f>
        <v>516</v>
      </c>
    </row>
    <row r="272" spans="1:13" x14ac:dyDescent="0.45">
      <c r="A272" t="s">
        <v>341</v>
      </c>
      <c r="B272" t="s">
        <v>24</v>
      </c>
      <c r="C272" t="s">
        <v>20</v>
      </c>
      <c r="D272">
        <v>88</v>
      </c>
      <c r="E272">
        <v>105</v>
      </c>
      <c r="F272">
        <v>420.71</v>
      </c>
      <c r="G272">
        <v>48</v>
      </c>
      <c r="H272">
        <v>13</v>
      </c>
      <c r="I272" t="s">
        <v>26</v>
      </c>
      <c r="J272" s="6">
        <v>45565</v>
      </c>
      <c r="K272">
        <f>Table1[[#This Row],[Stock_Level]]*Table1[[#This Row],[Unit_Cost]]</f>
        <v>37022.479999999996</v>
      </c>
      <c r="L272">
        <f t="shared" si="4"/>
        <v>1</v>
      </c>
      <c r="M272" s="7">
        <f ca="1">_xlfn.DAYS(TODAY(),Table1[[#This Row],[Last_Stocked_Date]])</f>
        <v>515</v>
      </c>
    </row>
    <row r="273" spans="1:13" x14ac:dyDescent="0.45">
      <c r="A273" t="s">
        <v>342</v>
      </c>
      <c r="B273" t="s">
        <v>29</v>
      </c>
      <c r="C273" t="s">
        <v>32</v>
      </c>
      <c r="D273">
        <v>286</v>
      </c>
      <c r="E273">
        <v>100</v>
      </c>
      <c r="F273">
        <v>68.11</v>
      </c>
      <c r="G273">
        <v>24</v>
      </c>
      <c r="H273">
        <v>25</v>
      </c>
      <c r="I273" t="s">
        <v>26</v>
      </c>
      <c r="J273" s="6">
        <v>45566</v>
      </c>
      <c r="K273">
        <f>Table1[[#This Row],[Stock_Level]]*Table1[[#This Row],[Unit_Cost]]</f>
        <v>19479.46</v>
      </c>
      <c r="L273">
        <f t="shared" si="4"/>
        <v>0</v>
      </c>
      <c r="M273" s="7">
        <f ca="1">_xlfn.DAYS(TODAY(),Table1[[#This Row],[Last_Stocked_Date]])</f>
        <v>514</v>
      </c>
    </row>
    <row r="274" spans="1:13" x14ac:dyDescent="0.45">
      <c r="A274" t="s">
        <v>343</v>
      </c>
      <c r="B274" t="s">
        <v>24</v>
      </c>
      <c r="C274" t="s">
        <v>20</v>
      </c>
      <c r="D274">
        <v>433</v>
      </c>
      <c r="E274">
        <v>119</v>
      </c>
      <c r="F274">
        <v>401.1</v>
      </c>
      <c r="G274">
        <v>9</v>
      </c>
      <c r="H274">
        <v>3</v>
      </c>
      <c r="I274" t="s">
        <v>21</v>
      </c>
      <c r="J274" s="6">
        <v>45567</v>
      </c>
      <c r="K274">
        <f>Table1[[#This Row],[Stock_Level]]*Table1[[#This Row],[Unit_Cost]]</f>
        <v>173676.30000000002</v>
      </c>
      <c r="L274">
        <f t="shared" si="4"/>
        <v>0</v>
      </c>
      <c r="M274" s="7">
        <f ca="1">_xlfn.DAYS(TODAY(),Table1[[#This Row],[Last_Stocked_Date]])</f>
        <v>513</v>
      </c>
    </row>
    <row r="275" spans="1:13" x14ac:dyDescent="0.45">
      <c r="A275" t="s">
        <v>344</v>
      </c>
      <c r="B275" t="s">
        <v>15</v>
      </c>
      <c r="C275" t="s">
        <v>20</v>
      </c>
      <c r="D275">
        <v>275</v>
      </c>
      <c r="E275">
        <v>69</v>
      </c>
      <c r="F275">
        <v>432.19</v>
      </c>
      <c r="G275">
        <v>117</v>
      </c>
      <c r="H275">
        <v>22</v>
      </c>
      <c r="I275" t="s">
        <v>26</v>
      </c>
      <c r="J275" s="6">
        <v>45568</v>
      </c>
      <c r="K275">
        <f>Table1[[#This Row],[Stock_Level]]*Table1[[#This Row],[Unit_Cost]]</f>
        <v>118852.25</v>
      </c>
      <c r="L275">
        <f t="shared" si="4"/>
        <v>0</v>
      </c>
      <c r="M275" s="7">
        <f ca="1">_xlfn.DAYS(TODAY(),Table1[[#This Row],[Last_Stocked_Date]])</f>
        <v>512</v>
      </c>
    </row>
    <row r="276" spans="1:13" x14ac:dyDescent="0.45">
      <c r="A276" t="s">
        <v>345</v>
      </c>
      <c r="B276" t="s">
        <v>24</v>
      </c>
      <c r="C276" t="s">
        <v>20</v>
      </c>
      <c r="D276">
        <v>235</v>
      </c>
      <c r="E276">
        <v>137</v>
      </c>
      <c r="F276">
        <v>79.59</v>
      </c>
      <c r="G276">
        <v>143</v>
      </c>
      <c r="H276">
        <v>26</v>
      </c>
      <c r="I276" t="s">
        <v>26</v>
      </c>
      <c r="J276" s="6">
        <v>45569</v>
      </c>
      <c r="K276">
        <f>Table1[[#This Row],[Stock_Level]]*Table1[[#This Row],[Unit_Cost]]</f>
        <v>18703.650000000001</v>
      </c>
      <c r="L276">
        <f t="shared" si="4"/>
        <v>0</v>
      </c>
      <c r="M276" s="7">
        <f ca="1">_xlfn.DAYS(TODAY(),Table1[[#This Row],[Last_Stocked_Date]])</f>
        <v>511</v>
      </c>
    </row>
    <row r="277" spans="1:13" x14ac:dyDescent="0.45">
      <c r="A277" t="s">
        <v>347</v>
      </c>
      <c r="B277" t="s">
        <v>29</v>
      </c>
      <c r="C277" t="s">
        <v>32</v>
      </c>
      <c r="D277">
        <v>182</v>
      </c>
      <c r="E277">
        <v>76</v>
      </c>
      <c r="F277">
        <v>426.54</v>
      </c>
      <c r="G277">
        <v>185</v>
      </c>
      <c r="H277">
        <v>9</v>
      </c>
      <c r="I277" t="s">
        <v>26</v>
      </c>
      <c r="J277" s="6">
        <v>45570</v>
      </c>
      <c r="K277">
        <f>Table1[[#This Row],[Stock_Level]]*Table1[[#This Row],[Unit_Cost]]</f>
        <v>77630.28</v>
      </c>
      <c r="L277">
        <f t="shared" si="4"/>
        <v>0</v>
      </c>
      <c r="M277" s="7">
        <f ca="1">_xlfn.DAYS(TODAY(),Table1[[#This Row],[Last_Stocked_Date]])</f>
        <v>510</v>
      </c>
    </row>
    <row r="278" spans="1:13" x14ac:dyDescent="0.45">
      <c r="A278" t="s">
        <v>348</v>
      </c>
      <c r="B278" t="s">
        <v>24</v>
      </c>
      <c r="C278" t="s">
        <v>16</v>
      </c>
      <c r="D278">
        <v>208</v>
      </c>
      <c r="E278">
        <v>87</v>
      </c>
      <c r="F278">
        <v>495.77</v>
      </c>
      <c r="G278">
        <v>199</v>
      </c>
      <c r="H278">
        <v>19</v>
      </c>
      <c r="I278" t="s">
        <v>21</v>
      </c>
      <c r="J278" s="6">
        <v>45571</v>
      </c>
      <c r="K278">
        <f>Table1[[#This Row],[Stock_Level]]*Table1[[#This Row],[Unit_Cost]]</f>
        <v>103120.16</v>
      </c>
      <c r="L278">
        <f t="shared" si="4"/>
        <v>0</v>
      </c>
      <c r="M278" s="7">
        <f ca="1">_xlfn.DAYS(TODAY(),Table1[[#This Row],[Last_Stocked_Date]])</f>
        <v>509</v>
      </c>
    </row>
    <row r="279" spans="1:13" x14ac:dyDescent="0.45">
      <c r="A279" t="s">
        <v>349</v>
      </c>
      <c r="B279" t="s">
        <v>19</v>
      </c>
      <c r="C279" t="s">
        <v>20</v>
      </c>
      <c r="D279">
        <v>492</v>
      </c>
      <c r="E279">
        <v>121</v>
      </c>
      <c r="F279">
        <v>364.79</v>
      </c>
      <c r="G279">
        <v>156</v>
      </c>
      <c r="H279">
        <v>26</v>
      </c>
      <c r="I279" t="s">
        <v>17</v>
      </c>
      <c r="J279" s="6">
        <v>45572</v>
      </c>
      <c r="K279">
        <f>Table1[[#This Row],[Stock_Level]]*Table1[[#This Row],[Unit_Cost]]</f>
        <v>179476.68000000002</v>
      </c>
      <c r="L279">
        <f t="shared" si="4"/>
        <v>0</v>
      </c>
      <c r="M279" s="7">
        <f ca="1">_xlfn.DAYS(TODAY(),Table1[[#This Row],[Last_Stocked_Date]])</f>
        <v>508</v>
      </c>
    </row>
    <row r="280" spans="1:13" x14ac:dyDescent="0.45">
      <c r="A280" t="s">
        <v>350</v>
      </c>
      <c r="B280" t="s">
        <v>15</v>
      </c>
      <c r="C280" t="s">
        <v>32</v>
      </c>
      <c r="D280">
        <v>129</v>
      </c>
      <c r="E280">
        <v>114</v>
      </c>
      <c r="F280">
        <v>393.46</v>
      </c>
      <c r="G280">
        <v>91</v>
      </c>
      <c r="H280">
        <v>17</v>
      </c>
      <c r="I280" t="s">
        <v>26</v>
      </c>
      <c r="J280" s="6">
        <v>45573</v>
      </c>
      <c r="K280">
        <f>Table1[[#This Row],[Stock_Level]]*Table1[[#This Row],[Unit_Cost]]</f>
        <v>50756.34</v>
      </c>
      <c r="L280">
        <f t="shared" si="4"/>
        <v>0</v>
      </c>
      <c r="M280" s="7">
        <f ca="1">_xlfn.DAYS(TODAY(),Table1[[#This Row],[Last_Stocked_Date]])</f>
        <v>507</v>
      </c>
    </row>
    <row r="281" spans="1:13" x14ac:dyDescent="0.45">
      <c r="A281" t="s">
        <v>351</v>
      </c>
      <c r="B281" t="s">
        <v>15</v>
      </c>
      <c r="C281" t="s">
        <v>32</v>
      </c>
      <c r="D281">
        <v>152</v>
      </c>
      <c r="E281">
        <v>103</v>
      </c>
      <c r="F281">
        <v>497.24</v>
      </c>
      <c r="G281">
        <v>133</v>
      </c>
      <c r="H281">
        <v>6</v>
      </c>
      <c r="I281" t="s">
        <v>21</v>
      </c>
      <c r="J281" s="6">
        <v>45574</v>
      </c>
      <c r="K281">
        <f>Table1[[#This Row],[Stock_Level]]*Table1[[#This Row],[Unit_Cost]]</f>
        <v>75580.479999999996</v>
      </c>
      <c r="L281">
        <f t="shared" si="4"/>
        <v>0</v>
      </c>
      <c r="M281" s="7">
        <f ca="1">_xlfn.DAYS(TODAY(),Table1[[#This Row],[Last_Stocked_Date]])</f>
        <v>506</v>
      </c>
    </row>
    <row r="282" spans="1:13" x14ac:dyDescent="0.45">
      <c r="A282" t="s">
        <v>352</v>
      </c>
      <c r="B282" t="s">
        <v>24</v>
      </c>
      <c r="C282" t="s">
        <v>25</v>
      </c>
      <c r="D282">
        <v>12</v>
      </c>
      <c r="E282">
        <v>73</v>
      </c>
      <c r="F282">
        <v>304.70999999999998</v>
      </c>
      <c r="G282">
        <v>143</v>
      </c>
      <c r="H282">
        <v>27</v>
      </c>
      <c r="I282" t="s">
        <v>26</v>
      </c>
      <c r="J282" s="6">
        <v>45575</v>
      </c>
      <c r="K282">
        <f>Table1[[#This Row],[Stock_Level]]*Table1[[#This Row],[Unit_Cost]]</f>
        <v>3656.5199999999995</v>
      </c>
      <c r="L282">
        <f t="shared" si="4"/>
        <v>1</v>
      </c>
      <c r="M282" s="7">
        <f ca="1">_xlfn.DAYS(TODAY(),Table1[[#This Row],[Last_Stocked_Date]])</f>
        <v>505</v>
      </c>
    </row>
    <row r="283" spans="1:13" x14ac:dyDescent="0.45">
      <c r="A283" t="s">
        <v>354</v>
      </c>
      <c r="B283" t="s">
        <v>29</v>
      </c>
      <c r="C283" t="s">
        <v>32</v>
      </c>
      <c r="D283">
        <v>121</v>
      </c>
      <c r="E283">
        <v>96</v>
      </c>
      <c r="F283">
        <v>157.4</v>
      </c>
      <c r="G283">
        <v>147</v>
      </c>
      <c r="H283">
        <v>23</v>
      </c>
      <c r="I283" t="s">
        <v>21</v>
      </c>
      <c r="J283" s="6">
        <v>45576</v>
      </c>
      <c r="K283">
        <f>Table1[[#This Row],[Stock_Level]]*Table1[[#This Row],[Unit_Cost]]</f>
        <v>19045.400000000001</v>
      </c>
      <c r="L283">
        <f t="shared" si="4"/>
        <v>0</v>
      </c>
      <c r="M283" s="7">
        <f ca="1">_xlfn.DAYS(TODAY(),Table1[[#This Row],[Last_Stocked_Date]])</f>
        <v>504</v>
      </c>
    </row>
    <row r="284" spans="1:13" x14ac:dyDescent="0.45">
      <c r="A284" t="s">
        <v>355</v>
      </c>
      <c r="B284" t="s">
        <v>19</v>
      </c>
      <c r="C284" t="s">
        <v>16</v>
      </c>
      <c r="D284">
        <v>358</v>
      </c>
      <c r="E284">
        <v>120</v>
      </c>
      <c r="F284">
        <v>419.58</v>
      </c>
      <c r="G284">
        <v>79</v>
      </c>
      <c r="H284">
        <v>14</v>
      </c>
      <c r="I284" t="s">
        <v>26</v>
      </c>
      <c r="J284" s="6">
        <v>45577</v>
      </c>
      <c r="K284">
        <f>Table1[[#This Row],[Stock_Level]]*Table1[[#This Row],[Unit_Cost]]</f>
        <v>150209.63999999998</v>
      </c>
      <c r="L284">
        <f t="shared" si="4"/>
        <v>0</v>
      </c>
      <c r="M284" s="7">
        <f ca="1">_xlfn.DAYS(TODAY(),Table1[[#This Row],[Last_Stocked_Date]])</f>
        <v>503</v>
      </c>
    </row>
    <row r="285" spans="1:13" x14ac:dyDescent="0.45">
      <c r="A285" t="s">
        <v>356</v>
      </c>
      <c r="B285" t="s">
        <v>15</v>
      </c>
      <c r="C285" t="s">
        <v>20</v>
      </c>
      <c r="D285">
        <v>219</v>
      </c>
      <c r="E285">
        <v>132</v>
      </c>
      <c r="F285">
        <v>309.17</v>
      </c>
      <c r="G285">
        <v>70</v>
      </c>
      <c r="H285">
        <v>20</v>
      </c>
      <c r="I285" t="s">
        <v>21</v>
      </c>
      <c r="J285" s="6">
        <v>45578</v>
      </c>
      <c r="K285">
        <f>Table1[[#This Row],[Stock_Level]]*Table1[[#This Row],[Unit_Cost]]</f>
        <v>67708.23000000001</v>
      </c>
      <c r="L285">
        <f t="shared" si="4"/>
        <v>0</v>
      </c>
      <c r="M285" s="7">
        <f ca="1">_xlfn.DAYS(TODAY(),Table1[[#This Row],[Last_Stocked_Date]])</f>
        <v>502</v>
      </c>
    </row>
    <row r="286" spans="1:13" x14ac:dyDescent="0.45">
      <c r="A286" t="s">
        <v>358</v>
      </c>
      <c r="B286" t="s">
        <v>15</v>
      </c>
      <c r="C286" t="s">
        <v>32</v>
      </c>
      <c r="D286">
        <v>105</v>
      </c>
      <c r="E286">
        <v>135</v>
      </c>
      <c r="F286">
        <v>292.69</v>
      </c>
      <c r="G286">
        <v>77</v>
      </c>
      <c r="H286">
        <v>4</v>
      </c>
      <c r="I286" t="s">
        <v>26</v>
      </c>
      <c r="J286" s="6">
        <v>45579</v>
      </c>
      <c r="K286">
        <f>Table1[[#This Row],[Stock_Level]]*Table1[[#This Row],[Unit_Cost]]</f>
        <v>30732.45</v>
      </c>
      <c r="L286">
        <f t="shared" si="4"/>
        <v>1</v>
      </c>
      <c r="M286" s="7">
        <f ca="1">_xlfn.DAYS(TODAY(),Table1[[#This Row],[Last_Stocked_Date]])</f>
        <v>501</v>
      </c>
    </row>
    <row r="287" spans="1:13" x14ac:dyDescent="0.45">
      <c r="A287" t="s">
        <v>360</v>
      </c>
      <c r="B287" t="s">
        <v>29</v>
      </c>
      <c r="C287" t="s">
        <v>16</v>
      </c>
      <c r="D287">
        <v>374</v>
      </c>
      <c r="E287">
        <v>112</v>
      </c>
      <c r="F287">
        <v>130.55000000000001</v>
      </c>
      <c r="G287">
        <v>42</v>
      </c>
      <c r="H287">
        <v>27</v>
      </c>
      <c r="I287" t="s">
        <v>17</v>
      </c>
      <c r="J287" s="6">
        <v>45580</v>
      </c>
      <c r="K287">
        <f>Table1[[#This Row],[Stock_Level]]*Table1[[#This Row],[Unit_Cost]]</f>
        <v>48825.700000000004</v>
      </c>
      <c r="L287">
        <f t="shared" si="4"/>
        <v>0</v>
      </c>
      <c r="M287" s="7">
        <f ca="1">_xlfn.DAYS(TODAY(),Table1[[#This Row],[Last_Stocked_Date]])</f>
        <v>500</v>
      </c>
    </row>
    <row r="288" spans="1:13" x14ac:dyDescent="0.45">
      <c r="A288" t="s">
        <v>361</v>
      </c>
      <c r="B288" t="s">
        <v>29</v>
      </c>
      <c r="C288" t="s">
        <v>32</v>
      </c>
      <c r="D288">
        <v>69</v>
      </c>
      <c r="E288">
        <v>106</v>
      </c>
      <c r="F288">
        <v>379.39</v>
      </c>
      <c r="G288">
        <v>153</v>
      </c>
      <c r="H288">
        <v>9</v>
      </c>
      <c r="I288" t="s">
        <v>26</v>
      </c>
      <c r="J288" s="6">
        <v>45581</v>
      </c>
      <c r="K288">
        <f>Table1[[#This Row],[Stock_Level]]*Table1[[#This Row],[Unit_Cost]]</f>
        <v>26177.91</v>
      </c>
      <c r="L288">
        <f t="shared" si="4"/>
        <v>1</v>
      </c>
      <c r="M288" s="7">
        <f ca="1">_xlfn.DAYS(TODAY(),Table1[[#This Row],[Last_Stocked_Date]])</f>
        <v>499</v>
      </c>
    </row>
    <row r="289" spans="1:13" x14ac:dyDescent="0.45">
      <c r="A289" t="s">
        <v>362</v>
      </c>
      <c r="B289" t="s">
        <v>19</v>
      </c>
      <c r="C289" t="s">
        <v>32</v>
      </c>
      <c r="D289">
        <v>194</v>
      </c>
      <c r="E289">
        <v>104</v>
      </c>
      <c r="F289">
        <v>45.43</v>
      </c>
      <c r="G289">
        <v>89</v>
      </c>
      <c r="H289">
        <v>28</v>
      </c>
      <c r="I289" t="s">
        <v>21</v>
      </c>
      <c r="J289" s="6">
        <v>45582</v>
      </c>
      <c r="K289">
        <f>Table1[[#This Row],[Stock_Level]]*Table1[[#This Row],[Unit_Cost]]</f>
        <v>8813.42</v>
      </c>
      <c r="L289">
        <f t="shared" si="4"/>
        <v>0</v>
      </c>
      <c r="M289" s="7">
        <f ca="1">_xlfn.DAYS(TODAY(),Table1[[#This Row],[Last_Stocked_Date]])</f>
        <v>498</v>
      </c>
    </row>
    <row r="290" spans="1:13" x14ac:dyDescent="0.45">
      <c r="A290" t="s">
        <v>363</v>
      </c>
      <c r="B290" t="s">
        <v>24</v>
      </c>
      <c r="C290" t="s">
        <v>32</v>
      </c>
      <c r="D290">
        <v>185</v>
      </c>
      <c r="E290">
        <v>109</v>
      </c>
      <c r="F290">
        <v>462.52</v>
      </c>
      <c r="G290">
        <v>77</v>
      </c>
      <c r="H290">
        <v>27</v>
      </c>
      <c r="I290" t="s">
        <v>26</v>
      </c>
      <c r="J290" s="6">
        <v>45583</v>
      </c>
      <c r="K290">
        <f>Table1[[#This Row],[Stock_Level]]*Table1[[#This Row],[Unit_Cost]]</f>
        <v>85566.2</v>
      </c>
      <c r="L290">
        <f t="shared" si="4"/>
        <v>0</v>
      </c>
      <c r="M290" s="7">
        <f ca="1">_xlfn.DAYS(TODAY(),Table1[[#This Row],[Last_Stocked_Date]])</f>
        <v>497</v>
      </c>
    </row>
    <row r="291" spans="1:13" x14ac:dyDescent="0.45">
      <c r="A291" t="s">
        <v>365</v>
      </c>
      <c r="B291" t="s">
        <v>29</v>
      </c>
      <c r="C291" t="s">
        <v>32</v>
      </c>
      <c r="D291">
        <v>98</v>
      </c>
      <c r="E291">
        <v>148</v>
      </c>
      <c r="F291">
        <v>166.28</v>
      </c>
      <c r="G291">
        <v>198</v>
      </c>
      <c r="H291">
        <v>27</v>
      </c>
      <c r="I291" t="s">
        <v>17</v>
      </c>
      <c r="J291" s="6">
        <v>45584</v>
      </c>
      <c r="K291">
        <f>Table1[[#This Row],[Stock_Level]]*Table1[[#This Row],[Unit_Cost]]</f>
        <v>16295.44</v>
      </c>
      <c r="L291">
        <f t="shared" si="4"/>
        <v>1</v>
      </c>
      <c r="M291" s="7">
        <f ca="1">_xlfn.DAYS(TODAY(),Table1[[#This Row],[Last_Stocked_Date]])</f>
        <v>496</v>
      </c>
    </row>
    <row r="292" spans="1:13" x14ac:dyDescent="0.45">
      <c r="A292" t="s">
        <v>366</v>
      </c>
      <c r="B292" t="s">
        <v>24</v>
      </c>
      <c r="C292" t="s">
        <v>32</v>
      </c>
      <c r="D292">
        <v>81</v>
      </c>
      <c r="E292">
        <v>111</v>
      </c>
      <c r="F292">
        <v>68.25</v>
      </c>
      <c r="G292">
        <v>160</v>
      </c>
      <c r="H292">
        <v>13</v>
      </c>
      <c r="I292" t="s">
        <v>26</v>
      </c>
      <c r="J292" s="6">
        <v>45585</v>
      </c>
      <c r="K292">
        <f>Table1[[#This Row],[Stock_Level]]*Table1[[#This Row],[Unit_Cost]]</f>
        <v>5528.25</v>
      </c>
      <c r="L292">
        <f t="shared" si="4"/>
        <v>1</v>
      </c>
      <c r="M292" s="7">
        <f ca="1">_xlfn.DAYS(TODAY(),Table1[[#This Row],[Last_Stocked_Date]])</f>
        <v>495</v>
      </c>
    </row>
    <row r="293" spans="1:13" x14ac:dyDescent="0.45">
      <c r="A293" t="s">
        <v>367</v>
      </c>
      <c r="B293" t="s">
        <v>19</v>
      </c>
      <c r="C293" t="s">
        <v>16</v>
      </c>
      <c r="D293">
        <v>74</v>
      </c>
      <c r="E293">
        <v>79</v>
      </c>
      <c r="F293">
        <v>223.97</v>
      </c>
      <c r="G293">
        <v>25</v>
      </c>
      <c r="H293">
        <v>3</v>
      </c>
      <c r="I293" t="s">
        <v>21</v>
      </c>
      <c r="J293" s="6">
        <v>45586</v>
      </c>
      <c r="K293">
        <f>Table1[[#This Row],[Stock_Level]]*Table1[[#This Row],[Unit_Cost]]</f>
        <v>16573.78</v>
      </c>
      <c r="L293">
        <f t="shared" si="4"/>
        <v>1</v>
      </c>
      <c r="M293" s="7">
        <f ca="1">_xlfn.DAYS(TODAY(),Table1[[#This Row],[Last_Stocked_Date]])</f>
        <v>494</v>
      </c>
    </row>
    <row r="294" spans="1:13" x14ac:dyDescent="0.45">
      <c r="A294" t="s">
        <v>368</v>
      </c>
      <c r="B294" t="s">
        <v>24</v>
      </c>
      <c r="C294" t="s">
        <v>20</v>
      </c>
      <c r="D294">
        <v>373</v>
      </c>
      <c r="E294">
        <v>142</v>
      </c>
      <c r="F294">
        <v>26.02</v>
      </c>
      <c r="G294">
        <v>120</v>
      </c>
      <c r="H294">
        <v>12</v>
      </c>
      <c r="I294" t="s">
        <v>21</v>
      </c>
      <c r="J294" s="6">
        <v>45587</v>
      </c>
      <c r="K294">
        <f>Table1[[#This Row],[Stock_Level]]*Table1[[#This Row],[Unit_Cost]]</f>
        <v>9705.4599999999991</v>
      </c>
      <c r="L294">
        <f t="shared" si="4"/>
        <v>0</v>
      </c>
      <c r="M294" s="7">
        <f ca="1">_xlfn.DAYS(TODAY(),Table1[[#This Row],[Last_Stocked_Date]])</f>
        <v>493</v>
      </c>
    </row>
    <row r="295" spans="1:13" x14ac:dyDescent="0.45">
      <c r="A295" t="s">
        <v>369</v>
      </c>
      <c r="B295" t="s">
        <v>15</v>
      </c>
      <c r="C295" t="s">
        <v>20</v>
      </c>
      <c r="D295">
        <v>339</v>
      </c>
      <c r="E295">
        <v>71</v>
      </c>
      <c r="F295">
        <v>343.89</v>
      </c>
      <c r="G295">
        <v>44</v>
      </c>
      <c r="H295">
        <v>13</v>
      </c>
      <c r="I295" t="s">
        <v>17</v>
      </c>
      <c r="J295" s="6">
        <v>45588</v>
      </c>
      <c r="K295">
        <f>Table1[[#This Row],[Stock_Level]]*Table1[[#This Row],[Unit_Cost]]</f>
        <v>116578.70999999999</v>
      </c>
      <c r="L295">
        <f t="shared" si="4"/>
        <v>0</v>
      </c>
      <c r="M295" s="7">
        <f ca="1">_xlfn.DAYS(TODAY(),Table1[[#This Row],[Last_Stocked_Date]])</f>
        <v>492</v>
      </c>
    </row>
    <row r="296" spans="1:13" x14ac:dyDescent="0.45">
      <c r="A296" t="s">
        <v>370</v>
      </c>
      <c r="B296" t="s">
        <v>24</v>
      </c>
      <c r="C296" t="s">
        <v>20</v>
      </c>
      <c r="D296">
        <v>191</v>
      </c>
      <c r="E296">
        <v>124</v>
      </c>
      <c r="F296">
        <v>451.84</v>
      </c>
      <c r="G296">
        <v>62</v>
      </c>
      <c r="H296">
        <v>29</v>
      </c>
      <c r="I296" t="s">
        <v>21</v>
      </c>
      <c r="J296" s="6">
        <v>45589</v>
      </c>
      <c r="K296">
        <f>Table1[[#This Row],[Stock_Level]]*Table1[[#This Row],[Unit_Cost]]</f>
        <v>86301.440000000002</v>
      </c>
      <c r="L296">
        <f t="shared" si="4"/>
        <v>0</v>
      </c>
      <c r="M296" s="7">
        <f ca="1">_xlfn.DAYS(TODAY(),Table1[[#This Row],[Last_Stocked_Date]])</f>
        <v>491</v>
      </c>
    </row>
    <row r="297" spans="1:13" x14ac:dyDescent="0.45">
      <c r="A297" t="s">
        <v>371</v>
      </c>
      <c r="B297" t="s">
        <v>19</v>
      </c>
      <c r="C297" t="s">
        <v>20</v>
      </c>
      <c r="D297">
        <v>324</v>
      </c>
      <c r="E297">
        <v>133</v>
      </c>
      <c r="F297">
        <v>419.45</v>
      </c>
      <c r="G297">
        <v>194</v>
      </c>
      <c r="H297">
        <v>19</v>
      </c>
      <c r="I297" t="s">
        <v>26</v>
      </c>
      <c r="J297" s="6">
        <v>45590</v>
      </c>
      <c r="K297">
        <f>Table1[[#This Row],[Stock_Level]]*Table1[[#This Row],[Unit_Cost]]</f>
        <v>135901.79999999999</v>
      </c>
      <c r="L297">
        <f t="shared" si="4"/>
        <v>0</v>
      </c>
      <c r="M297" s="7">
        <f ca="1">_xlfn.DAYS(TODAY(),Table1[[#This Row],[Last_Stocked_Date]])</f>
        <v>490</v>
      </c>
    </row>
    <row r="298" spans="1:13" x14ac:dyDescent="0.45">
      <c r="A298" t="s">
        <v>372</v>
      </c>
      <c r="B298" t="s">
        <v>19</v>
      </c>
      <c r="C298" t="s">
        <v>16</v>
      </c>
      <c r="D298">
        <v>466</v>
      </c>
      <c r="E298">
        <v>78</v>
      </c>
      <c r="F298">
        <v>68.05</v>
      </c>
      <c r="G298">
        <v>179</v>
      </c>
      <c r="H298">
        <v>14</v>
      </c>
      <c r="I298" t="s">
        <v>26</v>
      </c>
      <c r="J298" s="6">
        <v>45591</v>
      </c>
      <c r="K298">
        <f>Table1[[#This Row],[Stock_Level]]*Table1[[#This Row],[Unit_Cost]]</f>
        <v>31711.3</v>
      </c>
      <c r="L298">
        <f t="shared" si="4"/>
        <v>0</v>
      </c>
      <c r="M298" s="7">
        <f ca="1">_xlfn.DAYS(TODAY(),Table1[[#This Row],[Last_Stocked_Date]])</f>
        <v>489</v>
      </c>
    </row>
    <row r="299" spans="1:13" x14ac:dyDescent="0.45">
      <c r="A299" t="s">
        <v>373</v>
      </c>
      <c r="B299" t="s">
        <v>19</v>
      </c>
      <c r="C299" t="s">
        <v>25</v>
      </c>
      <c r="D299">
        <v>213</v>
      </c>
      <c r="E299">
        <v>90</v>
      </c>
      <c r="F299">
        <v>67.5</v>
      </c>
      <c r="G299">
        <v>67</v>
      </c>
      <c r="H299">
        <v>6</v>
      </c>
      <c r="I299" t="s">
        <v>26</v>
      </c>
      <c r="J299" s="6">
        <v>45592</v>
      </c>
      <c r="K299">
        <f>Table1[[#This Row],[Stock_Level]]*Table1[[#This Row],[Unit_Cost]]</f>
        <v>14377.5</v>
      </c>
      <c r="L299">
        <f t="shared" si="4"/>
        <v>0</v>
      </c>
      <c r="M299" s="7">
        <f ca="1">_xlfn.DAYS(TODAY(),Table1[[#This Row],[Last_Stocked_Date]])</f>
        <v>488</v>
      </c>
    </row>
    <row r="300" spans="1:13" x14ac:dyDescent="0.45">
      <c r="A300" t="s">
        <v>374</v>
      </c>
      <c r="B300" t="s">
        <v>24</v>
      </c>
      <c r="C300" t="s">
        <v>25</v>
      </c>
      <c r="D300">
        <v>314</v>
      </c>
      <c r="E300">
        <v>91</v>
      </c>
      <c r="F300">
        <v>407.65</v>
      </c>
      <c r="G300">
        <v>153</v>
      </c>
      <c r="H300">
        <v>23</v>
      </c>
      <c r="I300" t="s">
        <v>21</v>
      </c>
      <c r="J300" s="6">
        <v>45593</v>
      </c>
      <c r="K300">
        <f>Table1[[#This Row],[Stock_Level]]*Table1[[#This Row],[Unit_Cost]]</f>
        <v>128002.09999999999</v>
      </c>
      <c r="L300">
        <f t="shared" si="4"/>
        <v>0</v>
      </c>
      <c r="M300" s="7">
        <f ca="1">_xlfn.DAYS(TODAY(),Table1[[#This Row],[Last_Stocked_Date]])</f>
        <v>487</v>
      </c>
    </row>
    <row r="301" spans="1:13" x14ac:dyDescent="0.45">
      <c r="A301" t="s">
        <v>375</v>
      </c>
      <c r="B301" t="s">
        <v>15</v>
      </c>
      <c r="C301" t="s">
        <v>16</v>
      </c>
      <c r="D301">
        <v>443</v>
      </c>
      <c r="E301">
        <v>147</v>
      </c>
      <c r="F301">
        <v>462.51</v>
      </c>
      <c r="G301">
        <v>1</v>
      </c>
      <c r="H301">
        <v>13</v>
      </c>
      <c r="I301" t="s">
        <v>26</v>
      </c>
      <c r="J301" s="6">
        <v>45594</v>
      </c>
      <c r="K301">
        <f>Table1[[#This Row],[Stock_Level]]*Table1[[#This Row],[Unit_Cost]]</f>
        <v>204891.93</v>
      </c>
      <c r="L301">
        <f t="shared" si="4"/>
        <v>0</v>
      </c>
      <c r="M301" s="7">
        <f ca="1">_xlfn.DAYS(TODAY(),Table1[[#This Row],[Last_Stocked_Date]])</f>
        <v>486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7" sqref="B17"/>
    </sheetView>
  </sheetViews>
  <sheetFormatPr defaultRowHeight="14.25" x14ac:dyDescent="0.45"/>
  <cols>
    <col min="1" max="1" width="11.53125" bestFit="1" customWidth="1"/>
    <col min="2" max="2" width="76.39843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 t="s">
        <v>377</v>
      </c>
    </row>
    <row r="3" spans="1:2" x14ac:dyDescent="0.45">
      <c r="A3">
        <v>2</v>
      </c>
      <c r="B3" t="s">
        <v>378</v>
      </c>
    </row>
    <row r="4" spans="1:2" x14ac:dyDescent="0.45">
      <c r="A4">
        <v>3</v>
      </c>
      <c r="B4" t="s">
        <v>379</v>
      </c>
    </row>
    <row r="5" spans="1:2" x14ac:dyDescent="0.45">
      <c r="A5">
        <v>4</v>
      </c>
      <c r="B5" t="s">
        <v>380</v>
      </c>
    </row>
    <row r="6" spans="1:2" x14ac:dyDescent="0.45">
      <c r="A6">
        <v>5</v>
      </c>
      <c r="B6" t="s">
        <v>381</v>
      </c>
    </row>
    <row r="7" spans="1:2" x14ac:dyDescent="0.45">
      <c r="A7">
        <v>6</v>
      </c>
      <c r="B7" t="s">
        <v>382</v>
      </c>
    </row>
    <row r="8" spans="1:2" x14ac:dyDescent="0.45">
      <c r="A8">
        <v>7</v>
      </c>
      <c r="B8" t="s">
        <v>383</v>
      </c>
    </row>
    <row r="9" spans="1:2" x14ac:dyDescent="0.45">
      <c r="A9">
        <v>8</v>
      </c>
      <c r="B9" t="s">
        <v>384</v>
      </c>
    </row>
    <row r="10" spans="1:2" x14ac:dyDescent="0.45">
      <c r="A10">
        <v>9</v>
      </c>
      <c r="B10" t="s">
        <v>385</v>
      </c>
    </row>
    <row r="11" spans="1:2" x14ac:dyDescent="0.45">
      <c r="A11">
        <v>10</v>
      </c>
      <c r="B11" t="s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1"/>
  <sheetViews>
    <sheetView workbookViewId="0">
      <selection activeCell="M13" sqref="M13"/>
    </sheetView>
  </sheetViews>
  <sheetFormatPr defaultRowHeight="14.25" x14ac:dyDescent="0.45"/>
  <cols>
    <col min="1" max="1" width="15.6640625" bestFit="1" customWidth="1"/>
    <col min="2" max="2" width="10.9296875" customWidth="1"/>
    <col min="3" max="3" width="12.86328125" customWidth="1"/>
    <col min="4" max="4" width="13.33203125" customWidth="1"/>
    <col min="6" max="6" width="11.73046875" customWidth="1"/>
    <col min="7" max="7" width="9.9296875" customWidth="1"/>
    <col min="8" max="8" width="12.19921875" customWidth="1"/>
    <col min="9" max="9" width="23.3984375" customWidth="1"/>
    <col min="10" max="10" width="15.46484375" customWidth="1"/>
  </cols>
  <sheetData>
    <row r="1" spans="1:10" x14ac:dyDescent="0.45">
      <c r="A1" s="2" t="s">
        <v>387</v>
      </c>
      <c r="B1" s="2" t="s">
        <v>388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  <c r="J1" s="2" t="s">
        <v>396</v>
      </c>
    </row>
    <row r="2" spans="1:10" x14ac:dyDescent="0.45">
      <c r="A2" t="s">
        <v>397</v>
      </c>
      <c r="B2" t="s">
        <v>398</v>
      </c>
      <c r="C2" t="s">
        <v>399</v>
      </c>
      <c r="D2">
        <v>399</v>
      </c>
      <c r="E2" t="s">
        <v>400</v>
      </c>
      <c r="F2" t="s">
        <v>401</v>
      </c>
      <c r="G2" t="s">
        <v>402</v>
      </c>
      <c r="I2">
        <v>2</v>
      </c>
      <c r="J2" t="s">
        <v>403</v>
      </c>
    </row>
    <row r="3" spans="1:10" x14ac:dyDescent="0.45">
      <c r="A3" t="s">
        <v>404</v>
      </c>
      <c r="B3" t="s">
        <v>398</v>
      </c>
      <c r="C3" t="s">
        <v>405</v>
      </c>
      <c r="D3">
        <v>199</v>
      </c>
      <c r="E3" t="s">
        <v>406</v>
      </c>
      <c r="F3" t="s">
        <v>407</v>
      </c>
      <c r="G3" t="s">
        <v>408</v>
      </c>
      <c r="I3">
        <v>0</v>
      </c>
      <c r="J3" t="s">
        <v>409</v>
      </c>
    </row>
    <row r="4" spans="1:10" x14ac:dyDescent="0.45">
      <c r="A4" t="s">
        <v>410</v>
      </c>
      <c r="B4" t="s">
        <v>411</v>
      </c>
      <c r="C4" t="s">
        <v>412</v>
      </c>
      <c r="D4">
        <v>199</v>
      </c>
      <c r="E4" t="s">
        <v>413</v>
      </c>
      <c r="F4" t="s">
        <v>401</v>
      </c>
      <c r="G4" t="s">
        <v>402</v>
      </c>
      <c r="H4" t="s">
        <v>322</v>
      </c>
      <c r="I4">
        <v>1</v>
      </c>
      <c r="J4" t="s">
        <v>414</v>
      </c>
    </row>
    <row r="5" spans="1:10" x14ac:dyDescent="0.45">
      <c r="A5" t="s">
        <v>415</v>
      </c>
      <c r="B5" t="s">
        <v>416</v>
      </c>
      <c r="C5" t="s">
        <v>417</v>
      </c>
      <c r="D5">
        <v>799</v>
      </c>
      <c r="E5" t="s">
        <v>413</v>
      </c>
      <c r="F5" t="s">
        <v>407</v>
      </c>
      <c r="G5" t="s">
        <v>402</v>
      </c>
      <c r="I5">
        <v>4</v>
      </c>
      <c r="J5" t="s">
        <v>418</v>
      </c>
    </row>
    <row r="6" spans="1:10" x14ac:dyDescent="0.45">
      <c r="A6" t="s">
        <v>419</v>
      </c>
      <c r="B6" t="s">
        <v>416</v>
      </c>
      <c r="C6" t="s">
        <v>420</v>
      </c>
      <c r="D6">
        <v>199</v>
      </c>
      <c r="E6" t="s">
        <v>406</v>
      </c>
      <c r="F6" t="s">
        <v>421</v>
      </c>
      <c r="G6" t="s">
        <v>402</v>
      </c>
      <c r="I6">
        <v>0</v>
      </c>
      <c r="J6" t="s">
        <v>418</v>
      </c>
    </row>
    <row r="7" spans="1:10" x14ac:dyDescent="0.45">
      <c r="A7" t="s">
        <v>422</v>
      </c>
      <c r="B7" t="s">
        <v>416</v>
      </c>
      <c r="C7" t="s">
        <v>423</v>
      </c>
      <c r="D7">
        <v>799</v>
      </c>
      <c r="E7" t="s">
        <v>400</v>
      </c>
      <c r="F7" t="s">
        <v>421</v>
      </c>
      <c r="G7" t="s">
        <v>402</v>
      </c>
      <c r="I7">
        <v>1</v>
      </c>
      <c r="J7" t="s">
        <v>403</v>
      </c>
    </row>
    <row r="8" spans="1:10" x14ac:dyDescent="0.45">
      <c r="A8" t="s">
        <v>424</v>
      </c>
      <c r="B8" t="s">
        <v>411</v>
      </c>
      <c r="C8" t="s">
        <v>179</v>
      </c>
      <c r="D8">
        <v>199</v>
      </c>
      <c r="E8" t="s">
        <v>406</v>
      </c>
      <c r="F8" t="s">
        <v>421</v>
      </c>
      <c r="G8" t="s">
        <v>408</v>
      </c>
      <c r="I8">
        <v>0</v>
      </c>
      <c r="J8" t="s">
        <v>409</v>
      </c>
    </row>
    <row r="9" spans="1:10" x14ac:dyDescent="0.45">
      <c r="A9" t="s">
        <v>425</v>
      </c>
      <c r="B9" t="s">
        <v>416</v>
      </c>
      <c r="C9" t="s">
        <v>426</v>
      </c>
      <c r="D9">
        <v>799</v>
      </c>
      <c r="E9" t="s">
        <v>427</v>
      </c>
      <c r="F9" t="s">
        <v>421</v>
      </c>
      <c r="G9" t="s">
        <v>402</v>
      </c>
      <c r="I9">
        <v>2</v>
      </c>
      <c r="J9" t="s">
        <v>428</v>
      </c>
    </row>
    <row r="10" spans="1:10" x14ac:dyDescent="0.45">
      <c r="A10" t="s">
        <v>429</v>
      </c>
      <c r="B10" t="s">
        <v>411</v>
      </c>
      <c r="C10" t="s">
        <v>430</v>
      </c>
      <c r="D10">
        <v>199</v>
      </c>
      <c r="E10" t="s">
        <v>413</v>
      </c>
      <c r="F10" t="s">
        <v>431</v>
      </c>
      <c r="G10" t="s">
        <v>402</v>
      </c>
      <c r="I10">
        <v>4</v>
      </c>
      <c r="J10" t="s">
        <v>414</v>
      </c>
    </row>
    <row r="11" spans="1:10" x14ac:dyDescent="0.45">
      <c r="A11" t="s">
        <v>432</v>
      </c>
      <c r="B11" t="s">
        <v>411</v>
      </c>
      <c r="C11" t="s">
        <v>433</v>
      </c>
      <c r="D11">
        <v>199</v>
      </c>
      <c r="E11" t="s">
        <v>434</v>
      </c>
      <c r="F11" t="s">
        <v>431</v>
      </c>
      <c r="G11" t="s">
        <v>402</v>
      </c>
      <c r="H11" t="s">
        <v>280</v>
      </c>
      <c r="I11">
        <v>3</v>
      </c>
      <c r="J11" t="s">
        <v>403</v>
      </c>
    </row>
    <row r="12" spans="1:10" x14ac:dyDescent="0.45">
      <c r="A12" t="s">
        <v>435</v>
      </c>
      <c r="B12" t="s">
        <v>416</v>
      </c>
      <c r="C12" t="s">
        <v>436</v>
      </c>
      <c r="D12">
        <v>799</v>
      </c>
      <c r="E12" t="s">
        <v>427</v>
      </c>
      <c r="F12" t="s">
        <v>407</v>
      </c>
      <c r="G12" t="s">
        <v>402</v>
      </c>
      <c r="I12">
        <v>0</v>
      </c>
      <c r="J12" t="s">
        <v>418</v>
      </c>
    </row>
    <row r="13" spans="1:10" x14ac:dyDescent="0.45">
      <c r="A13" t="s">
        <v>437</v>
      </c>
      <c r="B13" t="s">
        <v>398</v>
      </c>
      <c r="C13" t="s">
        <v>438</v>
      </c>
      <c r="D13">
        <v>399</v>
      </c>
      <c r="E13" t="s">
        <v>427</v>
      </c>
      <c r="F13" t="s">
        <v>407</v>
      </c>
      <c r="G13" t="s">
        <v>402</v>
      </c>
      <c r="I13">
        <v>1</v>
      </c>
      <c r="J13" t="s">
        <v>409</v>
      </c>
    </row>
    <row r="14" spans="1:10" x14ac:dyDescent="0.45">
      <c r="A14" t="s">
        <v>439</v>
      </c>
      <c r="B14" t="s">
        <v>398</v>
      </c>
      <c r="C14" t="s">
        <v>440</v>
      </c>
      <c r="D14">
        <v>399</v>
      </c>
      <c r="E14" t="s">
        <v>406</v>
      </c>
      <c r="F14" t="s">
        <v>421</v>
      </c>
      <c r="G14" t="s">
        <v>408</v>
      </c>
      <c r="H14" t="s">
        <v>441</v>
      </c>
      <c r="I14">
        <v>0</v>
      </c>
      <c r="J14" t="s">
        <v>409</v>
      </c>
    </row>
    <row r="15" spans="1:10" x14ac:dyDescent="0.45">
      <c r="A15" t="s">
        <v>442</v>
      </c>
      <c r="B15" t="s">
        <v>416</v>
      </c>
      <c r="C15" t="s">
        <v>443</v>
      </c>
      <c r="D15">
        <v>199</v>
      </c>
      <c r="E15" t="s">
        <v>400</v>
      </c>
      <c r="F15" t="s">
        <v>401</v>
      </c>
      <c r="G15" t="s">
        <v>408</v>
      </c>
      <c r="I15">
        <v>1</v>
      </c>
      <c r="J15" t="s">
        <v>403</v>
      </c>
    </row>
    <row r="16" spans="1:10" x14ac:dyDescent="0.45">
      <c r="A16" t="s">
        <v>444</v>
      </c>
      <c r="B16" t="s">
        <v>416</v>
      </c>
      <c r="C16" t="s">
        <v>296</v>
      </c>
      <c r="D16">
        <v>799</v>
      </c>
      <c r="E16" t="s">
        <v>413</v>
      </c>
      <c r="F16" t="s">
        <v>421</v>
      </c>
      <c r="G16" t="s">
        <v>402</v>
      </c>
      <c r="I16">
        <v>3</v>
      </c>
      <c r="J16" t="s">
        <v>428</v>
      </c>
    </row>
    <row r="17" spans="1:10" x14ac:dyDescent="0.45">
      <c r="A17" t="s">
        <v>445</v>
      </c>
      <c r="B17" t="s">
        <v>411</v>
      </c>
      <c r="C17" t="s">
        <v>110</v>
      </c>
      <c r="D17">
        <v>399</v>
      </c>
      <c r="E17" t="s">
        <v>434</v>
      </c>
      <c r="F17" t="s">
        <v>407</v>
      </c>
      <c r="G17" t="s">
        <v>402</v>
      </c>
      <c r="I17">
        <v>0</v>
      </c>
      <c r="J17" t="s">
        <v>418</v>
      </c>
    </row>
    <row r="18" spans="1:10" x14ac:dyDescent="0.45">
      <c r="A18" t="s">
        <v>446</v>
      </c>
      <c r="B18" t="s">
        <v>416</v>
      </c>
      <c r="C18" t="s">
        <v>447</v>
      </c>
      <c r="D18">
        <v>799</v>
      </c>
      <c r="E18" t="s">
        <v>427</v>
      </c>
      <c r="F18" t="s">
        <v>421</v>
      </c>
      <c r="G18" t="s">
        <v>402</v>
      </c>
      <c r="I18">
        <v>3</v>
      </c>
      <c r="J18" t="s">
        <v>403</v>
      </c>
    </row>
    <row r="19" spans="1:10" x14ac:dyDescent="0.45">
      <c r="A19" t="s">
        <v>448</v>
      </c>
      <c r="B19" t="s">
        <v>411</v>
      </c>
      <c r="C19" t="s">
        <v>449</v>
      </c>
      <c r="D19">
        <v>399</v>
      </c>
      <c r="E19" t="s">
        <v>434</v>
      </c>
      <c r="F19" t="s">
        <v>407</v>
      </c>
      <c r="G19" t="s">
        <v>402</v>
      </c>
      <c r="H19" t="s">
        <v>450</v>
      </c>
      <c r="I19">
        <v>2</v>
      </c>
      <c r="J19" t="s">
        <v>428</v>
      </c>
    </row>
    <row r="20" spans="1:10" x14ac:dyDescent="0.45">
      <c r="A20" t="s">
        <v>451</v>
      </c>
      <c r="B20" t="s">
        <v>416</v>
      </c>
      <c r="C20" t="s">
        <v>452</v>
      </c>
      <c r="D20">
        <v>799</v>
      </c>
      <c r="E20" t="s">
        <v>400</v>
      </c>
      <c r="F20" t="s">
        <v>421</v>
      </c>
      <c r="G20" t="s">
        <v>402</v>
      </c>
      <c r="H20" t="s">
        <v>453</v>
      </c>
      <c r="I20">
        <v>2</v>
      </c>
      <c r="J20" t="s">
        <v>409</v>
      </c>
    </row>
    <row r="21" spans="1:10" x14ac:dyDescent="0.45">
      <c r="A21" t="s">
        <v>454</v>
      </c>
      <c r="B21" t="s">
        <v>398</v>
      </c>
      <c r="C21" t="s">
        <v>455</v>
      </c>
      <c r="D21">
        <v>199</v>
      </c>
      <c r="E21" t="s">
        <v>400</v>
      </c>
      <c r="F21" t="s">
        <v>401</v>
      </c>
      <c r="G21" t="s">
        <v>402</v>
      </c>
      <c r="I21">
        <v>1</v>
      </c>
      <c r="J21" t="s">
        <v>414</v>
      </c>
    </row>
    <row r="22" spans="1:10" x14ac:dyDescent="0.45">
      <c r="A22" t="s">
        <v>456</v>
      </c>
      <c r="B22" t="s">
        <v>398</v>
      </c>
      <c r="C22" t="s">
        <v>457</v>
      </c>
      <c r="D22">
        <v>799</v>
      </c>
      <c r="E22" t="s">
        <v>434</v>
      </c>
      <c r="F22" t="s">
        <v>421</v>
      </c>
      <c r="G22" t="s">
        <v>402</v>
      </c>
      <c r="I22">
        <v>2</v>
      </c>
      <c r="J22" t="s">
        <v>418</v>
      </c>
    </row>
    <row r="23" spans="1:10" x14ac:dyDescent="0.45">
      <c r="A23" t="s">
        <v>458</v>
      </c>
      <c r="B23" t="s">
        <v>416</v>
      </c>
      <c r="C23" t="s">
        <v>459</v>
      </c>
      <c r="D23">
        <v>399</v>
      </c>
      <c r="E23" t="s">
        <v>413</v>
      </c>
      <c r="F23" t="s">
        <v>401</v>
      </c>
      <c r="G23" t="s">
        <v>402</v>
      </c>
      <c r="I23">
        <v>1</v>
      </c>
      <c r="J23" t="s">
        <v>418</v>
      </c>
    </row>
    <row r="24" spans="1:10" x14ac:dyDescent="0.45">
      <c r="A24" t="s">
        <v>460</v>
      </c>
      <c r="B24" t="s">
        <v>411</v>
      </c>
      <c r="C24" t="s">
        <v>461</v>
      </c>
      <c r="D24">
        <v>199</v>
      </c>
      <c r="E24" t="s">
        <v>400</v>
      </c>
      <c r="F24" t="s">
        <v>401</v>
      </c>
      <c r="G24" t="s">
        <v>402</v>
      </c>
      <c r="I24">
        <v>1</v>
      </c>
      <c r="J24" t="s">
        <v>428</v>
      </c>
    </row>
    <row r="25" spans="1:10" x14ac:dyDescent="0.45">
      <c r="A25" t="s">
        <v>462</v>
      </c>
      <c r="B25" t="s">
        <v>398</v>
      </c>
      <c r="C25" t="s">
        <v>463</v>
      </c>
      <c r="D25">
        <v>799</v>
      </c>
      <c r="E25" t="s">
        <v>434</v>
      </c>
      <c r="F25" t="s">
        <v>407</v>
      </c>
      <c r="G25" t="s">
        <v>402</v>
      </c>
      <c r="I25">
        <v>6</v>
      </c>
      <c r="J25" t="s">
        <v>403</v>
      </c>
    </row>
    <row r="26" spans="1:10" x14ac:dyDescent="0.45">
      <c r="A26" t="s">
        <v>464</v>
      </c>
      <c r="B26" t="s">
        <v>411</v>
      </c>
      <c r="C26" t="s">
        <v>465</v>
      </c>
      <c r="D26">
        <v>399</v>
      </c>
      <c r="E26" t="s">
        <v>427</v>
      </c>
      <c r="F26" t="s">
        <v>401</v>
      </c>
      <c r="G26" t="s">
        <v>402</v>
      </c>
      <c r="I26">
        <v>2</v>
      </c>
      <c r="J26" t="s">
        <v>409</v>
      </c>
    </row>
    <row r="27" spans="1:10" x14ac:dyDescent="0.45">
      <c r="A27" t="s">
        <v>466</v>
      </c>
      <c r="B27" t="s">
        <v>416</v>
      </c>
      <c r="C27" t="s">
        <v>467</v>
      </c>
      <c r="D27">
        <v>199</v>
      </c>
      <c r="E27" t="s">
        <v>434</v>
      </c>
      <c r="F27" t="s">
        <v>431</v>
      </c>
      <c r="G27" t="s">
        <v>402</v>
      </c>
      <c r="I27">
        <v>1</v>
      </c>
      <c r="J27" t="s">
        <v>428</v>
      </c>
    </row>
    <row r="28" spans="1:10" x14ac:dyDescent="0.45">
      <c r="A28" t="s">
        <v>468</v>
      </c>
      <c r="B28" t="s">
        <v>416</v>
      </c>
      <c r="C28" t="s">
        <v>469</v>
      </c>
      <c r="D28">
        <v>799</v>
      </c>
      <c r="E28" t="s">
        <v>434</v>
      </c>
      <c r="F28" t="s">
        <v>431</v>
      </c>
      <c r="G28" t="s">
        <v>408</v>
      </c>
      <c r="I28">
        <v>2</v>
      </c>
      <c r="J28" t="s">
        <v>414</v>
      </c>
    </row>
    <row r="29" spans="1:10" x14ac:dyDescent="0.45">
      <c r="A29" t="s">
        <v>470</v>
      </c>
      <c r="B29" t="s">
        <v>398</v>
      </c>
      <c r="C29" t="s">
        <v>471</v>
      </c>
      <c r="D29">
        <v>399</v>
      </c>
      <c r="E29" t="s">
        <v>406</v>
      </c>
      <c r="F29" t="s">
        <v>431</v>
      </c>
      <c r="G29" t="s">
        <v>402</v>
      </c>
      <c r="I29">
        <v>0</v>
      </c>
      <c r="J29" t="s">
        <v>414</v>
      </c>
    </row>
    <row r="30" spans="1:10" x14ac:dyDescent="0.45">
      <c r="A30" t="s">
        <v>472</v>
      </c>
      <c r="B30" t="s">
        <v>416</v>
      </c>
      <c r="C30" t="s">
        <v>473</v>
      </c>
      <c r="D30">
        <v>799</v>
      </c>
      <c r="E30" t="s">
        <v>400</v>
      </c>
      <c r="F30" t="s">
        <v>407</v>
      </c>
      <c r="G30" t="s">
        <v>408</v>
      </c>
      <c r="H30" t="s">
        <v>474</v>
      </c>
      <c r="I30">
        <v>0</v>
      </c>
      <c r="J30" t="s">
        <v>414</v>
      </c>
    </row>
    <row r="31" spans="1:10" x14ac:dyDescent="0.45">
      <c r="A31" t="s">
        <v>475</v>
      </c>
      <c r="B31" t="s">
        <v>398</v>
      </c>
      <c r="C31" t="s">
        <v>476</v>
      </c>
      <c r="D31">
        <v>799</v>
      </c>
      <c r="E31" t="s">
        <v>413</v>
      </c>
      <c r="F31" t="s">
        <v>431</v>
      </c>
      <c r="G31" t="s">
        <v>402</v>
      </c>
      <c r="I31">
        <v>2</v>
      </c>
      <c r="J31" t="s">
        <v>428</v>
      </c>
    </row>
    <row r="32" spans="1:10" x14ac:dyDescent="0.45">
      <c r="A32" t="s">
        <v>477</v>
      </c>
      <c r="B32" t="s">
        <v>411</v>
      </c>
      <c r="C32" t="s">
        <v>478</v>
      </c>
      <c r="D32">
        <v>199</v>
      </c>
      <c r="E32" t="s">
        <v>413</v>
      </c>
      <c r="F32" t="s">
        <v>407</v>
      </c>
      <c r="G32" t="s">
        <v>402</v>
      </c>
      <c r="I32">
        <v>2</v>
      </c>
      <c r="J32" t="s">
        <v>409</v>
      </c>
    </row>
    <row r="33" spans="1:10" x14ac:dyDescent="0.45">
      <c r="A33" t="s">
        <v>479</v>
      </c>
      <c r="B33" t="s">
        <v>398</v>
      </c>
      <c r="C33" t="s">
        <v>480</v>
      </c>
      <c r="D33">
        <v>199</v>
      </c>
      <c r="E33" t="s">
        <v>406</v>
      </c>
      <c r="F33" t="s">
        <v>407</v>
      </c>
      <c r="G33" t="s">
        <v>402</v>
      </c>
      <c r="H33" t="s">
        <v>481</v>
      </c>
      <c r="I33">
        <v>1</v>
      </c>
      <c r="J33" t="s">
        <v>418</v>
      </c>
    </row>
    <row r="34" spans="1:10" x14ac:dyDescent="0.45">
      <c r="A34" t="s">
        <v>482</v>
      </c>
      <c r="B34" t="s">
        <v>398</v>
      </c>
      <c r="C34" t="s">
        <v>185</v>
      </c>
      <c r="D34">
        <v>399</v>
      </c>
      <c r="E34" t="s">
        <v>413</v>
      </c>
      <c r="F34" t="s">
        <v>431</v>
      </c>
      <c r="G34" t="s">
        <v>408</v>
      </c>
      <c r="I34">
        <v>0</v>
      </c>
      <c r="J34" t="s">
        <v>403</v>
      </c>
    </row>
    <row r="35" spans="1:10" x14ac:dyDescent="0.45">
      <c r="A35" t="s">
        <v>483</v>
      </c>
      <c r="B35" t="s">
        <v>411</v>
      </c>
      <c r="C35" t="s">
        <v>484</v>
      </c>
      <c r="D35">
        <v>199</v>
      </c>
      <c r="E35" t="s">
        <v>434</v>
      </c>
      <c r="F35" t="s">
        <v>401</v>
      </c>
      <c r="G35" t="s">
        <v>402</v>
      </c>
      <c r="I35">
        <v>1</v>
      </c>
      <c r="J35" t="s">
        <v>418</v>
      </c>
    </row>
    <row r="36" spans="1:10" x14ac:dyDescent="0.45">
      <c r="A36" t="s">
        <v>485</v>
      </c>
      <c r="B36" t="s">
        <v>398</v>
      </c>
      <c r="C36" t="s">
        <v>486</v>
      </c>
      <c r="D36">
        <v>399</v>
      </c>
      <c r="E36" t="s">
        <v>406</v>
      </c>
      <c r="F36" t="s">
        <v>421</v>
      </c>
      <c r="G36" t="s">
        <v>402</v>
      </c>
      <c r="I36">
        <v>1</v>
      </c>
      <c r="J36" t="s">
        <v>409</v>
      </c>
    </row>
    <row r="37" spans="1:10" x14ac:dyDescent="0.45">
      <c r="A37" t="s">
        <v>487</v>
      </c>
      <c r="B37" t="s">
        <v>398</v>
      </c>
      <c r="C37" t="s">
        <v>488</v>
      </c>
      <c r="D37">
        <v>799</v>
      </c>
      <c r="E37" t="s">
        <v>427</v>
      </c>
      <c r="F37" t="s">
        <v>407</v>
      </c>
      <c r="G37" t="s">
        <v>402</v>
      </c>
      <c r="H37" t="s">
        <v>85</v>
      </c>
      <c r="I37">
        <v>0</v>
      </c>
      <c r="J37" t="s">
        <v>418</v>
      </c>
    </row>
    <row r="38" spans="1:10" x14ac:dyDescent="0.45">
      <c r="A38" t="s">
        <v>489</v>
      </c>
      <c r="B38" t="s">
        <v>416</v>
      </c>
      <c r="C38" t="s">
        <v>490</v>
      </c>
      <c r="D38">
        <v>799</v>
      </c>
      <c r="E38" t="s">
        <v>400</v>
      </c>
      <c r="F38" t="s">
        <v>431</v>
      </c>
      <c r="G38" t="s">
        <v>402</v>
      </c>
      <c r="I38">
        <v>1</v>
      </c>
      <c r="J38" t="s">
        <v>428</v>
      </c>
    </row>
    <row r="39" spans="1:10" x14ac:dyDescent="0.45">
      <c r="A39" t="s">
        <v>491</v>
      </c>
      <c r="B39" t="s">
        <v>411</v>
      </c>
      <c r="C39" t="s">
        <v>492</v>
      </c>
      <c r="D39">
        <v>399</v>
      </c>
      <c r="E39" t="s">
        <v>400</v>
      </c>
      <c r="F39" t="s">
        <v>407</v>
      </c>
      <c r="G39" t="s">
        <v>402</v>
      </c>
      <c r="H39" t="s">
        <v>493</v>
      </c>
      <c r="I39">
        <v>0</v>
      </c>
      <c r="J39" t="s">
        <v>414</v>
      </c>
    </row>
    <row r="40" spans="1:10" x14ac:dyDescent="0.45">
      <c r="A40" t="s">
        <v>494</v>
      </c>
      <c r="B40" t="s">
        <v>398</v>
      </c>
      <c r="C40" t="s">
        <v>478</v>
      </c>
      <c r="D40">
        <v>799</v>
      </c>
      <c r="E40" t="s">
        <v>400</v>
      </c>
      <c r="F40" t="s">
        <v>401</v>
      </c>
      <c r="G40" t="s">
        <v>408</v>
      </c>
      <c r="I40">
        <v>1</v>
      </c>
      <c r="J40" t="s">
        <v>409</v>
      </c>
    </row>
    <row r="41" spans="1:10" x14ac:dyDescent="0.45">
      <c r="A41" t="s">
        <v>495</v>
      </c>
      <c r="B41" t="s">
        <v>411</v>
      </c>
      <c r="C41" t="s">
        <v>110</v>
      </c>
      <c r="D41">
        <v>199</v>
      </c>
      <c r="E41" t="s">
        <v>434</v>
      </c>
      <c r="F41" t="s">
        <v>401</v>
      </c>
      <c r="G41" t="s">
        <v>402</v>
      </c>
      <c r="H41" t="s">
        <v>496</v>
      </c>
      <c r="I41">
        <v>0</v>
      </c>
      <c r="J41" t="s">
        <v>409</v>
      </c>
    </row>
    <row r="42" spans="1:10" x14ac:dyDescent="0.45">
      <c r="A42" t="s">
        <v>497</v>
      </c>
      <c r="B42" t="s">
        <v>411</v>
      </c>
      <c r="C42" t="s">
        <v>498</v>
      </c>
      <c r="D42">
        <v>799</v>
      </c>
      <c r="E42" t="s">
        <v>427</v>
      </c>
      <c r="F42" t="s">
        <v>431</v>
      </c>
      <c r="G42" t="s">
        <v>402</v>
      </c>
      <c r="I42">
        <v>5</v>
      </c>
      <c r="J42" t="s">
        <v>418</v>
      </c>
    </row>
    <row r="43" spans="1:10" x14ac:dyDescent="0.45">
      <c r="A43" t="s">
        <v>499</v>
      </c>
      <c r="B43" t="s">
        <v>398</v>
      </c>
      <c r="C43" t="s">
        <v>250</v>
      </c>
      <c r="D43">
        <v>199</v>
      </c>
      <c r="E43" t="s">
        <v>406</v>
      </c>
      <c r="F43" t="s">
        <v>407</v>
      </c>
      <c r="G43" t="s">
        <v>402</v>
      </c>
      <c r="I43">
        <v>4</v>
      </c>
      <c r="J43" t="s">
        <v>428</v>
      </c>
    </row>
    <row r="44" spans="1:10" x14ac:dyDescent="0.45">
      <c r="A44" t="s">
        <v>500</v>
      </c>
      <c r="B44" t="s">
        <v>416</v>
      </c>
      <c r="C44" t="s">
        <v>501</v>
      </c>
      <c r="D44">
        <v>399</v>
      </c>
      <c r="E44" t="s">
        <v>406</v>
      </c>
      <c r="F44" t="s">
        <v>421</v>
      </c>
      <c r="G44" t="s">
        <v>402</v>
      </c>
      <c r="I44">
        <v>3</v>
      </c>
      <c r="J44" t="s">
        <v>418</v>
      </c>
    </row>
    <row r="45" spans="1:10" x14ac:dyDescent="0.45">
      <c r="A45" t="s">
        <v>502</v>
      </c>
      <c r="B45" t="s">
        <v>411</v>
      </c>
      <c r="C45" t="s">
        <v>503</v>
      </c>
      <c r="D45">
        <v>399</v>
      </c>
      <c r="E45" t="s">
        <v>400</v>
      </c>
      <c r="F45" t="s">
        <v>421</v>
      </c>
      <c r="G45" t="s">
        <v>402</v>
      </c>
      <c r="I45">
        <v>1</v>
      </c>
      <c r="J45" t="s">
        <v>418</v>
      </c>
    </row>
    <row r="46" spans="1:10" x14ac:dyDescent="0.45">
      <c r="A46" t="s">
        <v>504</v>
      </c>
      <c r="B46" t="s">
        <v>398</v>
      </c>
      <c r="C46" t="s">
        <v>505</v>
      </c>
      <c r="D46">
        <v>799</v>
      </c>
      <c r="E46" t="s">
        <v>427</v>
      </c>
      <c r="F46" t="s">
        <v>407</v>
      </c>
      <c r="G46" t="s">
        <v>402</v>
      </c>
      <c r="I46">
        <v>1</v>
      </c>
      <c r="J46" t="s">
        <v>409</v>
      </c>
    </row>
    <row r="47" spans="1:10" x14ac:dyDescent="0.45">
      <c r="A47" t="s">
        <v>506</v>
      </c>
      <c r="B47" t="s">
        <v>411</v>
      </c>
      <c r="C47" t="s">
        <v>507</v>
      </c>
      <c r="D47">
        <v>799</v>
      </c>
      <c r="E47" t="s">
        <v>427</v>
      </c>
      <c r="F47" t="s">
        <v>407</v>
      </c>
      <c r="G47" t="s">
        <v>402</v>
      </c>
      <c r="I47">
        <v>0</v>
      </c>
      <c r="J47" t="s">
        <v>418</v>
      </c>
    </row>
    <row r="48" spans="1:10" x14ac:dyDescent="0.45">
      <c r="A48" t="s">
        <v>508</v>
      </c>
      <c r="B48" t="s">
        <v>416</v>
      </c>
      <c r="C48" t="s">
        <v>509</v>
      </c>
      <c r="D48">
        <v>199</v>
      </c>
      <c r="E48" t="s">
        <v>427</v>
      </c>
      <c r="F48" t="s">
        <v>407</v>
      </c>
      <c r="G48" t="s">
        <v>402</v>
      </c>
      <c r="I48">
        <v>1</v>
      </c>
      <c r="J48" t="s">
        <v>414</v>
      </c>
    </row>
    <row r="49" spans="1:10" x14ac:dyDescent="0.45">
      <c r="A49" t="s">
        <v>510</v>
      </c>
      <c r="B49" t="s">
        <v>416</v>
      </c>
      <c r="C49" t="s">
        <v>511</v>
      </c>
      <c r="D49">
        <v>199</v>
      </c>
      <c r="E49" t="s">
        <v>413</v>
      </c>
      <c r="F49" t="s">
        <v>431</v>
      </c>
      <c r="G49" t="s">
        <v>402</v>
      </c>
      <c r="I49">
        <v>3</v>
      </c>
      <c r="J49" t="s">
        <v>418</v>
      </c>
    </row>
    <row r="50" spans="1:10" x14ac:dyDescent="0.45">
      <c r="A50" t="s">
        <v>512</v>
      </c>
      <c r="B50" t="s">
        <v>416</v>
      </c>
      <c r="C50" t="s">
        <v>513</v>
      </c>
      <c r="D50">
        <v>799</v>
      </c>
      <c r="E50" t="s">
        <v>413</v>
      </c>
      <c r="F50" t="s">
        <v>401</v>
      </c>
      <c r="G50" t="s">
        <v>408</v>
      </c>
      <c r="I50">
        <v>2</v>
      </c>
      <c r="J50" t="s">
        <v>414</v>
      </c>
    </row>
    <row r="51" spans="1:10" x14ac:dyDescent="0.45">
      <c r="A51" t="s">
        <v>514</v>
      </c>
      <c r="B51" t="s">
        <v>398</v>
      </c>
      <c r="C51" t="s">
        <v>185</v>
      </c>
      <c r="D51">
        <v>799</v>
      </c>
      <c r="E51" t="s">
        <v>400</v>
      </c>
      <c r="F51" t="s">
        <v>421</v>
      </c>
      <c r="G51" t="s">
        <v>402</v>
      </c>
      <c r="I51">
        <v>0</v>
      </c>
      <c r="J51" t="s">
        <v>409</v>
      </c>
    </row>
    <row r="52" spans="1:10" x14ac:dyDescent="0.45">
      <c r="A52" t="s">
        <v>515</v>
      </c>
      <c r="B52" t="s">
        <v>398</v>
      </c>
      <c r="C52" t="s">
        <v>516</v>
      </c>
      <c r="D52">
        <v>399</v>
      </c>
      <c r="E52" t="s">
        <v>427</v>
      </c>
      <c r="F52" t="s">
        <v>431</v>
      </c>
      <c r="G52" t="s">
        <v>402</v>
      </c>
      <c r="H52" t="s">
        <v>517</v>
      </c>
      <c r="I52">
        <v>1</v>
      </c>
      <c r="J52" t="s">
        <v>428</v>
      </c>
    </row>
    <row r="53" spans="1:10" x14ac:dyDescent="0.45">
      <c r="A53" t="s">
        <v>518</v>
      </c>
      <c r="B53" t="s">
        <v>416</v>
      </c>
      <c r="C53" t="s">
        <v>519</v>
      </c>
      <c r="D53">
        <v>399</v>
      </c>
      <c r="E53" t="s">
        <v>427</v>
      </c>
      <c r="F53" t="s">
        <v>407</v>
      </c>
      <c r="G53" t="s">
        <v>402</v>
      </c>
      <c r="I53">
        <v>3</v>
      </c>
      <c r="J53" t="s">
        <v>414</v>
      </c>
    </row>
    <row r="54" spans="1:10" x14ac:dyDescent="0.45">
      <c r="A54" t="s">
        <v>520</v>
      </c>
      <c r="B54" t="s">
        <v>398</v>
      </c>
      <c r="C54" t="s">
        <v>521</v>
      </c>
      <c r="D54">
        <v>399</v>
      </c>
      <c r="E54" t="s">
        <v>406</v>
      </c>
      <c r="F54" t="s">
        <v>407</v>
      </c>
      <c r="G54" t="s">
        <v>402</v>
      </c>
      <c r="I54">
        <v>2</v>
      </c>
      <c r="J54" t="s">
        <v>428</v>
      </c>
    </row>
    <row r="55" spans="1:10" x14ac:dyDescent="0.45">
      <c r="A55" t="s">
        <v>522</v>
      </c>
      <c r="B55" t="s">
        <v>416</v>
      </c>
      <c r="C55" t="s">
        <v>230</v>
      </c>
      <c r="D55">
        <v>799</v>
      </c>
      <c r="E55" t="s">
        <v>406</v>
      </c>
      <c r="F55" t="s">
        <v>401</v>
      </c>
      <c r="G55" t="s">
        <v>402</v>
      </c>
      <c r="I55">
        <v>1</v>
      </c>
      <c r="J55" t="s">
        <v>428</v>
      </c>
    </row>
    <row r="56" spans="1:10" x14ac:dyDescent="0.45">
      <c r="A56" t="s">
        <v>523</v>
      </c>
      <c r="B56" t="s">
        <v>398</v>
      </c>
      <c r="C56" t="s">
        <v>524</v>
      </c>
      <c r="D56">
        <v>799</v>
      </c>
      <c r="E56" t="s">
        <v>400</v>
      </c>
      <c r="F56" t="s">
        <v>407</v>
      </c>
      <c r="G56" t="s">
        <v>402</v>
      </c>
      <c r="I56">
        <v>2</v>
      </c>
      <c r="J56" t="s">
        <v>414</v>
      </c>
    </row>
    <row r="57" spans="1:10" x14ac:dyDescent="0.45">
      <c r="A57" t="s">
        <v>525</v>
      </c>
      <c r="B57" t="s">
        <v>416</v>
      </c>
      <c r="C57" t="s">
        <v>526</v>
      </c>
      <c r="D57">
        <v>799</v>
      </c>
      <c r="E57" t="s">
        <v>427</v>
      </c>
      <c r="F57" t="s">
        <v>431</v>
      </c>
      <c r="G57" t="s">
        <v>402</v>
      </c>
      <c r="I57">
        <v>1</v>
      </c>
      <c r="J57" t="s">
        <v>409</v>
      </c>
    </row>
    <row r="58" spans="1:10" x14ac:dyDescent="0.45">
      <c r="A58" t="s">
        <v>527</v>
      </c>
      <c r="B58" t="s">
        <v>411</v>
      </c>
      <c r="C58" t="s">
        <v>528</v>
      </c>
      <c r="D58">
        <v>399</v>
      </c>
      <c r="E58" t="s">
        <v>400</v>
      </c>
      <c r="F58" t="s">
        <v>431</v>
      </c>
      <c r="G58" t="s">
        <v>408</v>
      </c>
      <c r="I58">
        <v>2</v>
      </c>
      <c r="J58" t="s">
        <v>403</v>
      </c>
    </row>
    <row r="59" spans="1:10" x14ac:dyDescent="0.45">
      <c r="A59" t="s">
        <v>529</v>
      </c>
      <c r="B59" t="s">
        <v>416</v>
      </c>
      <c r="C59" t="s">
        <v>530</v>
      </c>
      <c r="D59">
        <v>799</v>
      </c>
      <c r="E59" t="s">
        <v>406</v>
      </c>
      <c r="F59" t="s">
        <v>401</v>
      </c>
      <c r="G59" t="s">
        <v>402</v>
      </c>
      <c r="I59">
        <v>2</v>
      </c>
      <c r="J59" t="s">
        <v>428</v>
      </c>
    </row>
    <row r="60" spans="1:10" x14ac:dyDescent="0.45">
      <c r="A60" t="s">
        <v>531</v>
      </c>
      <c r="B60" t="s">
        <v>416</v>
      </c>
      <c r="C60" t="s">
        <v>528</v>
      </c>
      <c r="D60">
        <v>199</v>
      </c>
      <c r="E60" t="s">
        <v>406</v>
      </c>
      <c r="F60" t="s">
        <v>431</v>
      </c>
      <c r="G60" t="s">
        <v>402</v>
      </c>
      <c r="I60">
        <v>0</v>
      </c>
      <c r="J60" t="s">
        <v>428</v>
      </c>
    </row>
    <row r="61" spans="1:10" x14ac:dyDescent="0.45">
      <c r="A61" t="s">
        <v>532</v>
      </c>
      <c r="B61" t="s">
        <v>398</v>
      </c>
      <c r="C61" t="s">
        <v>94</v>
      </c>
      <c r="D61">
        <v>799</v>
      </c>
      <c r="E61" t="s">
        <v>413</v>
      </c>
      <c r="F61" t="s">
        <v>421</v>
      </c>
      <c r="G61" t="s">
        <v>402</v>
      </c>
      <c r="I61">
        <v>2</v>
      </c>
      <c r="J61" t="s">
        <v>409</v>
      </c>
    </row>
    <row r="62" spans="1:10" x14ac:dyDescent="0.45">
      <c r="A62" t="s">
        <v>533</v>
      </c>
      <c r="B62" t="s">
        <v>398</v>
      </c>
      <c r="C62" t="s">
        <v>534</v>
      </c>
      <c r="D62">
        <v>799</v>
      </c>
      <c r="E62" t="s">
        <v>400</v>
      </c>
      <c r="F62" t="s">
        <v>431</v>
      </c>
      <c r="G62" t="s">
        <v>402</v>
      </c>
      <c r="I62">
        <v>1</v>
      </c>
      <c r="J62" t="s">
        <v>409</v>
      </c>
    </row>
    <row r="63" spans="1:10" x14ac:dyDescent="0.45">
      <c r="A63" t="s">
        <v>535</v>
      </c>
      <c r="B63" t="s">
        <v>398</v>
      </c>
      <c r="C63" t="s">
        <v>536</v>
      </c>
      <c r="D63">
        <v>799</v>
      </c>
      <c r="E63" t="s">
        <v>400</v>
      </c>
      <c r="F63" t="s">
        <v>431</v>
      </c>
      <c r="G63" t="s">
        <v>402</v>
      </c>
      <c r="I63">
        <v>1</v>
      </c>
      <c r="J63" t="s">
        <v>418</v>
      </c>
    </row>
    <row r="64" spans="1:10" x14ac:dyDescent="0.45">
      <c r="A64" t="s">
        <v>537</v>
      </c>
      <c r="B64" t="s">
        <v>398</v>
      </c>
      <c r="C64" t="s">
        <v>538</v>
      </c>
      <c r="D64">
        <v>799</v>
      </c>
      <c r="E64" t="s">
        <v>427</v>
      </c>
      <c r="F64" t="s">
        <v>431</v>
      </c>
      <c r="G64" t="s">
        <v>408</v>
      </c>
      <c r="H64" t="s">
        <v>252</v>
      </c>
      <c r="I64">
        <v>2</v>
      </c>
      <c r="J64" t="s">
        <v>409</v>
      </c>
    </row>
    <row r="65" spans="1:10" x14ac:dyDescent="0.45">
      <c r="A65" t="s">
        <v>539</v>
      </c>
      <c r="B65" t="s">
        <v>398</v>
      </c>
      <c r="C65" t="s">
        <v>540</v>
      </c>
      <c r="D65">
        <v>799</v>
      </c>
      <c r="E65" t="s">
        <v>427</v>
      </c>
      <c r="F65" t="s">
        <v>421</v>
      </c>
      <c r="G65" t="s">
        <v>402</v>
      </c>
      <c r="I65">
        <v>1</v>
      </c>
      <c r="J65" t="s">
        <v>428</v>
      </c>
    </row>
    <row r="66" spans="1:10" x14ac:dyDescent="0.45">
      <c r="A66" t="s">
        <v>541</v>
      </c>
      <c r="B66" t="s">
        <v>398</v>
      </c>
      <c r="C66" t="s">
        <v>209</v>
      </c>
      <c r="D66">
        <v>199</v>
      </c>
      <c r="E66" t="s">
        <v>413</v>
      </c>
      <c r="F66" t="s">
        <v>407</v>
      </c>
      <c r="G66" t="s">
        <v>402</v>
      </c>
      <c r="I66">
        <v>1</v>
      </c>
      <c r="J66" t="s">
        <v>414</v>
      </c>
    </row>
    <row r="67" spans="1:10" x14ac:dyDescent="0.45">
      <c r="A67" t="s">
        <v>542</v>
      </c>
      <c r="B67" t="s">
        <v>411</v>
      </c>
      <c r="C67" t="s">
        <v>543</v>
      </c>
      <c r="D67">
        <v>199</v>
      </c>
      <c r="E67" t="s">
        <v>434</v>
      </c>
      <c r="F67" t="s">
        <v>431</v>
      </c>
      <c r="G67" t="s">
        <v>402</v>
      </c>
      <c r="I67">
        <v>0</v>
      </c>
      <c r="J67" t="s">
        <v>403</v>
      </c>
    </row>
    <row r="68" spans="1:10" x14ac:dyDescent="0.45">
      <c r="A68" t="s">
        <v>544</v>
      </c>
      <c r="B68" t="s">
        <v>416</v>
      </c>
      <c r="C68" t="s">
        <v>545</v>
      </c>
      <c r="D68">
        <v>799</v>
      </c>
      <c r="E68" t="s">
        <v>434</v>
      </c>
      <c r="F68" t="s">
        <v>401</v>
      </c>
      <c r="G68" t="s">
        <v>402</v>
      </c>
      <c r="I68">
        <v>1</v>
      </c>
      <c r="J68" t="s">
        <v>418</v>
      </c>
    </row>
    <row r="69" spans="1:10" x14ac:dyDescent="0.45">
      <c r="A69" t="s">
        <v>546</v>
      </c>
      <c r="B69" t="s">
        <v>416</v>
      </c>
      <c r="C69" t="s">
        <v>547</v>
      </c>
      <c r="D69">
        <v>399</v>
      </c>
      <c r="E69" t="s">
        <v>434</v>
      </c>
      <c r="F69" t="s">
        <v>421</v>
      </c>
      <c r="G69" t="s">
        <v>402</v>
      </c>
      <c r="I69">
        <v>2</v>
      </c>
      <c r="J69" t="s">
        <v>414</v>
      </c>
    </row>
    <row r="70" spans="1:10" x14ac:dyDescent="0.45">
      <c r="A70" t="s">
        <v>548</v>
      </c>
      <c r="B70" t="s">
        <v>416</v>
      </c>
      <c r="C70" t="s">
        <v>549</v>
      </c>
      <c r="D70">
        <v>799</v>
      </c>
      <c r="E70" t="s">
        <v>400</v>
      </c>
      <c r="F70" t="s">
        <v>401</v>
      </c>
      <c r="G70" t="s">
        <v>402</v>
      </c>
      <c r="I70">
        <v>1</v>
      </c>
      <c r="J70" t="s">
        <v>403</v>
      </c>
    </row>
    <row r="71" spans="1:10" x14ac:dyDescent="0.45">
      <c r="A71" t="s">
        <v>550</v>
      </c>
      <c r="B71" t="s">
        <v>411</v>
      </c>
      <c r="C71" t="s">
        <v>150</v>
      </c>
      <c r="D71">
        <v>799</v>
      </c>
      <c r="E71" t="s">
        <v>400</v>
      </c>
      <c r="F71" t="s">
        <v>431</v>
      </c>
      <c r="G71" t="s">
        <v>402</v>
      </c>
      <c r="I71">
        <v>3</v>
      </c>
      <c r="J71" t="s">
        <v>403</v>
      </c>
    </row>
    <row r="72" spans="1:10" x14ac:dyDescent="0.45">
      <c r="A72" t="s">
        <v>551</v>
      </c>
      <c r="B72" t="s">
        <v>416</v>
      </c>
      <c r="C72" t="s">
        <v>552</v>
      </c>
      <c r="D72">
        <v>799</v>
      </c>
      <c r="E72" t="s">
        <v>406</v>
      </c>
      <c r="F72" t="s">
        <v>401</v>
      </c>
      <c r="G72" t="s">
        <v>402</v>
      </c>
      <c r="I72">
        <v>2</v>
      </c>
      <c r="J72" t="s">
        <v>403</v>
      </c>
    </row>
    <row r="73" spans="1:10" x14ac:dyDescent="0.45">
      <c r="A73" t="s">
        <v>553</v>
      </c>
      <c r="B73" t="s">
        <v>411</v>
      </c>
      <c r="C73" t="s">
        <v>554</v>
      </c>
      <c r="D73">
        <v>399</v>
      </c>
      <c r="E73" t="s">
        <v>400</v>
      </c>
      <c r="F73" t="s">
        <v>431</v>
      </c>
      <c r="G73" t="s">
        <v>402</v>
      </c>
      <c r="I73">
        <v>0</v>
      </c>
      <c r="J73" t="s">
        <v>414</v>
      </c>
    </row>
    <row r="74" spans="1:10" x14ac:dyDescent="0.45">
      <c r="A74" t="s">
        <v>555</v>
      </c>
      <c r="B74" t="s">
        <v>411</v>
      </c>
      <c r="C74" t="s">
        <v>556</v>
      </c>
      <c r="D74">
        <v>399</v>
      </c>
      <c r="E74" t="s">
        <v>400</v>
      </c>
      <c r="F74" t="s">
        <v>421</v>
      </c>
      <c r="G74" t="s">
        <v>408</v>
      </c>
      <c r="H74" t="s">
        <v>557</v>
      </c>
      <c r="I74">
        <v>0</v>
      </c>
      <c r="J74" t="s">
        <v>418</v>
      </c>
    </row>
    <row r="75" spans="1:10" x14ac:dyDescent="0.45">
      <c r="A75" t="s">
        <v>558</v>
      </c>
      <c r="B75" t="s">
        <v>411</v>
      </c>
      <c r="C75" t="s">
        <v>559</v>
      </c>
      <c r="D75">
        <v>399</v>
      </c>
      <c r="E75" t="s">
        <v>400</v>
      </c>
      <c r="F75" t="s">
        <v>401</v>
      </c>
      <c r="G75" t="s">
        <v>402</v>
      </c>
      <c r="I75">
        <v>2</v>
      </c>
      <c r="J75" t="s">
        <v>418</v>
      </c>
    </row>
    <row r="76" spans="1:10" x14ac:dyDescent="0.45">
      <c r="A76" t="s">
        <v>560</v>
      </c>
      <c r="B76" t="s">
        <v>416</v>
      </c>
      <c r="C76" t="s">
        <v>319</v>
      </c>
      <c r="D76">
        <v>199</v>
      </c>
      <c r="E76" t="s">
        <v>413</v>
      </c>
      <c r="F76" t="s">
        <v>401</v>
      </c>
      <c r="G76" t="s">
        <v>408</v>
      </c>
      <c r="I76">
        <v>3</v>
      </c>
      <c r="J76" t="s">
        <v>403</v>
      </c>
    </row>
    <row r="77" spans="1:10" x14ac:dyDescent="0.45">
      <c r="A77" t="s">
        <v>561</v>
      </c>
      <c r="B77" t="s">
        <v>411</v>
      </c>
      <c r="C77" t="s">
        <v>562</v>
      </c>
      <c r="D77">
        <v>399</v>
      </c>
      <c r="E77" t="s">
        <v>400</v>
      </c>
      <c r="F77" t="s">
        <v>431</v>
      </c>
      <c r="G77" t="s">
        <v>402</v>
      </c>
      <c r="I77">
        <v>0</v>
      </c>
      <c r="J77" t="s">
        <v>414</v>
      </c>
    </row>
    <row r="78" spans="1:10" x14ac:dyDescent="0.45">
      <c r="A78" t="s">
        <v>563</v>
      </c>
      <c r="B78" t="s">
        <v>416</v>
      </c>
      <c r="C78" t="s">
        <v>564</v>
      </c>
      <c r="D78">
        <v>199</v>
      </c>
      <c r="E78" t="s">
        <v>427</v>
      </c>
      <c r="F78" t="s">
        <v>431</v>
      </c>
      <c r="G78" t="s">
        <v>402</v>
      </c>
      <c r="I78">
        <v>2</v>
      </c>
      <c r="J78" t="s">
        <v>403</v>
      </c>
    </row>
    <row r="79" spans="1:10" x14ac:dyDescent="0.45">
      <c r="A79" t="s">
        <v>565</v>
      </c>
      <c r="B79" t="s">
        <v>416</v>
      </c>
      <c r="C79" t="s">
        <v>566</v>
      </c>
      <c r="D79">
        <v>199</v>
      </c>
      <c r="E79" t="s">
        <v>427</v>
      </c>
      <c r="F79" t="s">
        <v>407</v>
      </c>
      <c r="G79" t="s">
        <v>402</v>
      </c>
      <c r="I79">
        <v>2</v>
      </c>
      <c r="J79" t="s">
        <v>409</v>
      </c>
    </row>
    <row r="80" spans="1:10" x14ac:dyDescent="0.45">
      <c r="A80" t="s">
        <v>567</v>
      </c>
      <c r="B80" t="s">
        <v>398</v>
      </c>
      <c r="C80" t="s">
        <v>568</v>
      </c>
      <c r="D80">
        <v>399</v>
      </c>
      <c r="E80" t="s">
        <v>406</v>
      </c>
      <c r="F80" t="s">
        <v>431</v>
      </c>
      <c r="G80" t="s">
        <v>402</v>
      </c>
      <c r="I80">
        <v>2</v>
      </c>
      <c r="J80" t="s">
        <v>418</v>
      </c>
    </row>
    <row r="81" spans="1:10" x14ac:dyDescent="0.45">
      <c r="A81" t="s">
        <v>569</v>
      </c>
      <c r="B81" t="s">
        <v>398</v>
      </c>
      <c r="C81" t="s">
        <v>570</v>
      </c>
      <c r="D81">
        <v>399</v>
      </c>
      <c r="E81" t="s">
        <v>413</v>
      </c>
      <c r="F81" t="s">
        <v>431</v>
      </c>
      <c r="G81" t="s">
        <v>402</v>
      </c>
      <c r="I81">
        <v>0</v>
      </c>
      <c r="J81" t="s">
        <v>428</v>
      </c>
    </row>
    <row r="82" spans="1:10" x14ac:dyDescent="0.45">
      <c r="A82" t="s">
        <v>571</v>
      </c>
      <c r="B82" t="s">
        <v>411</v>
      </c>
      <c r="C82" t="s">
        <v>572</v>
      </c>
      <c r="D82">
        <v>399</v>
      </c>
      <c r="E82" t="s">
        <v>427</v>
      </c>
      <c r="F82" t="s">
        <v>407</v>
      </c>
      <c r="G82" t="s">
        <v>402</v>
      </c>
      <c r="I82">
        <v>2</v>
      </c>
      <c r="J82" t="s">
        <v>403</v>
      </c>
    </row>
    <row r="83" spans="1:10" x14ac:dyDescent="0.45">
      <c r="A83" t="s">
        <v>573</v>
      </c>
      <c r="B83" t="s">
        <v>411</v>
      </c>
      <c r="C83" t="s">
        <v>574</v>
      </c>
      <c r="D83">
        <v>199</v>
      </c>
      <c r="E83" t="s">
        <v>413</v>
      </c>
      <c r="F83" t="s">
        <v>431</v>
      </c>
      <c r="G83" t="s">
        <v>402</v>
      </c>
      <c r="I83">
        <v>2</v>
      </c>
      <c r="J83" t="s">
        <v>409</v>
      </c>
    </row>
    <row r="84" spans="1:10" x14ac:dyDescent="0.45">
      <c r="A84" t="s">
        <v>575</v>
      </c>
      <c r="B84" t="s">
        <v>416</v>
      </c>
      <c r="C84" t="s">
        <v>576</v>
      </c>
      <c r="D84">
        <v>799</v>
      </c>
      <c r="E84" t="s">
        <v>413</v>
      </c>
      <c r="F84" t="s">
        <v>431</v>
      </c>
      <c r="G84" t="s">
        <v>408</v>
      </c>
      <c r="I84">
        <v>0</v>
      </c>
      <c r="J84" t="s">
        <v>418</v>
      </c>
    </row>
    <row r="85" spans="1:10" x14ac:dyDescent="0.45">
      <c r="A85" t="s">
        <v>577</v>
      </c>
      <c r="B85" t="s">
        <v>411</v>
      </c>
      <c r="C85" t="s">
        <v>578</v>
      </c>
      <c r="D85">
        <v>399</v>
      </c>
      <c r="E85" t="s">
        <v>406</v>
      </c>
      <c r="F85" t="s">
        <v>407</v>
      </c>
      <c r="G85" t="s">
        <v>402</v>
      </c>
      <c r="I85">
        <v>0</v>
      </c>
      <c r="J85" t="s">
        <v>414</v>
      </c>
    </row>
    <row r="86" spans="1:10" x14ac:dyDescent="0.45">
      <c r="A86" t="s">
        <v>579</v>
      </c>
      <c r="B86" t="s">
        <v>411</v>
      </c>
      <c r="C86" t="s">
        <v>580</v>
      </c>
      <c r="D86">
        <v>399</v>
      </c>
      <c r="E86" t="s">
        <v>413</v>
      </c>
      <c r="F86" t="s">
        <v>421</v>
      </c>
      <c r="G86" t="s">
        <v>402</v>
      </c>
      <c r="I86">
        <v>1</v>
      </c>
      <c r="J86" t="s">
        <v>418</v>
      </c>
    </row>
    <row r="87" spans="1:10" x14ac:dyDescent="0.45">
      <c r="A87" t="s">
        <v>581</v>
      </c>
      <c r="B87" t="s">
        <v>416</v>
      </c>
      <c r="C87" t="s">
        <v>582</v>
      </c>
      <c r="D87">
        <v>399</v>
      </c>
      <c r="E87" t="s">
        <v>400</v>
      </c>
      <c r="F87" t="s">
        <v>421</v>
      </c>
      <c r="G87" t="s">
        <v>402</v>
      </c>
      <c r="I87">
        <v>1</v>
      </c>
      <c r="J87" t="s">
        <v>414</v>
      </c>
    </row>
    <row r="88" spans="1:10" x14ac:dyDescent="0.45">
      <c r="A88" t="s">
        <v>583</v>
      </c>
      <c r="B88" t="s">
        <v>411</v>
      </c>
      <c r="C88" t="s">
        <v>492</v>
      </c>
      <c r="D88">
        <v>199</v>
      </c>
      <c r="E88" t="s">
        <v>413</v>
      </c>
      <c r="F88" t="s">
        <v>431</v>
      </c>
      <c r="G88" t="s">
        <v>408</v>
      </c>
      <c r="H88" t="s">
        <v>584</v>
      </c>
      <c r="I88">
        <v>1</v>
      </c>
      <c r="J88" t="s">
        <v>414</v>
      </c>
    </row>
    <row r="89" spans="1:10" x14ac:dyDescent="0.45">
      <c r="A89" t="s">
        <v>585</v>
      </c>
      <c r="B89" t="s">
        <v>411</v>
      </c>
      <c r="C89" t="s">
        <v>376</v>
      </c>
      <c r="D89">
        <v>199</v>
      </c>
      <c r="E89" t="s">
        <v>406</v>
      </c>
      <c r="F89" t="s">
        <v>431</v>
      </c>
      <c r="G89" t="s">
        <v>402</v>
      </c>
      <c r="H89" t="s">
        <v>203</v>
      </c>
      <c r="I89">
        <v>1</v>
      </c>
      <c r="J89" t="s">
        <v>403</v>
      </c>
    </row>
    <row r="90" spans="1:10" x14ac:dyDescent="0.45">
      <c r="A90" t="s">
        <v>586</v>
      </c>
      <c r="B90" t="s">
        <v>416</v>
      </c>
      <c r="C90" t="s">
        <v>587</v>
      </c>
      <c r="D90">
        <v>799</v>
      </c>
      <c r="E90" t="s">
        <v>406</v>
      </c>
      <c r="F90" t="s">
        <v>407</v>
      </c>
      <c r="G90" t="s">
        <v>402</v>
      </c>
      <c r="I90">
        <v>2</v>
      </c>
      <c r="J90" t="s">
        <v>403</v>
      </c>
    </row>
    <row r="91" spans="1:10" x14ac:dyDescent="0.45">
      <c r="A91" t="s">
        <v>588</v>
      </c>
      <c r="B91" t="s">
        <v>416</v>
      </c>
      <c r="C91" t="s">
        <v>589</v>
      </c>
      <c r="D91">
        <v>399</v>
      </c>
      <c r="E91" t="s">
        <v>406</v>
      </c>
      <c r="F91" t="s">
        <v>407</v>
      </c>
      <c r="G91" t="s">
        <v>402</v>
      </c>
      <c r="I91">
        <v>3</v>
      </c>
      <c r="J91" t="s">
        <v>418</v>
      </c>
    </row>
    <row r="92" spans="1:10" x14ac:dyDescent="0.45">
      <c r="A92" t="s">
        <v>590</v>
      </c>
      <c r="B92" t="s">
        <v>398</v>
      </c>
      <c r="C92" t="s">
        <v>591</v>
      </c>
      <c r="D92">
        <v>199</v>
      </c>
      <c r="E92" t="s">
        <v>427</v>
      </c>
      <c r="F92" t="s">
        <v>421</v>
      </c>
      <c r="G92" t="s">
        <v>402</v>
      </c>
      <c r="H92" t="s">
        <v>592</v>
      </c>
      <c r="I92">
        <v>1</v>
      </c>
      <c r="J92" t="s">
        <v>409</v>
      </c>
    </row>
    <row r="93" spans="1:10" x14ac:dyDescent="0.45">
      <c r="A93" t="s">
        <v>593</v>
      </c>
      <c r="B93" t="s">
        <v>416</v>
      </c>
      <c r="C93" t="s">
        <v>594</v>
      </c>
      <c r="D93">
        <v>799</v>
      </c>
      <c r="E93" t="s">
        <v>400</v>
      </c>
      <c r="F93" t="s">
        <v>401</v>
      </c>
      <c r="G93" t="s">
        <v>408</v>
      </c>
      <c r="I93">
        <v>3</v>
      </c>
      <c r="J93" t="s">
        <v>418</v>
      </c>
    </row>
    <row r="94" spans="1:10" x14ac:dyDescent="0.45">
      <c r="A94" t="s">
        <v>595</v>
      </c>
      <c r="B94" t="s">
        <v>398</v>
      </c>
      <c r="C94" t="s">
        <v>214</v>
      </c>
      <c r="D94">
        <v>399</v>
      </c>
      <c r="E94" t="s">
        <v>427</v>
      </c>
      <c r="F94" t="s">
        <v>431</v>
      </c>
      <c r="G94" t="s">
        <v>402</v>
      </c>
      <c r="H94" t="s">
        <v>596</v>
      </c>
      <c r="I94">
        <v>2</v>
      </c>
      <c r="J94" t="s">
        <v>428</v>
      </c>
    </row>
    <row r="95" spans="1:10" x14ac:dyDescent="0.45">
      <c r="A95" t="s">
        <v>597</v>
      </c>
      <c r="B95" t="s">
        <v>411</v>
      </c>
      <c r="C95" t="s">
        <v>598</v>
      </c>
      <c r="D95">
        <v>199</v>
      </c>
      <c r="E95" t="s">
        <v>434</v>
      </c>
      <c r="F95" t="s">
        <v>401</v>
      </c>
      <c r="G95" t="s">
        <v>402</v>
      </c>
      <c r="I95">
        <v>3</v>
      </c>
      <c r="J95" t="s">
        <v>414</v>
      </c>
    </row>
    <row r="96" spans="1:10" x14ac:dyDescent="0.45">
      <c r="A96" t="s">
        <v>599</v>
      </c>
      <c r="B96" t="s">
        <v>416</v>
      </c>
      <c r="C96" t="s">
        <v>600</v>
      </c>
      <c r="D96">
        <v>399</v>
      </c>
      <c r="E96" t="s">
        <v>400</v>
      </c>
      <c r="F96" t="s">
        <v>401</v>
      </c>
      <c r="G96" t="s">
        <v>408</v>
      </c>
      <c r="I96">
        <v>2</v>
      </c>
      <c r="J96" t="s">
        <v>414</v>
      </c>
    </row>
    <row r="97" spans="1:10" x14ac:dyDescent="0.45">
      <c r="A97" t="s">
        <v>601</v>
      </c>
      <c r="B97" t="s">
        <v>416</v>
      </c>
      <c r="C97" t="s">
        <v>359</v>
      </c>
      <c r="D97">
        <v>399</v>
      </c>
      <c r="E97" t="s">
        <v>413</v>
      </c>
      <c r="F97" t="s">
        <v>407</v>
      </c>
      <c r="G97" t="s">
        <v>402</v>
      </c>
      <c r="I97">
        <v>4</v>
      </c>
      <c r="J97" t="s">
        <v>403</v>
      </c>
    </row>
    <row r="98" spans="1:10" x14ac:dyDescent="0.45">
      <c r="A98" t="s">
        <v>602</v>
      </c>
      <c r="B98" t="s">
        <v>416</v>
      </c>
      <c r="C98" t="s">
        <v>603</v>
      </c>
      <c r="D98">
        <v>199</v>
      </c>
      <c r="E98" t="s">
        <v>406</v>
      </c>
      <c r="F98" t="s">
        <v>431</v>
      </c>
      <c r="G98" t="s">
        <v>402</v>
      </c>
      <c r="H98" t="s">
        <v>604</v>
      </c>
      <c r="I98">
        <v>2</v>
      </c>
      <c r="J98" t="s">
        <v>409</v>
      </c>
    </row>
    <row r="99" spans="1:10" x14ac:dyDescent="0.45">
      <c r="A99" t="s">
        <v>605</v>
      </c>
      <c r="B99" t="s">
        <v>411</v>
      </c>
      <c r="C99" t="s">
        <v>606</v>
      </c>
      <c r="D99">
        <v>199</v>
      </c>
      <c r="E99" t="s">
        <v>434</v>
      </c>
      <c r="F99" t="s">
        <v>431</v>
      </c>
      <c r="G99" t="s">
        <v>402</v>
      </c>
      <c r="I99">
        <v>1</v>
      </c>
      <c r="J99" t="s">
        <v>403</v>
      </c>
    </row>
    <row r="100" spans="1:10" x14ac:dyDescent="0.45">
      <c r="A100" t="s">
        <v>607</v>
      </c>
      <c r="B100" t="s">
        <v>398</v>
      </c>
      <c r="C100" t="s">
        <v>130</v>
      </c>
      <c r="D100">
        <v>199</v>
      </c>
      <c r="E100" t="s">
        <v>400</v>
      </c>
      <c r="F100" t="s">
        <v>407</v>
      </c>
      <c r="G100" t="s">
        <v>402</v>
      </c>
      <c r="I100">
        <v>1</v>
      </c>
      <c r="J100" t="s">
        <v>428</v>
      </c>
    </row>
    <row r="101" spans="1:10" x14ac:dyDescent="0.45">
      <c r="A101" t="s">
        <v>608</v>
      </c>
      <c r="B101" t="s">
        <v>411</v>
      </c>
      <c r="C101" t="s">
        <v>609</v>
      </c>
      <c r="D101">
        <v>399</v>
      </c>
      <c r="E101" t="s">
        <v>427</v>
      </c>
      <c r="F101" t="s">
        <v>401</v>
      </c>
      <c r="G101" t="s">
        <v>402</v>
      </c>
      <c r="I101">
        <v>0</v>
      </c>
      <c r="J101" t="s">
        <v>418</v>
      </c>
    </row>
    <row r="102" spans="1:10" x14ac:dyDescent="0.45">
      <c r="A102" t="s">
        <v>610</v>
      </c>
      <c r="B102" t="s">
        <v>411</v>
      </c>
      <c r="C102" t="s">
        <v>611</v>
      </c>
      <c r="D102">
        <v>399</v>
      </c>
      <c r="E102" t="s">
        <v>406</v>
      </c>
      <c r="F102" t="s">
        <v>407</v>
      </c>
      <c r="G102" t="s">
        <v>402</v>
      </c>
      <c r="I102">
        <v>1</v>
      </c>
      <c r="J102" t="s">
        <v>418</v>
      </c>
    </row>
    <row r="103" spans="1:10" x14ac:dyDescent="0.45">
      <c r="A103" t="s">
        <v>612</v>
      </c>
      <c r="B103" t="s">
        <v>416</v>
      </c>
      <c r="C103" t="s">
        <v>613</v>
      </c>
      <c r="D103">
        <v>799</v>
      </c>
      <c r="E103" t="s">
        <v>427</v>
      </c>
      <c r="F103" t="s">
        <v>421</v>
      </c>
      <c r="G103" t="s">
        <v>402</v>
      </c>
      <c r="I103">
        <v>1</v>
      </c>
      <c r="J103" t="s">
        <v>409</v>
      </c>
    </row>
    <row r="104" spans="1:10" x14ac:dyDescent="0.45">
      <c r="A104" t="s">
        <v>614</v>
      </c>
      <c r="B104" t="s">
        <v>398</v>
      </c>
      <c r="C104" t="s">
        <v>615</v>
      </c>
      <c r="D104">
        <v>399</v>
      </c>
      <c r="E104" t="s">
        <v>400</v>
      </c>
      <c r="F104" t="s">
        <v>431</v>
      </c>
      <c r="G104" t="s">
        <v>402</v>
      </c>
      <c r="I104">
        <v>3</v>
      </c>
      <c r="J104" t="s">
        <v>403</v>
      </c>
    </row>
    <row r="105" spans="1:10" x14ac:dyDescent="0.45">
      <c r="A105" t="s">
        <v>616</v>
      </c>
      <c r="B105" t="s">
        <v>411</v>
      </c>
      <c r="C105" t="s">
        <v>617</v>
      </c>
      <c r="D105">
        <v>199</v>
      </c>
      <c r="E105" t="s">
        <v>400</v>
      </c>
      <c r="F105" t="s">
        <v>421</v>
      </c>
      <c r="G105" t="s">
        <v>402</v>
      </c>
      <c r="H105" t="s">
        <v>618</v>
      </c>
      <c r="I105">
        <v>1</v>
      </c>
      <c r="J105" t="s">
        <v>403</v>
      </c>
    </row>
    <row r="106" spans="1:10" x14ac:dyDescent="0.45">
      <c r="A106" t="s">
        <v>619</v>
      </c>
      <c r="B106" t="s">
        <v>416</v>
      </c>
      <c r="C106" t="s">
        <v>503</v>
      </c>
      <c r="D106">
        <v>399</v>
      </c>
      <c r="E106" t="s">
        <v>434</v>
      </c>
      <c r="F106" t="s">
        <v>407</v>
      </c>
      <c r="G106" t="s">
        <v>408</v>
      </c>
      <c r="I106">
        <v>0</v>
      </c>
      <c r="J106" t="s">
        <v>428</v>
      </c>
    </row>
    <row r="107" spans="1:10" x14ac:dyDescent="0.45">
      <c r="A107" t="s">
        <v>620</v>
      </c>
      <c r="B107" t="s">
        <v>411</v>
      </c>
      <c r="C107" t="s">
        <v>621</v>
      </c>
      <c r="D107">
        <v>799</v>
      </c>
      <c r="E107" t="s">
        <v>413</v>
      </c>
      <c r="F107" t="s">
        <v>431</v>
      </c>
      <c r="G107" t="s">
        <v>402</v>
      </c>
      <c r="H107" t="s">
        <v>214</v>
      </c>
      <c r="I107">
        <v>2</v>
      </c>
      <c r="J107" t="s">
        <v>418</v>
      </c>
    </row>
    <row r="108" spans="1:10" x14ac:dyDescent="0.45">
      <c r="A108" t="s">
        <v>622</v>
      </c>
      <c r="B108" t="s">
        <v>411</v>
      </c>
      <c r="C108" t="s">
        <v>623</v>
      </c>
      <c r="D108">
        <v>799</v>
      </c>
      <c r="E108" t="s">
        <v>427</v>
      </c>
      <c r="F108" t="s">
        <v>421</v>
      </c>
      <c r="G108" t="s">
        <v>402</v>
      </c>
      <c r="I108">
        <v>0</v>
      </c>
      <c r="J108" t="s">
        <v>403</v>
      </c>
    </row>
    <row r="109" spans="1:10" x14ac:dyDescent="0.45">
      <c r="A109" t="s">
        <v>624</v>
      </c>
      <c r="B109" t="s">
        <v>416</v>
      </c>
      <c r="C109" t="s">
        <v>488</v>
      </c>
      <c r="D109">
        <v>199</v>
      </c>
      <c r="E109" t="s">
        <v>434</v>
      </c>
      <c r="F109" t="s">
        <v>421</v>
      </c>
      <c r="G109" t="s">
        <v>402</v>
      </c>
      <c r="H109" t="s">
        <v>625</v>
      </c>
      <c r="I109">
        <v>0</v>
      </c>
      <c r="J109" t="s">
        <v>409</v>
      </c>
    </row>
    <row r="110" spans="1:10" x14ac:dyDescent="0.45">
      <c r="A110" t="s">
        <v>626</v>
      </c>
      <c r="B110" t="s">
        <v>416</v>
      </c>
      <c r="C110" t="s">
        <v>627</v>
      </c>
      <c r="D110">
        <v>199</v>
      </c>
      <c r="E110" t="s">
        <v>406</v>
      </c>
      <c r="F110" t="s">
        <v>401</v>
      </c>
      <c r="G110" t="s">
        <v>402</v>
      </c>
      <c r="I110">
        <v>2</v>
      </c>
      <c r="J110" t="s">
        <v>418</v>
      </c>
    </row>
    <row r="111" spans="1:10" x14ac:dyDescent="0.45">
      <c r="A111" t="s">
        <v>628</v>
      </c>
      <c r="B111" t="s">
        <v>398</v>
      </c>
      <c r="C111" t="s">
        <v>629</v>
      </c>
      <c r="D111">
        <v>799</v>
      </c>
      <c r="E111" t="s">
        <v>413</v>
      </c>
      <c r="F111" t="s">
        <v>431</v>
      </c>
      <c r="G111" t="s">
        <v>402</v>
      </c>
      <c r="I111">
        <v>2</v>
      </c>
      <c r="J111" t="s">
        <v>428</v>
      </c>
    </row>
    <row r="112" spans="1:10" x14ac:dyDescent="0.45">
      <c r="A112" t="s">
        <v>630</v>
      </c>
      <c r="B112" t="s">
        <v>411</v>
      </c>
      <c r="C112" t="s">
        <v>399</v>
      </c>
      <c r="D112">
        <v>799</v>
      </c>
      <c r="E112" t="s">
        <v>434</v>
      </c>
      <c r="F112" t="s">
        <v>421</v>
      </c>
      <c r="G112" t="s">
        <v>402</v>
      </c>
      <c r="I112">
        <v>1</v>
      </c>
      <c r="J112" t="s">
        <v>409</v>
      </c>
    </row>
    <row r="113" spans="1:10" x14ac:dyDescent="0.45">
      <c r="A113" t="s">
        <v>631</v>
      </c>
      <c r="B113" t="s">
        <v>416</v>
      </c>
      <c r="C113" t="s">
        <v>632</v>
      </c>
      <c r="D113">
        <v>799</v>
      </c>
      <c r="E113" t="s">
        <v>427</v>
      </c>
      <c r="F113" t="s">
        <v>421</v>
      </c>
      <c r="G113" t="s">
        <v>402</v>
      </c>
      <c r="I113">
        <v>1</v>
      </c>
      <c r="J113" t="s">
        <v>414</v>
      </c>
    </row>
    <row r="114" spans="1:10" x14ac:dyDescent="0.45">
      <c r="A114" t="s">
        <v>633</v>
      </c>
      <c r="B114" t="s">
        <v>416</v>
      </c>
      <c r="C114" t="s">
        <v>634</v>
      </c>
      <c r="D114">
        <v>199</v>
      </c>
      <c r="E114" t="s">
        <v>400</v>
      </c>
      <c r="F114" t="s">
        <v>401</v>
      </c>
      <c r="G114" t="s">
        <v>402</v>
      </c>
      <c r="I114">
        <v>0</v>
      </c>
      <c r="J114" t="s">
        <v>428</v>
      </c>
    </row>
    <row r="115" spans="1:10" x14ac:dyDescent="0.45">
      <c r="A115" t="s">
        <v>635</v>
      </c>
      <c r="B115" t="s">
        <v>398</v>
      </c>
      <c r="C115" t="s">
        <v>538</v>
      </c>
      <c r="D115">
        <v>799</v>
      </c>
      <c r="E115" t="s">
        <v>406</v>
      </c>
      <c r="F115" t="s">
        <v>421</v>
      </c>
      <c r="G115" t="s">
        <v>402</v>
      </c>
      <c r="I115">
        <v>1</v>
      </c>
      <c r="J115" t="s">
        <v>409</v>
      </c>
    </row>
    <row r="116" spans="1:10" x14ac:dyDescent="0.45">
      <c r="A116" t="s">
        <v>636</v>
      </c>
      <c r="B116" t="s">
        <v>398</v>
      </c>
      <c r="C116" t="s">
        <v>68</v>
      </c>
      <c r="D116">
        <v>799</v>
      </c>
      <c r="E116" t="s">
        <v>427</v>
      </c>
      <c r="F116" t="s">
        <v>421</v>
      </c>
      <c r="G116" t="s">
        <v>402</v>
      </c>
      <c r="I116">
        <v>1</v>
      </c>
      <c r="J116" t="s">
        <v>403</v>
      </c>
    </row>
    <row r="117" spans="1:10" x14ac:dyDescent="0.45">
      <c r="A117" t="s">
        <v>637</v>
      </c>
      <c r="B117" t="s">
        <v>416</v>
      </c>
      <c r="C117" t="s">
        <v>638</v>
      </c>
      <c r="D117">
        <v>199</v>
      </c>
      <c r="E117" t="s">
        <v>413</v>
      </c>
      <c r="F117" t="s">
        <v>421</v>
      </c>
      <c r="G117" t="s">
        <v>402</v>
      </c>
      <c r="I117">
        <v>1</v>
      </c>
      <c r="J117" t="s">
        <v>414</v>
      </c>
    </row>
    <row r="118" spans="1:10" x14ac:dyDescent="0.45">
      <c r="A118" t="s">
        <v>639</v>
      </c>
      <c r="B118" t="s">
        <v>398</v>
      </c>
      <c r="C118" t="s">
        <v>640</v>
      </c>
      <c r="D118">
        <v>399</v>
      </c>
      <c r="E118" t="s">
        <v>413</v>
      </c>
      <c r="F118" t="s">
        <v>401</v>
      </c>
      <c r="G118" t="s">
        <v>408</v>
      </c>
      <c r="I118">
        <v>4</v>
      </c>
      <c r="J118" t="s">
        <v>428</v>
      </c>
    </row>
    <row r="119" spans="1:10" x14ac:dyDescent="0.45">
      <c r="A119" t="s">
        <v>641</v>
      </c>
      <c r="B119" t="s">
        <v>416</v>
      </c>
      <c r="C119" t="s">
        <v>642</v>
      </c>
      <c r="D119">
        <v>399</v>
      </c>
      <c r="E119" t="s">
        <v>400</v>
      </c>
      <c r="F119" t="s">
        <v>421</v>
      </c>
      <c r="G119" t="s">
        <v>402</v>
      </c>
      <c r="I119">
        <v>2</v>
      </c>
      <c r="J119" t="s">
        <v>403</v>
      </c>
    </row>
    <row r="120" spans="1:10" x14ac:dyDescent="0.45">
      <c r="A120" t="s">
        <v>643</v>
      </c>
      <c r="B120" t="s">
        <v>411</v>
      </c>
      <c r="C120" t="s">
        <v>644</v>
      </c>
      <c r="D120">
        <v>799</v>
      </c>
      <c r="E120" t="s">
        <v>400</v>
      </c>
      <c r="F120" t="s">
        <v>421</v>
      </c>
      <c r="G120" t="s">
        <v>402</v>
      </c>
      <c r="I120">
        <v>2</v>
      </c>
      <c r="J120" t="s">
        <v>414</v>
      </c>
    </row>
    <row r="121" spans="1:10" x14ac:dyDescent="0.45">
      <c r="A121" t="s">
        <v>645</v>
      </c>
      <c r="B121" t="s">
        <v>398</v>
      </c>
      <c r="C121" t="s">
        <v>230</v>
      </c>
      <c r="D121">
        <v>399</v>
      </c>
      <c r="E121" t="s">
        <v>406</v>
      </c>
      <c r="F121" t="s">
        <v>431</v>
      </c>
      <c r="G121" t="s">
        <v>402</v>
      </c>
      <c r="I121">
        <v>1</v>
      </c>
      <c r="J121" t="s">
        <v>418</v>
      </c>
    </row>
    <row r="122" spans="1:10" x14ac:dyDescent="0.45">
      <c r="A122" t="s">
        <v>646</v>
      </c>
      <c r="B122" t="s">
        <v>411</v>
      </c>
      <c r="C122" t="s">
        <v>647</v>
      </c>
      <c r="D122">
        <v>399</v>
      </c>
      <c r="E122" t="s">
        <v>406</v>
      </c>
      <c r="F122" t="s">
        <v>431</v>
      </c>
      <c r="G122" t="s">
        <v>408</v>
      </c>
      <c r="I122">
        <v>5</v>
      </c>
      <c r="J122" t="s">
        <v>403</v>
      </c>
    </row>
    <row r="123" spans="1:10" x14ac:dyDescent="0.45">
      <c r="A123" t="s">
        <v>648</v>
      </c>
      <c r="B123" t="s">
        <v>411</v>
      </c>
      <c r="C123" t="s">
        <v>649</v>
      </c>
      <c r="D123">
        <v>399</v>
      </c>
      <c r="E123" t="s">
        <v>400</v>
      </c>
      <c r="F123" t="s">
        <v>401</v>
      </c>
      <c r="G123" t="s">
        <v>402</v>
      </c>
      <c r="I123">
        <v>1</v>
      </c>
      <c r="J123" t="s">
        <v>409</v>
      </c>
    </row>
    <row r="124" spans="1:10" x14ac:dyDescent="0.45">
      <c r="A124" t="s">
        <v>650</v>
      </c>
      <c r="B124" t="s">
        <v>411</v>
      </c>
      <c r="C124" t="s">
        <v>651</v>
      </c>
      <c r="D124">
        <v>399</v>
      </c>
      <c r="E124" t="s">
        <v>400</v>
      </c>
      <c r="F124" t="s">
        <v>407</v>
      </c>
      <c r="G124" t="s">
        <v>402</v>
      </c>
      <c r="I124">
        <v>3</v>
      </c>
      <c r="J124" t="s">
        <v>428</v>
      </c>
    </row>
    <row r="125" spans="1:10" x14ac:dyDescent="0.45">
      <c r="A125" t="s">
        <v>652</v>
      </c>
      <c r="B125" t="s">
        <v>416</v>
      </c>
      <c r="C125" t="s">
        <v>653</v>
      </c>
      <c r="D125">
        <v>799</v>
      </c>
      <c r="E125" t="s">
        <v>413</v>
      </c>
      <c r="F125" t="s">
        <v>431</v>
      </c>
      <c r="G125" t="s">
        <v>402</v>
      </c>
      <c r="I125">
        <v>1</v>
      </c>
      <c r="J125" t="s">
        <v>414</v>
      </c>
    </row>
    <row r="126" spans="1:10" x14ac:dyDescent="0.45">
      <c r="A126" t="s">
        <v>654</v>
      </c>
      <c r="B126" t="s">
        <v>411</v>
      </c>
      <c r="C126" t="s">
        <v>655</v>
      </c>
      <c r="D126">
        <v>399</v>
      </c>
      <c r="E126" t="s">
        <v>400</v>
      </c>
      <c r="F126" t="s">
        <v>401</v>
      </c>
      <c r="G126" t="s">
        <v>408</v>
      </c>
      <c r="I126">
        <v>2</v>
      </c>
      <c r="J126" t="s">
        <v>403</v>
      </c>
    </row>
    <row r="127" spans="1:10" x14ac:dyDescent="0.45">
      <c r="A127" t="s">
        <v>656</v>
      </c>
      <c r="B127" t="s">
        <v>411</v>
      </c>
      <c r="C127" t="s">
        <v>657</v>
      </c>
      <c r="D127">
        <v>399</v>
      </c>
      <c r="E127" t="s">
        <v>434</v>
      </c>
      <c r="F127" t="s">
        <v>421</v>
      </c>
      <c r="G127" t="s">
        <v>402</v>
      </c>
      <c r="I127">
        <v>2</v>
      </c>
      <c r="J127" t="s">
        <v>418</v>
      </c>
    </row>
    <row r="128" spans="1:10" x14ac:dyDescent="0.45">
      <c r="A128" t="s">
        <v>658</v>
      </c>
      <c r="B128" t="s">
        <v>411</v>
      </c>
      <c r="C128" t="s">
        <v>580</v>
      </c>
      <c r="D128">
        <v>199</v>
      </c>
      <c r="E128" t="s">
        <v>427</v>
      </c>
      <c r="F128" t="s">
        <v>421</v>
      </c>
      <c r="G128" t="s">
        <v>402</v>
      </c>
      <c r="I128">
        <v>0</v>
      </c>
      <c r="J128" t="s">
        <v>428</v>
      </c>
    </row>
    <row r="129" spans="1:10" x14ac:dyDescent="0.45">
      <c r="A129" t="s">
        <v>659</v>
      </c>
      <c r="B129" t="s">
        <v>416</v>
      </c>
      <c r="C129" t="s">
        <v>603</v>
      </c>
      <c r="D129">
        <v>799</v>
      </c>
      <c r="E129" t="s">
        <v>400</v>
      </c>
      <c r="F129" t="s">
        <v>401</v>
      </c>
      <c r="G129" t="s">
        <v>408</v>
      </c>
      <c r="I129">
        <v>1</v>
      </c>
      <c r="J129" t="s">
        <v>428</v>
      </c>
    </row>
    <row r="130" spans="1:10" x14ac:dyDescent="0.45">
      <c r="A130" t="s">
        <v>660</v>
      </c>
      <c r="B130" t="s">
        <v>411</v>
      </c>
      <c r="C130" t="s">
        <v>661</v>
      </c>
      <c r="D130">
        <v>199</v>
      </c>
      <c r="E130" t="s">
        <v>406</v>
      </c>
      <c r="F130" t="s">
        <v>421</v>
      </c>
      <c r="G130" t="s">
        <v>408</v>
      </c>
      <c r="I130">
        <v>3</v>
      </c>
      <c r="J130" t="s">
        <v>403</v>
      </c>
    </row>
    <row r="131" spans="1:10" x14ac:dyDescent="0.45">
      <c r="A131" t="s">
        <v>662</v>
      </c>
      <c r="B131" t="s">
        <v>411</v>
      </c>
      <c r="C131" t="s">
        <v>663</v>
      </c>
      <c r="D131">
        <v>199</v>
      </c>
      <c r="E131" t="s">
        <v>434</v>
      </c>
      <c r="F131" t="s">
        <v>421</v>
      </c>
      <c r="G131" t="s">
        <v>408</v>
      </c>
      <c r="H131" t="s">
        <v>664</v>
      </c>
      <c r="I131">
        <v>2</v>
      </c>
      <c r="J131" t="s">
        <v>418</v>
      </c>
    </row>
    <row r="132" spans="1:10" x14ac:dyDescent="0.45">
      <c r="A132" t="s">
        <v>665</v>
      </c>
      <c r="B132" t="s">
        <v>398</v>
      </c>
      <c r="C132" t="s">
        <v>666</v>
      </c>
      <c r="D132">
        <v>799</v>
      </c>
      <c r="E132" t="s">
        <v>406</v>
      </c>
      <c r="F132" t="s">
        <v>407</v>
      </c>
      <c r="G132" t="s">
        <v>402</v>
      </c>
      <c r="I132">
        <v>2</v>
      </c>
      <c r="J132" t="s">
        <v>414</v>
      </c>
    </row>
    <row r="133" spans="1:10" x14ac:dyDescent="0.45">
      <c r="A133" t="s">
        <v>667</v>
      </c>
      <c r="B133" t="s">
        <v>416</v>
      </c>
      <c r="C133" t="s">
        <v>668</v>
      </c>
      <c r="D133">
        <v>399</v>
      </c>
      <c r="E133" t="s">
        <v>434</v>
      </c>
      <c r="F133" t="s">
        <v>421</v>
      </c>
      <c r="G133" t="s">
        <v>402</v>
      </c>
      <c r="H133" t="s">
        <v>669</v>
      </c>
      <c r="I133">
        <v>2</v>
      </c>
      <c r="J133" t="s">
        <v>403</v>
      </c>
    </row>
    <row r="134" spans="1:10" x14ac:dyDescent="0.45">
      <c r="A134" t="s">
        <v>670</v>
      </c>
      <c r="B134" t="s">
        <v>411</v>
      </c>
      <c r="C134" t="s">
        <v>671</v>
      </c>
      <c r="D134">
        <v>199</v>
      </c>
      <c r="E134" t="s">
        <v>400</v>
      </c>
      <c r="F134" t="s">
        <v>431</v>
      </c>
      <c r="G134" t="s">
        <v>402</v>
      </c>
      <c r="I134">
        <v>0</v>
      </c>
      <c r="J134" t="s">
        <v>414</v>
      </c>
    </row>
    <row r="135" spans="1:10" x14ac:dyDescent="0.45">
      <c r="A135" t="s">
        <v>672</v>
      </c>
      <c r="B135" t="s">
        <v>398</v>
      </c>
      <c r="C135" t="s">
        <v>673</v>
      </c>
      <c r="D135">
        <v>799</v>
      </c>
      <c r="E135" t="s">
        <v>427</v>
      </c>
      <c r="F135" t="s">
        <v>421</v>
      </c>
      <c r="G135" t="s">
        <v>402</v>
      </c>
      <c r="I135">
        <v>4</v>
      </c>
      <c r="J135" t="s">
        <v>428</v>
      </c>
    </row>
    <row r="136" spans="1:10" x14ac:dyDescent="0.45">
      <c r="A136" t="s">
        <v>674</v>
      </c>
      <c r="B136" t="s">
        <v>416</v>
      </c>
      <c r="C136" t="s">
        <v>675</v>
      </c>
      <c r="D136">
        <v>399</v>
      </c>
      <c r="E136" t="s">
        <v>406</v>
      </c>
      <c r="F136" t="s">
        <v>401</v>
      </c>
      <c r="G136" t="s">
        <v>402</v>
      </c>
      <c r="I136">
        <v>0</v>
      </c>
      <c r="J136" t="s">
        <v>414</v>
      </c>
    </row>
    <row r="137" spans="1:10" x14ac:dyDescent="0.45">
      <c r="A137" t="s">
        <v>676</v>
      </c>
      <c r="B137" t="s">
        <v>416</v>
      </c>
      <c r="C137" t="s">
        <v>677</v>
      </c>
      <c r="D137">
        <v>799</v>
      </c>
      <c r="E137" t="s">
        <v>434</v>
      </c>
      <c r="F137" t="s">
        <v>407</v>
      </c>
      <c r="G137" t="s">
        <v>402</v>
      </c>
      <c r="I137">
        <v>2</v>
      </c>
      <c r="J137" t="s">
        <v>418</v>
      </c>
    </row>
    <row r="138" spans="1:10" x14ac:dyDescent="0.45">
      <c r="A138" t="s">
        <v>678</v>
      </c>
      <c r="B138" t="s">
        <v>416</v>
      </c>
      <c r="C138" t="s">
        <v>679</v>
      </c>
      <c r="D138">
        <v>199</v>
      </c>
      <c r="E138" t="s">
        <v>413</v>
      </c>
      <c r="F138" t="s">
        <v>421</v>
      </c>
      <c r="G138" t="s">
        <v>402</v>
      </c>
      <c r="I138">
        <v>1</v>
      </c>
      <c r="J138" t="s">
        <v>409</v>
      </c>
    </row>
    <row r="139" spans="1:10" x14ac:dyDescent="0.45">
      <c r="A139" t="s">
        <v>680</v>
      </c>
      <c r="B139" t="s">
        <v>416</v>
      </c>
      <c r="C139" t="s">
        <v>576</v>
      </c>
      <c r="D139">
        <v>399</v>
      </c>
      <c r="E139" t="s">
        <v>400</v>
      </c>
      <c r="F139" t="s">
        <v>401</v>
      </c>
      <c r="G139" t="s">
        <v>402</v>
      </c>
      <c r="I139">
        <v>0</v>
      </c>
      <c r="J139" t="s">
        <v>418</v>
      </c>
    </row>
    <row r="140" spans="1:10" x14ac:dyDescent="0.45">
      <c r="A140" t="s">
        <v>681</v>
      </c>
      <c r="B140" t="s">
        <v>416</v>
      </c>
      <c r="C140" t="s">
        <v>682</v>
      </c>
      <c r="D140">
        <v>399</v>
      </c>
      <c r="E140" t="s">
        <v>427</v>
      </c>
      <c r="F140" t="s">
        <v>431</v>
      </c>
      <c r="G140" t="s">
        <v>402</v>
      </c>
      <c r="H140" t="s">
        <v>683</v>
      </c>
      <c r="I140">
        <v>0</v>
      </c>
      <c r="J140" t="s">
        <v>414</v>
      </c>
    </row>
    <row r="141" spans="1:10" x14ac:dyDescent="0.45">
      <c r="A141" t="s">
        <v>684</v>
      </c>
      <c r="B141" t="s">
        <v>416</v>
      </c>
      <c r="C141" t="s">
        <v>685</v>
      </c>
      <c r="D141">
        <v>799</v>
      </c>
      <c r="E141" t="s">
        <v>400</v>
      </c>
      <c r="F141" t="s">
        <v>421</v>
      </c>
      <c r="G141" t="s">
        <v>402</v>
      </c>
      <c r="H141" t="s">
        <v>686</v>
      </c>
      <c r="I141">
        <v>2</v>
      </c>
      <c r="J141" t="s">
        <v>403</v>
      </c>
    </row>
    <row r="142" spans="1:10" x14ac:dyDescent="0.45">
      <c r="A142" t="s">
        <v>687</v>
      </c>
      <c r="B142" t="s">
        <v>411</v>
      </c>
      <c r="C142" t="s">
        <v>688</v>
      </c>
      <c r="D142">
        <v>399</v>
      </c>
      <c r="E142" t="s">
        <v>413</v>
      </c>
      <c r="F142" t="s">
        <v>407</v>
      </c>
      <c r="G142" t="s">
        <v>402</v>
      </c>
      <c r="I142">
        <v>2</v>
      </c>
      <c r="J142" t="s">
        <v>428</v>
      </c>
    </row>
    <row r="143" spans="1:10" x14ac:dyDescent="0.45">
      <c r="A143" t="s">
        <v>689</v>
      </c>
      <c r="B143" t="s">
        <v>411</v>
      </c>
      <c r="C143" t="s">
        <v>690</v>
      </c>
      <c r="D143">
        <v>199</v>
      </c>
      <c r="E143" t="s">
        <v>427</v>
      </c>
      <c r="F143" t="s">
        <v>421</v>
      </c>
      <c r="G143" t="s">
        <v>402</v>
      </c>
      <c r="I143">
        <v>0</v>
      </c>
      <c r="J143" t="s">
        <v>409</v>
      </c>
    </row>
    <row r="144" spans="1:10" x14ac:dyDescent="0.45">
      <c r="A144" t="s">
        <v>691</v>
      </c>
      <c r="B144" t="s">
        <v>411</v>
      </c>
      <c r="C144" t="s">
        <v>692</v>
      </c>
      <c r="D144">
        <v>199</v>
      </c>
      <c r="E144" t="s">
        <v>413</v>
      </c>
      <c r="F144" t="s">
        <v>401</v>
      </c>
      <c r="G144" t="s">
        <v>402</v>
      </c>
      <c r="I144">
        <v>0</v>
      </c>
      <c r="J144" t="s">
        <v>403</v>
      </c>
    </row>
    <row r="145" spans="1:10" x14ac:dyDescent="0.45">
      <c r="A145" t="s">
        <v>693</v>
      </c>
      <c r="B145" t="s">
        <v>411</v>
      </c>
      <c r="C145" t="s">
        <v>353</v>
      </c>
      <c r="D145">
        <v>199</v>
      </c>
      <c r="E145" t="s">
        <v>400</v>
      </c>
      <c r="F145" t="s">
        <v>407</v>
      </c>
      <c r="G145" t="s">
        <v>402</v>
      </c>
      <c r="H145" t="s">
        <v>694</v>
      </c>
      <c r="I145">
        <v>2</v>
      </c>
      <c r="J145" t="s">
        <v>403</v>
      </c>
    </row>
    <row r="146" spans="1:10" x14ac:dyDescent="0.45">
      <c r="A146" t="s">
        <v>695</v>
      </c>
      <c r="B146" t="s">
        <v>398</v>
      </c>
      <c r="C146" t="s">
        <v>572</v>
      </c>
      <c r="D146">
        <v>799</v>
      </c>
      <c r="E146" t="s">
        <v>434</v>
      </c>
      <c r="F146" t="s">
        <v>421</v>
      </c>
      <c r="G146" t="s">
        <v>402</v>
      </c>
      <c r="I146">
        <v>2</v>
      </c>
      <c r="J146" t="s">
        <v>418</v>
      </c>
    </row>
    <row r="147" spans="1:10" x14ac:dyDescent="0.45">
      <c r="A147" t="s">
        <v>696</v>
      </c>
      <c r="B147" t="s">
        <v>411</v>
      </c>
      <c r="C147" t="s">
        <v>697</v>
      </c>
      <c r="D147">
        <v>399</v>
      </c>
      <c r="E147" t="s">
        <v>400</v>
      </c>
      <c r="F147" t="s">
        <v>431</v>
      </c>
      <c r="G147" t="s">
        <v>402</v>
      </c>
      <c r="I147">
        <v>1</v>
      </c>
      <c r="J147" t="s">
        <v>414</v>
      </c>
    </row>
    <row r="148" spans="1:10" x14ac:dyDescent="0.45">
      <c r="A148" t="s">
        <v>698</v>
      </c>
      <c r="B148" t="s">
        <v>416</v>
      </c>
      <c r="C148" t="s">
        <v>699</v>
      </c>
      <c r="D148">
        <v>399</v>
      </c>
      <c r="E148" t="s">
        <v>400</v>
      </c>
      <c r="F148" t="s">
        <v>407</v>
      </c>
      <c r="G148" t="s">
        <v>402</v>
      </c>
      <c r="I148">
        <v>2</v>
      </c>
      <c r="J148" t="s">
        <v>418</v>
      </c>
    </row>
    <row r="149" spans="1:10" x14ac:dyDescent="0.45">
      <c r="A149" t="s">
        <v>700</v>
      </c>
      <c r="B149" t="s">
        <v>411</v>
      </c>
      <c r="C149" t="s">
        <v>433</v>
      </c>
      <c r="D149">
        <v>399</v>
      </c>
      <c r="E149" t="s">
        <v>400</v>
      </c>
      <c r="F149" t="s">
        <v>431</v>
      </c>
      <c r="G149" t="s">
        <v>408</v>
      </c>
      <c r="I149">
        <v>1</v>
      </c>
      <c r="J149" t="s">
        <v>414</v>
      </c>
    </row>
    <row r="150" spans="1:10" x14ac:dyDescent="0.45">
      <c r="A150" t="s">
        <v>701</v>
      </c>
      <c r="B150" t="s">
        <v>411</v>
      </c>
      <c r="C150" t="s">
        <v>503</v>
      </c>
      <c r="D150">
        <v>199</v>
      </c>
      <c r="E150" t="s">
        <v>406</v>
      </c>
      <c r="F150" t="s">
        <v>401</v>
      </c>
      <c r="G150" t="s">
        <v>402</v>
      </c>
      <c r="I150">
        <v>3</v>
      </c>
      <c r="J150" t="s">
        <v>418</v>
      </c>
    </row>
    <row r="151" spans="1:10" x14ac:dyDescent="0.45">
      <c r="A151" t="s">
        <v>702</v>
      </c>
      <c r="B151" t="s">
        <v>416</v>
      </c>
      <c r="C151" t="s">
        <v>703</v>
      </c>
      <c r="D151">
        <v>399</v>
      </c>
      <c r="E151" t="s">
        <v>413</v>
      </c>
      <c r="F151" t="s">
        <v>421</v>
      </c>
      <c r="G151" t="s">
        <v>402</v>
      </c>
      <c r="I151">
        <v>1</v>
      </c>
      <c r="J151" t="s">
        <v>403</v>
      </c>
    </row>
    <row r="152" spans="1:10" x14ac:dyDescent="0.45">
      <c r="A152" t="s">
        <v>704</v>
      </c>
      <c r="B152" t="s">
        <v>411</v>
      </c>
      <c r="C152" t="s">
        <v>705</v>
      </c>
      <c r="D152">
        <v>199</v>
      </c>
      <c r="E152" t="s">
        <v>413</v>
      </c>
      <c r="F152" t="s">
        <v>431</v>
      </c>
      <c r="G152" t="s">
        <v>408</v>
      </c>
      <c r="I152">
        <v>1</v>
      </c>
      <c r="J152" t="s">
        <v>428</v>
      </c>
    </row>
    <row r="153" spans="1:10" x14ac:dyDescent="0.45">
      <c r="A153" t="s">
        <v>706</v>
      </c>
      <c r="B153" t="s">
        <v>411</v>
      </c>
      <c r="C153" t="s">
        <v>707</v>
      </c>
      <c r="D153">
        <v>399</v>
      </c>
      <c r="E153" t="s">
        <v>413</v>
      </c>
      <c r="F153" t="s">
        <v>401</v>
      </c>
      <c r="G153" t="s">
        <v>402</v>
      </c>
      <c r="I153">
        <v>6</v>
      </c>
      <c r="J153" t="s">
        <v>414</v>
      </c>
    </row>
    <row r="154" spans="1:10" x14ac:dyDescent="0.45">
      <c r="A154" t="s">
        <v>708</v>
      </c>
      <c r="B154" t="s">
        <v>411</v>
      </c>
      <c r="C154" t="s">
        <v>709</v>
      </c>
      <c r="D154">
        <v>199</v>
      </c>
      <c r="E154" t="s">
        <v>406</v>
      </c>
      <c r="F154" t="s">
        <v>421</v>
      </c>
      <c r="G154" t="s">
        <v>408</v>
      </c>
      <c r="I154">
        <v>1</v>
      </c>
      <c r="J154" t="s">
        <v>409</v>
      </c>
    </row>
    <row r="155" spans="1:10" x14ac:dyDescent="0.45">
      <c r="A155" t="s">
        <v>710</v>
      </c>
      <c r="B155" t="s">
        <v>398</v>
      </c>
      <c r="C155" t="s">
        <v>177</v>
      </c>
      <c r="D155">
        <v>399</v>
      </c>
      <c r="E155" t="s">
        <v>434</v>
      </c>
      <c r="F155" t="s">
        <v>401</v>
      </c>
      <c r="G155" t="s">
        <v>408</v>
      </c>
      <c r="I155">
        <v>1</v>
      </c>
      <c r="J155" t="s">
        <v>409</v>
      </c>
    </row>
    <row r="156" spans="1:10" x14ac:dyDescent="0.45">
      <c r="A156" t="s">
        <v>711</v>
      </c>
      <c r="B156" t="s">
        <v>411</v>
      </c>
      <c r="C156" t="s">
        <v>712</v>
      </c>
      <c r="D156">
        <v>799</v>
      </c>
      <c r="E156" t="s">
        <v>400</v>
      </c>
      <c r="F156" t="s">
        <v>431</v>
      </c>
      <c r="G156" t="s">
        <v>402</v>
      </c>
      <c r="I156">
        <v>2</v>
      </c>
      <c r="J156" t="s">
        <v>403</v>
      </c>
    </row>
    <row r="157" spans="1:10" x14ac:dyDescent="0.45">
      <c r="A157" t="s">
        <v>713</v>
      </c>
      <c r="B157" t="s">
        <v>416</v>
      </c>
      <c r="C157" t="s">
        <v>714</v>
      </c>
      <c r="D157">
        <v>799</v>
      </c>
      <c r="E157" t="s">
        <v>434</v>
      </c>
      <c r="F157" t="s">
        <v>401</v>
      </c>
      <c r="G157" t="s">
        <v>408</v>
      </c>
      <c r="H157" t="s">
        <v>474</v>
      </c>
      <c r="I157">
        <v>0</v>
      </c>
      <c r="J157" t="s">
        <v>418</v>
      </c>
    </row>
    <row r="158" spans="1:10" x14ac:dyDescent="0.45">
      <c r="A158" t="s">
        <v>715</v>
      </c>
      <c r="B158" t="s">
        <v>416</v>
      </c>
      <c r="C158" t="s">
        <v>716</v>
      </c>
      <c r="D158">
        <v>199</v>
      </c>
      <c r="E158" t="s">
        <v>406</v>
      </c>
      <c r="F158" t="s">
        <v>407</v>
      </c>
      <c r="G158" t="s">
        <v>402</v>
      </c>
      <c r="I158">
        <v>1</v>
      </c>
      <c r="J158" t="s">
        <v>418</v>
      </c>
    </row>
    <row r="159" spans="1:10" x14ac:dyDescent="0.45">
      <c r="A159" t="s">
        <v>717</v>
      </c>
      <c r="B159" t="s">
        <v>411</v>
      </c>
      <c r="C159" t="s">
        <v>718</v>
      </c>
      <c r="D159">
        <v>199</v>
      </c>
      <c r="E159" t="s">
        <v>413</v>
      </c>
      <c r="F159" t="s">
        <v>421</v>
      </c>
      <c r="G159" t="s">
        <v>402</v>
      </c>
      <c r="I159">
        <v>0</v>
      </c>
      <c r="J159" t="s">
        <v>403</v>
      </c>
    </row>
    <row r="160" spans="1:10" x14ac:dyDescent="0.45">
      <c r="A160" t="s">
        <v>719</v>
      </c>
      <c r="B160" t="s">
        <v>411</v>
      </c>
      <c r="C160" t="s">
        <v>209</v>
      </c>
      <c r="D160">
        <v>399</v>
      </c>
      <c r="E160" t="s">
        <v>400</v>
      </c>
      <c r="F160" t="s">
        <v>401</v>
      </c>
      <c r="G160" t="s">
        <v>402</v>
      </c>
      <c r="I160">
        <v>0</v>
      </c>
      <c r="J160" t="s">
        <v>409</v>
      </c>
    </row>
    <row r="161" spans="1:10" x14ac:dyDescent="0.45">
      <c r="A161" t="s">
        <v>720</v>
      </c>
      <c r="B161" t="s">
        <v>411</v>
      </c>
      <c r="C161" t="s">
        <v>721</v>
      </c>
      <c r="D161">
        <v>399</v>
      </c>
      <c r="E161" t="s">
        <v>427</v>
      </c>
      <c r="F161" t="s">
        <v>431</v>
      </c>
      <c r="G161" t="s">
        <v>402</v>
      </c>
      <c r="I161">
        <v>1</v>
      </c>
      <c r="J161" t="s">
        <v>409</v>
      </c>
    </row>
    <row r="162" spans="1:10" x14ac:dyDescent="0.45">
      <c r="A162" t="s">
        <v>722</v>
      </c>
      <c r="B162" t="s">
        <v>416</v>
      </c>
      <c r="C162" t="s">
        <v>723</v>
      </c>
      <c r="D162">
        <v>799</v>
      </c>
      <c r="E162" t="s">
        <v>427</v>
      </c>
      <c r="F162" t="s">
        <v>421</v>
      </c>
      <c r="G162" t="s">
        <v>408</v>
      </c>
      <c r="I162">
        <v>3</v>
      </c>
      <c r="J162" t="s">
        <v>418</v>
      </c>
    </row>
    <row r="163" spans="1:10" x14ac:dyDescent="0.45">
      <c r="A163" t="s">
        <v>724</v>
      </c>
      <c r="B163" t="s">
        <v>416</v>
      </c>
      <c r="C163" t="s">
        <v>603</v>
      </c>
      <c r="D163">
        <v>399</v>
      </c>
      <c r="E163" t="s">
        <v>434</v>
      </c>
      <c r="F163" t="s">
        <v>407</v>
      </c>
      <c r="G163" t="s">
        <v>402</v>
      </c>
      <c r="I163">
        <v>2</v>
      </c>
      <c r="J163" t="s">
        <v>414</v>
      </c>
    </row>
    <row r="164" spans="1:10" x14ac:dyDescent="0.45">
      <c r="A164" t="s">
        <v>725</v>
      </c>
      <c r="B164" t="s">
        <v>398</v>
      </c>
      <c r="C164" t="s">
        <v>726</v>
      </c>
      <c r="D164">
        <v>199</v>
      </c>
      <c r="E164" t="s">
        <v>413</v>
      </c>
      <c r="F164" t="s">
        <v>421</v>
      </c>
      <c r="G164" t="s">
        <v>402</v>
      </c>
      <c r="H164" t="s">
        <v>39</v>
      </c>
      <c r="I164">
        <v>0</v>
      </c>
      <c r="J164" t="s">
        <v>428</v>
      </c>
    </row>
    <row r="165" spans="1:10" x14ac:dyDescent="0.45">
      <c r="A165" t="s">
        <v>727</v>
      </c>
      <c r="B165" t="s">
        <v>398</v>
      </c>
      <c r="C165" t="s">
        <v>728</v>
      </c>
      <c r="D165">
        <v>199</v>
      </c>
      <c r="E165" t="s">
        <v>427</v>
      </c>
      <c r="F165" t="s">
        <v>407</v>
      </c>
      <c r="G165" t="s">
        <v>402</v>
      </c>
      <c r="H165" t="s">
        <v>153</v>
      </c>
      <c r="I165">
        <v>2</v>
      </c>
      <c r="J165" t="s">
        <v>414</v>
      </c>
    </row>
    <row r="166" spans="1:10" x14ac:dyDescent="0.45">
      <c r="A166" t="s">
        <v>729</v>
      </c>
      <c r="B166" t="s">
        <v>398</v>
      </c>
      <c r="C166" t="s">
        <v>730</v>
      </c>
      <c r="D166">
        <v>199</v>
      </c>
      <c r="E166" t="s">
        <v>434</v>
      </c>
      <c r="F166" t="s">
        <v>421</v>
      </c>
      <c r="G166" t="s">
        <v>402</v>
      </c>
      <c r="I166">
        <v>1</v>
      </c>
      <c r="J166" t="s">
        <v>409</v>
      </c>
    </row>
    <row r="167" spans="1:10" x14ac:dyDescent="0.45">
      <c r="A167" t="s">
        <v>731</v>
      </c>
      <c r="B167" t="s">
        <v>416</v>
      </c>
      <c r="C167" t="s">
        <v>732</v>
      </c>
      <c r="D167">
        <v>199</v>
      </c>
      <c r="E167" t="s">
        <v>406</v>
      </c>
      <c r="F167" t="s">
        <v>401</v>
      </c>
      <c r="G167" t="s">
        <v>402</v>
      </c>
      <c r="H167" t="s">
        <v>609</v>
      </c>
      <c r="I167">
        <v>3</v>
      </c>
      <c r="J167" t="s">
        <v>414</v>
      </c>
    </row>
    <row r="168" spans="1:10" x14ac:dyDescent="0.45">
      <c r="A168" t="s">
        <v>733</v>
      </c>
      <c r="B168" t="s">
        <v>398</v>
      </c>
      <c r="C168" t="s">
        <v>144</v>
      </c>
      <c r="D168">
        <v>199</v>
      </c>
      <c r="E168" t="s">
        <v>434</v>
      </c>
      <c r="F168" t="s">
        <v>401</v>
      </c>
      <c r="G168" t="s">
        <v>402</v>
      </c>
      <c r="H168" t="s">
        <v>734</v>
      </c>
      <c r="I168">
        <v>2</v>
      </c>
      <c r="J168" t="s">
        <v>428</v>
      </c>
    </row>
    <row r="169" spans="1:10" x14ac:dyDescent="0.45">
      <c r="A169" t="s">
        <v>735</v>
      </c>
      <c r="B169" t="s">
        <v>411</v>
      </c>
      <c r="C169" t="s">
        <v>159</v>
      </c>
      <c r="D169">
        <v>799</v>
      </c>
      <c r="E169" t="s">
        <v>434</v>
      </c>
      <c r="F169" t="s">
        <v>431</v>
      </c>
      <c r="G169" t="s">
        <v>408</v>
      </c>
      <c r="I169">
        <v>1</v>
      </c>
      <c r="J169" t="s">
        <v>414</v>
      </c>
    </row>
    <row r="170" spans="1:10" x14ac:dyDescent="0.45">
      <c r="A170" t="s">
        <v>736</v>
      </c>
      <c r="B170" t="s">
        <v>411</v>
      </c>
      <c r="C170" t="s">
        <v>737</v>
      </c>
      <c r="D170">
        <v>799</v>
      </c>
      <c r="E170" t="s">
        <v>434</v>
      </c>
      <c r="F170" t="s">
        <v>407</v>
      </c>
      <c r="G170" t="s">
        <v>402</v>
      </c>
      <c r="I170">
        <v>0</v>
      </c>
      <c r="J170" t="s">
        <v>414</v>
      </c>
    </row>
    <row r="171" spans="1:10" x14ac:dyDescent="0.45">
      <c r="A171" t="s">
        <v>738</v>
      </c>
      <c r="B171" t="s">
        <v>416</v>
      </c>
      <c r="C171" t="s">
        <v>22</v>
      </c>
      <c r="D171">
        <v>199</v>
      </c>
      <c r="E171" t="s">
        <v>400</v>
      </c>
      <c r="F171" t="s">
        <v>431</v>
      </c>
      <c r="G171" t="s">
        <v>408</v>
      </c>
      <c r="I171">
        <v>3</v>
      </c>
      <c r="J171" t="s">
        <v>414</v>
      </c>
    </row>
    <row r="172" spans="1:10" x14ac:dyDescent="0.45">
      <c r="A172" t="s">
        <v>739</v>
      </c>
      <c r="B172" t="s">
        <v>398</v>
      </c>
      <c r="C172" t="s">
        <v>740</v>
      </c>
      <c r="D172">
        <v>399</v>
      </c>
      <c r="E172" t="s">
        <v>434</v>
      </c>
      <c r="F172" t="s">
        <v>401</v>
      </c>
      <c r="G172" t="s">
        <v>402</v>
      </c>
      <c r="H172" t="s">
        <v>688</v>
      </c>
      <c r="I172">
        <v>3</v>
      </c>
      <c r="J172" t="s">
        <v>414</v>
      </c>
    </row>
    <row r="173" spans="1:10" x14ac:dyDescent="0.45">
      <c r="A173" t="s">
        <v>741</v>
      </c>
      <c r="B173" t="s">
        <v>411</v>
      </c>
      <c r="C173" t="s">
        <v>742</v>
      </c>
      <c r="D173">
        <v>199</v>
      </c>
      <c r="E173" t="s">
        <v>434</v>
      </c>
      <c r="F173" t="s">
        <v>407</v>
      </c>
      <c r="G173" t="s">
        <v>402</v>
      </c>
      <c r="I173">
        <v>2</v>
      </c>
      <c r="J173" t="s">
        <v>403</v>
      </c>
    </row>
    <row r="174" spans="1:10" x14ac:dyDescent="0.45">
      <c r="A174" t="s">
        <v>743</v>
      </c>
      <c r="B174" t="s">
        <v>416</v>
      </c>
      <c r="C174" t="s">
        <v>744</v>
      </c>
      <c r="D174">
        <v>799</v>
      </c>
      <c r="E174" t="s">
        <v>400</v>
      </c>
      <c r="F174" t="s">
        <v>431</v>
      </c>
      <c r="G174" t="s">
        <v>402</v>
      </c>
      <c r="H174" t="s">
        <v>745</v>
      </c>
      <c r="I174">
        <v>2</v>
      </c>
      <c r="J174" t="s">
        <v>409</v>
      </c>
    </row>
    <row r="175" spans="1:10" x14ac:dyDescent="0.45">
      <c r="A175" t="s">
        <v>746</v>
      </c>
      <c r="B175" t="s">
        <v>398</v>
      </c>
      <c r="C175" t="s">
        <v>543</v>
      </c>
      <c r="D175">
        <v>199</v>
      </c>
      <c r="E175" t="s">
        <v>400</v>
      </c>
      <c r="F175" t="s">
        <v>431</v>
      </c>
      <c r="G175" t="s">
        <v>402</v>
      </c>
      <c r="I175">
        <v>0</v>
      </c>
      <c r="J175" t="s">
        <v>428</v>
      </c>
    </row>
    <row r="176" spans="1:10" x14ac:dyDescent="0.45">
      <c r="A176" t="s">
        <v>747</v>
      </c>
      <c r="B176" t="s">
        <v>411</v>
      </c>
      <c r="C176" t="s">
        <v>578</v>
      </c>
      <c r="D176">
        <v>799</v>
      </c>
      <c r="E176" t="s">
        <v>406</v>
      </c>
      <c r="F176" t="s">
        <v>431</v>
      </c>
      <c r="G176" t="s">
        <v>402</v>
      </c>
      <c r="I176">
        <v>0</v>
      </c>
      <c r="J176" t="s">
        <v>409</v>
      </c>
    </row>
    <row r="177" spans="1:10" x14ac:dyDescent="0.45">
      <c r="A177" t="s">
        <v>748</v>
      </c>
      <c r="B177" t="s">
        <v>398</v>
      </c>
      <c r="C177" t="s">
        <v>749</v>
      </c>
      <c r="D177">
        <v>799</v>
      </c>
      <c r="E177" t="s">
        <v>413</v>
      </c>
      <c r="F177" t="s">
        <v>431</v>
      </c>
      <c r="G177" t="s">
        <v>408</v>
      </c>
      <c r="H177" t="s">
        <v>750</v>
      </c>
      <c r="I177">
        <v>1</v>
      </c>
      <c r="J177" t="s">
        <v>403</v>
      </c>
    </row>
    <row r="178" spans="1:10" x14ac:dyDescent="0.45">
      <c r="A178" t="s">
        <v>751</v>
      </c>
      <c r="B178" t="s">
        <v>416</v>
      </c>
      <c r="C178" t="s">
        <v>59</v>
      </c>
      <c r="D178">
        <v>199</v>
      </c>
      <c r="E178" t="s">
        <v>427</v>
      </c>
      <c r="F178" t="s">
        <v>431</v>
      </c>
      <c r="G178" t="s">
        <v>402</v>
      </c>
      <c r="I178">
        <v>1</v>
      </c>
      <c r="J178" t="s">
        <v>403</v>
      </c>
    </row>
    <row r="179" spans="1:10" x14ac:dyDescent="0.45">
      <c r="A179" t="s">
        <v>752</v>
      </c>
      <c r="B179" t="s">
        <v>398</v>
      </c>
      <c r="C179" t="s">
        <v>22</v>
      </c>
      <c r="D179">
        <v>199</v>
      </c>
      <c r="E179" t="s">
        <v>427</v>
      </c>
      <c r="F179" t="s">
        <v>407</v>
      </c>
      <c r="G179" t="s">
        <v>408</v>
      </c>
      <c r="I179">
        <v>1</v>
      </c>
      <c r="J179" t="s">
        <v>403</v>
      </c>
    </row>
    <row r="180" spans="1:10" x14ac:dyDescent="0.45">
      <c r="A180" t="s">
        <v>753</v>
      </c>
      <c r="B180" t="s">
        <v>416</v>
      </c>
      <c r="C180" t="s">
        <v>754</v>
      </c>
      <c r="D180">
        <v>399</v>
      </c>
      <c r="E180" t="s">
        <v>434</v>
      </c>
      <c r="F180" t="s">
        <v>431</v>
      </c>
      <c r="G180" t="s">
        <v>402</v>
      </c>
      <c r="I180">
        <v>1</v>
      </c>
      <c r="J180" t="s">
        <v>403</v>
      </c>
    </row>
    <row r="181" spans="1:10" x14ac:dyDescent="0.45">
      <c r="A181" t="s">
        <v>755</v>
      </c>
      <c r="B181" t="s">
        <v>398</v>
      </c>
      <c r="C181" t="s">
        <v>756</v>
      </c>
      <c r="D181">
        <v>799</v>
      </c>
      <c r="E181" t="s">
        <v>406</v>
      </c>
      <c r="F181" t="s">
        <v>407</v>
      </c>
      <c r="G181" t="s">
        <v>402</v>
      </c>
      <c r="I181">
        <v>2</v>
      </c>
      <c r="J181" t="s">
        <v>414</v>
      </c>
    </row>
    <row r="182" spans="1:10" x14ac:dyDescent="0.45">
      <c r="A182" t="s">
        <v>757</v>
      </c>
      <c r="B182" t="s">
        <v>411</v>
      </c>
      <c r="C182" t="s">
        <v>758</v>
      </c>
      <c r="D182">
        <v>399</v>
      </c>
      <c r="E182" t="s">
        <v>434</v>
      </c>
      <c r="F182" t="s">
        <v>431</v>
      </c>
      <c r="G182" t="s">
        <v>402</v>
      </c>
      <c r="I182">
        <v>1</v>
      </c>
      <c r="J182" t="s">
        <v>409</v>
      </c>
    </row>
    <row r="183" spans="1:10" x14ac:dyDescent="0.45">
      <c r="A183" t="s">
        <v>759</v>
      </c>
      <c r="B183" t="s">
        <v>416</v>
      </c>
      <c r="C183" t="s">
        <v>760</v>
      </c>
      <c r="D183">
        <v>199</v>
      </c>
      <c r="E183" t="s">
        <v>427</v>
      </c>
      <c r="F183" t="s">
        <v>401</v>
      </c>
      <c r="G183" t="s">
        <v>408</v>
      </c>
      <c r="I183">
        <v>2</v>
      </c>
      <c r="J183" t="s">
        <v>418</v>
      </c>
    </row>
    <row r="184" spans="1:10" x14ac:dyDescent="0.45">
      <c r="A184" t="s">
        <v>761</v>
      </c>
      <c r="B184" t="s">
        <v>416</v>
      </c>
      <c r="C184" t="s">
        <v>762</v>
      </c>
      <c r="D184">
        <v>799</v>
      </c>
      <c r="E184" t="s">
        <v>400</v>
      </c>
      <c r="F184" t="s">
        <v>401</v>
      </c>
      <c r="G184" t="s">
        <v>402</v>
      </c>
      <c r="I184">
        <v>0</v>
      </c>
      <c r="J184" t="s">
        <v>428</v>
      </c>
    </row>
    <row r="185" spans="1:10" x14ac:dyDescent="0.45">
      <c r="A185" t="s">
        <v>763</v>
      </c>
      <c r="B185" t="s">
        <v>416</v>
      </c>
      <c r="C185" t="s">
        <v>764</v>
      </c>
      <c r="D185">
        <v>399</v>
      </c>
      <c r="E185" t="s">
        <v>413</v>
      </c>
      <c r="F185" t="s">
        <v>431</v>
      </c>
      <c r="G185" t="s">
        <v>408</v>
      </c>
      <c r="I185">
        <v>2</v>
      </c>
      <c r="J185" t="s">
        <v>403</v>
      </c>
    </row>
    <row r="186" spans="1:10" x14ac:dyDescent="0.45">
      <c r="A186" t="s">
        <v>765</v>
      </c>
      <c r="B186" t="s">
        <v>398</v>
      </c>
      <c r="C186" t="s">
        <v>133</v>
      </c>
      <c r="D186">
        <v>399</v>
      </c>
      <c r="E186" t="s">
        <v>406</v>
      </c>
      <c r="F186" t="s">
        <v>421</v>
      </c>
      <c r="G186" t="s">
        <v>408</v>
      </c>
      <c r="I186">
        <v>1</v>
      </c>
      <c r="J186" t="s">
        <v>409</v>
      </c>
    </row>
    <row r="187" spans="1:10" x14ac:dyDescent="0.45">
      <c r="A187" t="s">
        <v>766</v>
      </c>
      <c r="B187" t="s">
        <v>398</v>
      </c>
      <c r="C187" t="s">
        <v>598</v>
      </c>
      <c r="D187">
        <v>399</v>
      </c>
      <c r="E187" t="s">
        <v>400</v>
      </c>
      <c r="F187" t="s">
        <v>401</v>
      </c>
      <c r="G187" t="s">
        <v>402</v>
      </c>
      <c r="I187">
        <v>1</v>
      </c>
      <c r="J187" t="s">
        <v>403</v>
      </c>
    </row>
    <row r="188" spans="1:10" x14ac:dyDescent="0.45">
      <c r="A188" t="s">
        <v>767</v>
      </c>
      <c r="B188" t="s">
        <v>411</v>
      </c>
      <c r="C188" t="s">
        <v>304</v>
      </c>
      <c r="D188">
        <v>199</v>
      </c>
      <c r="E188" t="s">
        <v>413</v>
      </c>
      <c r="F188" t="s">
        <v>407</v>
      </c>
      <c r="G188" t="s">
        <v>402</v>
      </c>
      <c r="H188" t="s">
        <v>768</v>
      </c>
      <c r="I188">
        <v>3</v>
      </c>
      <c r="J188" t="s">
        <v>403</v>
      </c>
    </row>
    <row r="189" spans="1:10" x14ac:dyDescent="0.45">
      <c r="A189" t="s">
        <v>769</v>
      </c>
      <c r="B189" t="s">
        <v>416</v>
      </c>
      <c r="C189" t="s">
        <v>244</v>
      </c>
      <c r="D189">
        <v>199</v>
      </c>
      <c r="E189" t="s">
        <v>406</v>
      </c>
      <c r="F189" t="s">
        <v>431</v>
      </c>
      <c r="G189" t="s">
        <v>402</v>
      </c>
      <c r="I189">
        <v>1</v>
      </c>
      <c r="J189" t="s">
        <v>403</v>
      </c>
    </row>
    <row r="190" spans="1:10" x14ac:dyDescent="0.45">
      <c r="A190" t="s">
        <v>770</v>
      </c>
      <c r="B190" t="s">
        <v>416</v>
      </c>
      <c r="C190" t="s">
        <v>771</v>
      </c>
      <c r="D190">
        <v>199</v>
      </c>
      <c r="E190" t="s">
        <v>406</v>
      </c>
      <c r="F190" t="s">
        <v>407</v>
      </c>
      <c r="G190" t="s">
        <v>402</v>
      </c>
      <c r="I190">
        <v>2</v>
      </c>
      <c r="J190" t="s">
        <v>403</v>
      </c>
    </row>
    <row r="191" spans="1:10" x14ac:dyDescent="0.45">
      <c r="A191" t="s">
        <v>772</v>
      </c>
      <c r="B191" t="s">
        <v>398</v>
      </c>
      <c r="C191" t="s">
        <v>191</v>
      </c>
      <c r="D191">
        <v>799</v>
      </c>
      <c r="E191" t="s">
        <v>427</v>
      </c>
      <c r="F191" t="s">
        <v>421</v>
      </c>
      <c r="G191" t="s">
        <v>402</v>
      </c>
      <c r="I191">
        <v>0</v>
      </c>
      <c r="J191" t="s">
        <v>403</v>
      </c>
    </row>
    <row r="192" spans="1:10" x14ac:dyDescent="0.45">
      <c r="A192" t="s">
        <v>773</v>
      </c>
      <c r="B192" t="s">
        <v>398</v>
      </c>
      <c r="C192" t="s">
        <v>540</v>
      </c>
      <c r="D192">
        <v>199</v>
      </c>
      <c r="E192" t="s">
        <v>400</v>
      </c>
      <c r="F192" t="s">
        <v>431</v>
      </c>
      <c r="G192" t="s">
        <v>402</v>
      </c>
      <c r="H192" t="s">
        <v>629</v>
      </c>
      <c r="I192">
        <v>1</v>
      </c>
      <c r="J192" t="s">
        <v>428</v>
      </c>
    </row>
    <row r="193" spans="1:10" x14ac:dyDescent="0.45">
      <c r="A193" t="s">
        <v>774</v>
      </c>
      <c r="B193" t="s">
        <v>411</v>
      </c>
      <c r="C193" t="s">
        <v>212</v>
      </c>
      <c r="D193">
        <v>799</v>
      </c>
      <c r="E193" t="s">
        <v>406</v>
      </c>
      <c r="F193" t="s">
        <v>401</v>
      </c>
      <c r="G193" t="s">
        <v>402</v>
      </c>
      <c r="I193">
        <v>1</v>
      </c>
      <c r="J193" t="s">
        <v>409</v>
      </c>
    </row>
    <row r="194" spans="1:10" x14ac:dyDescent="0.45">
      <c r="A194" t="s">
        <v>775</v>
      </c>
      <c r="B194" t="s">
        <v>411</v>
      </c>
      <c r="C194" t="s">
        <v>137</v>
      </c>
      <c r="D194">
        <v>399</v>
      </c>
      <c r="E194" t="s">
        <v>406</v>
      </c>
      <c r="F194" t="s">
        <v>407</v>
      </c>
      <c r="G194" t="s">
        <v>402</v>
      </c>
      <c r="H194" t="s">
        <v>776</v>
      </c>
      <c r="I194">
        <v>1</v>
      </c>
      <c r="J194" t="s">
        <v>403</v>
      </c>
    </row>
    <row r="195" spans="1:10" x14ac:dyDescent="0.45">
      <c r="A195" t="s">
        <v>777</v>
      </c>
      <c r="B195" t="s">
        <v>398</v>
      </c>
      <c r="C195" t="s">
        <v>778</v>
      </c>
      <c r="D195">
        <v>399</v>
      </c>
      <c r="E195" t="s">
        <v>413</v>
      </c>
      <c r="F195" t="s">
        <v>401</v>
      </c>
      <c r="G195" t="s">
        <v>402</v>
      </c>
      <c r="I195">
        <v>2</v>
      </c>
      <c r="J195" t="s">
        <v>403</v>
      </c>
    </row>
    <row r="196" spans="1:10" x14ac:dyDescent="0.45">
      <c r="A196" t="s">
        <v>779</v>
      </c>
      <c r="B196" t="s">
        <v>416</v>
      </c>
      <c r="C196" t="s">
        <v>780</v>
      </c>
      <c r="D196">
        <v>199</v>
      </c>
      <c r="E196" t="s">
        <v>427</v>
      </c>
      <c r="F196" t="s">
        <v>401</v>
      </c>
      <c r="G196" t="s">
        <v>402</v>
      </c>
      <c r="I196">
        <v>1</v>
      </c>
      <c r="J196" t="s">
        <v>403</v>
      </c>
    </row>
    <row r="197" spans="1:10" x14ac:dyDescent="0.45">
      <c r="A197" t="s">
        <v>781</v>
      </c>
      <c r="B197" t="s">
        <v>411</v>
      </c>
      <c r="C197" t="s">
        <v>623</v>
      </c>
      <c r="D197">
        <v>399</v>
      </c>
      <c r="E197" t="s">
        <v>434</v>
      </c>
      <c r="F197" t="s">
        <v>431</v>
      </c>
      <c r="G197" t="s">
        <v>402</v>
      </c>
      <c r="H197" t="s">
        <v>782</v>
      </c>
      <c r="I197">
        <v>2</v>
      </c>
      <c r="J197" t="s">
        <v>403</v>
      </c>
    </row>
    <row r="198" spans="1:10" x14ac:dyDescent="0.45">
      <c r="A198" t="s">
        <v>783</v>
      </c>
      <c r="B198" t="s">
        <v>398</v>
      </c>
      <c r="C198" t="s">
        <v>248</v>
      </c>
      <c r="D198">
        <v>199</v>
      </c>
      <c r="E198" t="s">
        <v>427</v>
      </c>
      <c r="F198" t="s">
        <v>407</v>
      </c>
      <c r="G198" t="s">
        <v>402</v>
      </c>
      <c r="I198">
        <v>2</v>
      </c>
      <c r="J198" t="s">
        <v>414</v>
      </c>
    </row>
    <row r="199" spans="1:10" x14ac:dyDescent="0.45">
      <c r="A199" t="s">
        <v>784</v>
      </c>
      <c r="B199" t="s">
        <v>398</v>
      </c>
      <c r="C199" t="s">
        <v>543</v>
      </c>
      <c r="D199">
        <v>799</v>
      </c>
      <c r="E199" t="s">
        <v>434</v>
      </c>
      <c r="F199" t="s">
        <v>421</v>
      </c>
      <c r="G199" t="s">
        <v>402</v>
      </c>
      <c r="I199">
        <v>2</v>
      </c>
      <c r="J199" t="s">
        <v>414</v>
      </c>
    </row>
    <row r="200" spans="1:10" x14ac:dyDescent="0.45">
      <c r="A200" t="s">
        <v>785</v>
      </c>
      <c r="B200" t="s">
        <v>416</v>
      </c>
      <c r="C200" t="s">
        <v>613</v>
      </c>
      <c r="D200">
        <v>399</v>
      </c>
      <c r="E200" t="s">
        <v>400</v>
      </c>
      <c r="F200" t="s">
        <v>401</v>
      </c>
      <c r="G200" t="s">
        <v>408</v>
      </c>
      <c r="H200" t="s">
        <v>578</v>
      </c>
      <c r="I200">
        <v>1</v>
      </c>
      <c r="J200" t="s">
        <v>418</v>
      </c>
    </row>
    <row r="201" spans="1:10" x14ac:dyDescent="0.45">
      <c r="A201" t="s">
        <v>786</v>
      </c>
      <c r="B201" t="s">
        <v>398</v>
      </c>
      <c r="C201" t="s">
        <v>584</v>
      </c>
      <c r="D201">
        <v>199</v>
      </c>
      <c r="E201" t="s">
        <v>400</v>
      </c>
      <c r="F201" t="s">
        <v>431</v>
      </c>
      <c r="G201" t="s">
        <v>402</v>
      </c>
      <c r="I201">
        <v>1</v>
      </c>
      <c r="J201" t="s">
        <v>403</v>
      </c>
    </row>
    <row r="202" spans="1:10" x14ac:dyDescent="0.45">
      <c r="A202" t="s">
        <v>787</v>
      </c>
      <c r="B202" t="s">
        <v>398</v>
      </c>
      <c r="C202" t="s">
        <v>788</v>
      </c>
      <c r="D202">
        <v>399</v>
      </c>
      <c r="E202" t="s">
        <v>406</v>
      </c>
      <c r="F202" t="s">
        <v>431</v>
      </c>
      <c r="G202" t="s">
        <v>402</v>
      </c>
      <c r="I202">
        <v>0</v>
      </c>
      <c r="J202" t="s">
        <v>418</v>
      </c>
    </row>
    <row r="203" spans="1:10" x14ac:dyDescent="0.45">
      <c r="A203" t="s">
        <v>789</v>
      </c>
      <c r="B203" t="s">
        <v>411</v>
      </c>
      <c r="C203" t="s">
        <v>70</v>
      </c>
      <c r="D203">
        <v>399</v>
      </c>
      <c r="E203" t="s">
        <v>400</v>
      </c>
      <c r="F203" t="s">
        <v>421</v>
      </c>
      <c r="G203" t="s">
        <v>402</v>
      </c>
      <c r="I203">
        <v>1</v>
      </c>
      <c r="J203" t="s">
        <v>428</v>
      </c>
    </row>
    <row r="204" spans="1:10" x14ac:dyDescent="0.45">
      <c r="A204" t="s">
        <v>790</v>
      </c>
      <c r="B204" t="s">
        <v>398</v>
      </c>
      <c r="C204" t="s">
        <v>791</v>
      </c>
      <c r="D204">
        <v>199</v>
      </c>
      <c r="E204" t="s">
        <v>406</v>
      </c>
      <c r="F204" t="s">
        <v>431</v>
      </c>
      <c r="G204" t="s">
        <v>402</v>
      </c>
      <c r="H204" t="s">
        <v>686</v>
      </c>
      <c r="I204">
        <v>0</v>
      </c>
      <c r="J204" t="s">
        <v>418</v>
      </c>
    </row>
    <row r="205" spans="1:10" x14ac:dyDescent="0.45">
      <c r="A205" t="s">
        <v>792</v>
      </c>
      <c r="B205" t="s">
        <v>398</v>
      </c>
      <c r="C205" t="s">
        <v>112</v>
      </c>
      <c r="D205">
        <v>399</v>
      </c>
      <c r="E205" t="s">
        <v>427</v>
      </c>
      <c r="F205" t="s">
        <v>401</v>
      </c>
      <c r="G205" t="s">
        <v>402</v>
      </c>
      <c r="I205">
        <v>1</v>
      </c>
      <c r="J205" t="s">
        <v>409</v>
      </c>
    </row>
    <row r="206" spans="1:10" x14ac:dyDescent="0.45">
      <c r="A206" t="s">
        <v>793</v>
      </c>
      <c r="B206" t="s">
        <v>411</v>
      </c>
      <c r="C206" t="s">
        <v>791</v>
      </c>
      <c r="D206">
        <v>399</v>
      </c>
      <c r="E206" t="s">
        <v>400</v>
      </c>
      <c r="F206" t="s">
        <v>431</v>
      </c>
      <c r="G206" t="s">
        <v>408</v>
      </c>
      <c r="H206" t="s">
        <v>794</v>
      </c>
      <c r="I206">
        <v>2</v>
      </c>
      <c r="J206" t="s">
        <v>414</v>
      </c>
    </row>
    <row r="207" spans="1:10" x14ac:dyDescent="0.45">
      <c r="A207" t="s">
        <v>795</v>
      </c>
      <c r="B207" t="s">
        <v>416</v>
      </c>
      <c r="C207" t="s">
        <v>796</v>
      </c>
      <c r="D207">
        <v>399</v>
      </c>
      <c r="E207" t="s">
        <v>427</v>
      </c>
      <c r="F207" t="s">
        <v>407</v>
      </c>
      <c r="G207" t="s">
        <v>402</v>
      </c>
      <c r="I207">
        <v>1</v>
      </c>
      <c r="J207" t="s">
        <v>414</v>
      </c>
    </row>
    <row r="208" spans="1:10" x14ac:dyDescent="0.45">
      <c r="A208" t="s">
        <v>797</v>
      </c>
      <c r="B208" t="s">
        <v>416</v>
      </c>
      <c r="C208" t="s">
        <v>455</v>
      </c>
      <c r="D208">
        <v>399</v>
      </c>
      <c r="E208" t="s">
        <v>427</v>
      </c>
      <c r="F208" t="s">
        <v>407</v>
      </c>
      <c r="G208" t="s">
        <v>402</v>
      </c>
      <c r="I208">
        <v>0</v>
      </c>
      <c r="J208" t="s">
        <v>403</v>
      </c>
    </row>
    <row r="209" spans="1:10" x14ac:dyDescent="0.45">
      <c r="A209" t="s">
        <v>798</v>
      </c>
      <c r="B209" t="s">
        <v>411</v>
      </c>
      <c r="C209" t="s">
        <v>799</v>
      </c>
      <c r="D209">
        <v>799</v>
      </c>
      <c r="E209" t="s">
        <v>400</v>
      </c>
      <c r="F209" t="s">
        <v>401</v>
      </c>
      <c r="G209" t="s">
        <v>402</v>
      </c>
      <c r="H209" t="s">
        <v>800</v>
      </c>
      <c r="I209">
        <v>1</v>
      </c>
      <c r="J209" t="s">
        <v>403</v>
      </c>
    </row>
    <row r="210" spans="1:10" x14ac:dyDescent="0.45">
      <c r="A210" t="s">
        <v>801</v>
      </c>
      <c r="B210" t="s">
        <v>411</v>
      </c>
      <c r="C210" t="s">
        <v>802</v>
      </c>
      <c r="D210">
        <v>399</v>
      </c>
      <c r="E210" t="s">
        <v>427</v>
      </c>
      <c r="F210" t="s">
        <v>407</v>
      </c>
      <c r="G210" t="s">
        <v>402</v>
      </c>
      <c r="I210">
        <v>2</v>
      </c>
      <c r="J210" t="s">
        <v>428</v>
      </c>
    </row>
    <row r="211" spans="1:10" x14ac:dyDescent="0.45">
      <c r="A211" t="s">
        <v>803</v>
      </c>
      <c r="B211" t="s">
        <v>416</v>
      </c>
      <c r="C211" t="s">
        <v>357</v>
      </c>
      <c r="D211">
        <v>399</v>
      </c>
      <c r="E211" t="s">
        <v>400</v>
      </c>
      <c r="F211" t="s">
        <v>421</v>
      </c>
      <c r="G211" t="s">
        <v>402</v>
      </c>
      <c r="I211">
        <v>2</v>
      </c>
      <c r="J211" t="s">
        <v>428</v>
      </c>
    </row>
    <row r="212" spans="1:10" x14ac:dyDescent="0.45">
      <c r="A212" t="s">
        <v>804</v>
      </c>
      <c r="B212" t="s">
        <v>416</v>
      </c>
      <c r="C212" t="s">
        <v>805</v>
      </c>
      <c r="D212">
        <v>199</v>
      </c>
      <c r="E212" t="s">
        <v>400</v>
      </c>
      <c r="F212" t="s">
        <v>431</v>
      </c>
      <c r="G212" t="s">
        <v>402</v>
      </c>
      <c r="H212" t="s">
        <v>806</v>
      </c>
      <c r="I212">
        <v>0</v>
      </c>
      <c r="J212" t="s">
        <v>409</v>
      </c>
    </row>
    <row r="213" spans="1:10" x14ac:dyDescent="0.45">
      <c r="A213" t="s">
        <v>807</v>
      </c>
      <c r="B213" t="s">
        <v>416</v>
      </c>
      <c r="C213" t="s">
        <v>808</v>
      </c>
      <c r="D213">
        <v>799</v>
      </c>
      <c r="E213" t="s">
        <v>400</v>
      </c>
      <c r="F213" t="s">
        <v>401</v>
      </c>
      <c r="G213" t="s">
        <v>402</v>
      </c>
      <c r="H213" t="s">
        <v>469</v>
      </c>
      <c r="I213">
        <v>2</v>
      </c>
      <c r="J213" t="s">
        <v>403</v>
      </c>
    </row>
    <row r="214" spans="1:10" x14ac:dyDescent="0.45">
      <c r="A214" t="s">
        <v>809</v>
      </c>
      <c r="B214" t="s">
        <v>416</v>
      </c>
      <c r="C214" t="s">
        <v>810</v>
      </c>
      <c r="D214">
        <v>199</v>
      </c>
      <c r="E214" t="s">
        <v>434</v>
      </c>
      <c r="F214" t="s">
        <v>421</v>
      </c>
      <c r="G214" t="s">
        <v>402</v>
      </c>
      <c r="I214">
        <v>2</v>
      </c>
      <c r="J214" t="s">
        <v>403</v>
      </c>
    </row>
    <row r="215" spans="1:10" x14ac:dyDescent="0.45">
      <c r="A215" t="s">
        <v>811</v>
      </c>
      <c r="B215" t="s">
        <v>416</v>
      </c>
      <c r="C215" t="s">
        <v>812</v>
      </c>
      <c r="D215">
        <v>199</v>
      </c>
      <c r="E215" t="s">
        <v>427</v>
      </c>
      <c r="F215" t="s">
        <v>431</v>
      </c>
      <c r="G215" t="s">
        <v>402</v>
      </c>
      <c r="H215" t="s">
        <v>813</v>
      </c>
      <c r="I215">
        <v>1</v>
      </c>
      <c r="J215" t="s">
        <v>428</v>
      </c>
    </row>
    <row r="216" spans="1:10" x14ac:dyDescent="0.45">
      <c r="A216" t="s">
        <v>814</v>
      </c>
      <c r="B216" t="s">
        <v>411</v>
      </c>
      <c r="C216" t="s">
        <v>815</v>
      </c>
      <c r="D216">
        <v>199</v>
      </c>
      <c r="E216" t="s">
        <v>413</v>
      </c>
      <c r="F216" t="s">
        <v>421</v>
      </c>
      <c r="G216" t="s">
        <v>402</v>
      </c>
      <c r="H216" t="s">
        <v>364</v>
      </c>
      <c r="I216">
        <v>0</v>
      </c>
      <c r="J216" t="s">
        <v>428</v>
      </c>
    </row>
    <row r="217" spans="1:10" x14ac:dyDescent="0.45">
      <c r="A217" t="s">
        <v>816</v>
      </c>
      <c r="B217" t="s">
        <v>398</v>
      </c>
      <c r="C217" t="s">
        <v>399</v>
      </c>
      <c r="D217">
        <v>799</v>
      </c>
      <c r="E217" t="s">
        <v>400</v>
      </c>
      <c r="F217" t="s">
        <v>401</v>
      </c>
      <c r="G217" t="s">
        <v>408</v>
      </c>
      <c r="H217" t="s">
        <v>776</v>
      </c>
      <c r="I217">
        <v>1</v>
      </c>
      <c r="J217" t="s">
        <v>428</v>
      </c>
    </row>
    <row r="218" spans="1:10" x14ac:dyDescent="0.45">
      <c r="A218" t="s">
        <v>817</v>
      </c>
      <c r="B218" t="s">
        <v>416</v>
      </c>
      <c r="C218" t="s">
        <v>818</v>
      </c>
      <c r="D218">
        <v>199</v>
      </c>
      <c r="E218" t="s">
        <v>427</v>
      </c>
      <c r="F218" t="s">
        <v>401</v>
      </c>
      <c r="G218" t="s">
        <v>402</v>
      </c>
      <c r="I218">
        <v>2</v>
      </c>
      <c r="J218" t="s">
        <v>414</v>
      </c>
    </row>
    <row r="219" spans="1:10" x14ac:dyDescent="0.45">
      <c r="A219" t="s">
        <v>819</v>
      </c>
      <c r="B219" t="s">
        <v>416</v>
      </c>
      <c r="C219" t="s">
        <v>820</v>
      </c>
      <c r="D219">
        <v>199</v>
      </c>
      <c r="E219" t="s">
        <v>406</v>
      </c>
      <c r="F219" t="s">
        <v>421</v>
      </c>
      <c r="G219" t="s">
        <v>402</v>
      </c>
      <c r="I219">
        <v>2</v>
      </c>
      <c r="J219" t="s">
        <v>418</v>
      </c>
    </row>
    <row r="220" spans="1:10" x14ac:dyDescent="0.45">
      <c r="A220" t="s">
        <v>821</v>
      </c>
      <c r="B220" t="s">
        <v>398</v>
      </c>
      <c r="C220" t="s">
        <v>492</v>
      </c>
      <c r="D220">
        <v>199</v>
      </c>
      <c r="E220" t="s">
        <v>400</v>
      </c>
      <c r="F220" t="s">
        <v>431</v>
      </c>
      <c r="G220" t="s">
        <v>402</v>
      </c>
      <c r="I220">
        <v>3</v>
      </c>
      <c r="J220" t="s">
        <v>418</v>
      </c>
    </row>
    <row r="221" spans="1:10" x14ac:dyDescent="0.45">
      <c r="A221" t="s">
        <v>822</v>
      </c>
      <c r="B221" t="s">
        <v>398</v>
      </c>
      <c r="C221" t="s">
        <v>823</v>
      </c>
      <c r="D221">
        <v>399</v>
      </c>
      <c r="E221" t="s">
        <v>400</v>
      </c>
      <c r="F221" t="s">
        <v>407</v>
      </c>
      <c r="G221" t="s">
        <v>402</v>
      </c>
      <c r="I221">
        <v>2</v>
      </c>
      <c r="J221" t="s">
        <v>403</v>
      </c>
    </row>
    <row r="222" spans="1:10" x14ac:dyDescent="0.45">
      <c r="A222" t="s">
        <v>824</v>
      </c>
      <c r="B222" t="s">
        <v>398</v>
      </c>
      <c r="C222" t="s">
        <v>825</v>
      </c>
      <c r="D222">
        <v>199</v>
      </c>
      <c r="E222" t="s">
        <v>413</v>
      </c>
      <c r="F222" t="s">
        <v>407</v>
      </c>
      <c r="G222" t="s">
        <v>402</v>
      </c>
      <c r="I222">
        <v>1</v>
      </c>
      <c r="J222" t="s">
        <v>414</v>
      </c>
    </row>
    <row r="223" spans="1:10" x14ac:dyDescent="0.45">
      <c r="A223" t="s">
        <v>826</v>
      </c>
      <c r="B223" t="s">
        <v>398</v>
      </c>
      <c r="C223" t="s">
        <v>671</v>
      </c>
      <c r="D223">
        <v>799</v>
      </c>
      <c r="E223" t="s">
        <v>434</v>
      </c>
      <c r="F223" t="s">
        <v>421</v>
      </c>
      <c r="G223" t="s">
        <v>402</v>
      </c>
      <c r="H223" t="s">
        <v>259</v>
      </c>
      <c r="I223">
        <v>0</v>
      </c>
      <c r="J223" t="s">
        <v>428</v>
      </c>
    </row>
    <row r="224" spans="1:10" x14ac:dyDescent="0.45">
      <c r="A224" t="s">
        <v>827</v>
      </c>
      <c r="B224" t="s">
        <v>398</v>
      </c>
      <c r="C224" t="s">
        <v>828</v>
      </c>
      <c r="D224">
        <v>799</v>
      </c>
      <c r="E224" t="s">
        <v>434</v>
      </c>
      <c r="F224" t="s">
        <v>401</v>
      </c>
      <c r="G224" t="s">
        <v>402</v>
      </c>
      <c r="I224">
        <v>2</v>
      </c>
      <c r="J224" t="s">
        <v>403</v>
      </c>
    </row>
    <row r="225" spans="1:10" x14ac:dyDescent="0.45">
      <c r="A225" t="s">
        <v>829</v>
      </c>
      <c r="B225" t="s">
        <v>398</v>
      </c>
      <c r="C225" t="s">
        <v>830</v>
      </c>
      <c r="D225">
        <v>399</v>
      </c>
      <c r="E225" t="s">
        <v>400</v>
      </c>
      <c r="F225" t="s">
        <v>431</v>
      </c>
      <c r="G225" t="s">
        <v>402</v>
      </c>
      <c r="I225">
        <v>0</v>
      </c>
      <c r="J225" t="s">
        <v>414</v>
      </c>
    </row>
    <row r="226" spans="1:10" x14ac:dyDescent="0.45">
      <c r="A226" t="s">
        <v>831</v>
      </c>
      <c r="B226" t="s">
        <v>411</v>
      </c>
      <c r="C226" t="s">
        <v>287</v>
      </c>
      <c r="D226">
        <v>799</v>
      </c>
      <c r="E226" t="s">
        <v>427</v>
      </c>
      <c r="F226" t="s">
        <v>431</v>
      </c>
      <c r="G226" t="s">
        <v>402</v>
      </c>
      <c r="I226">
        <v>2</v>
      </c>
      <c r="J226" t="s">
        <v>409</v>
      </c>
    </row>
    <row r="227" spans="1:10" x14ac:dyDescent="0.45">
      <c r="A227" t="s">
        <v>832</v>
      </c>
      <c r="B227" t="s">
        <v>398</v>
      </c>
      <c r="C227" t="s">
        <v>799</v>
      </c>
      <c r="D227">
        <v>799</v>
      </c>
      <c r="E227" t="s">
        <v>406</v>
      </c>
      <c r="F227" t="s">
        <v>401</v>
      </c>
      <c r="G227" t="s">
        <v>402</v>
      </c>
      <c r="I227">
        <v>4</v>
      </c>
      <c r="J227" t="s">
        <v>414</v>
      </c>
    </row>
    <row r="228" spans="1:10" x14ac:dyDescent="0.45">
      <c r="A228" t="s">
        <v>833</v>
      </c>
      <c r="B228" t="s">
        <v>398</v>
      </c>
      <c r="C228" t="s">
        <v>834</v>
      </c>
      <c r="D228">
        <v>399</v>
      </c>
      <c r="E228" t="s">
        <v>406</v>
      </c>
      <c r="F228" t="s">
        <v>407</v>
      </c>
      <c r="G228" t="s">
        <v>402</v>
      </c>
      <c r="I228">
        <v>2</v>
      </c>
      <c r="J228" t="s">
        <v>403</v>
      </c>
    </row>
    <row r="229" spans="1:10" x14ac:dyDescent="0.45">
      <c r="A229" t="s">
        <v>835</v>
      </c>
      <c r="B229" t="s">
        <v>411</v>
      </c>
      <c r="C229" t="s">
        <v>836</v>
      </c>
      <c r="D229">
        <v>199</v>
      </c>
      <c r="E229" t="s">
        <v>427</v>
      </c>
      <c r="F229" t="s">
        <v>431</v>
      </c>
      <c r="G229" t="s">
        <v>402</v>
      </c>
      <c r="I229">
        <v>0</v>
      </c>
      <c r="J229" t="s">
        <v>418</v>
      </c>
    </row>
    <row r="230" spans="1:10" x14ac:dyDescent="0.45">
      <c r="A230" t="s">
        <v>837</v>
      </c>
      <c r="B230" t="s">
        <v>398</v>
      </c>
      <c r="C230" t="s">
        <v>838</v>
      </c>
      <c r="D230">
        <v>399</v>
      </c>
      <c r="E230" t="s">
        <v>400</v>
      </c>
      <c r="F230" t="s">
        <v>421</v>
      </c>
      <c r="G230" t="s">
        <v>402</v>
      </c>
      <c r="I230">
        <v>2</v>
      </c>
      <c r="J230" t="s">
        <v>428</v>
      </c>
    </row>
    <row r="231" spans="1:10" x14ac:dyDescent="0.45">
      <c r="A231" t="s">
        <v>839</v>
      </c>
      <c r="B231" t="s">
        <v>416</v>
      </c>
      <c r="C231" t="s">
        <v>840</v>
      </c>
      <c r="D231">
        <v>199</v>
      </c>
      <c r="E231" t="s">
        <v>406</v>
      </c>
      <c r="F231" t="s">
        <v>407</v>
      </c>
      <c r="G231" t="s">
        <v>402</v>
      </c>
      <c r="H231" t="s">
        <v>336</v>
      </c>
      <c r="I231">
        <v>1</v>
      </c>
      <c r="J231" t="s">
        <v>409</v>
      </c>
    </row>
    <row r="232" spans="1:10" x14ac:dyDescent="0.45">
      <c r="A232" t="s">
        <v>841</v>
      </c>
      <c r="B232" t="s">
        <v>416</v>
      </c>
      <c r="C232" t="s">
        <v>842</v>
      </c>
      <c r="D232">
        <v>199</v>
      </c>
      <c r="E232" t="s">
        <v>434</v>
      </c>
      <c r="F232" t="s">
        <v>421</v>
      </c>
      <c r="G232" t="s">
        <v>402</v>
      </c>
      <c r="I232">
        <v>1</v>
      </c>
      <c r="J232" t="s">
        <v>414</v>
      </c>
    </row>
    <row r="233" spans="1:10" x14ac:dyDescent="0.45">
      <c r="A233" t="s">
        <v>843</v>
      </c>
      <c r="B233" t="s">
        <v>398</v>
      </c>
      <c r="C233" t="s">
        <v>844</v>
      </c>
      <c r="D233">
        <v>799</v>
      </c>
      <c r="E233" t="s">
        <v>427</v>
      </c>
      <c r="F233" t="s">
        <v>407</v>
      </c>
      <c r="G233" t="s">
        <v>402</v>
      </c>
      <c r="I233">
        <v>2</v>
      </c>
      <c r="J233" t="s">
        <v>403</v>
      </c>
    </row>
    <row r="234" spans="1:10" x14ac:dyDescent="0.45">
      <c r="A234" t="s">
        <v>845</v>
      </c>
      <c r="B234" t="s">
        <v>411</v>
      </c>
      <c r="C234" t="s">
        <v>846</v>
      </c>
      <c r="D234">
        <v>399</v>
      </c>
      <c r="E234" t="s">
        <v>413</v>
      </c>
      <c r="F234" t="s">
        <v>401</v>
      </c>
      <c r="G234" t="s">
        <v>408</v>
      </c>
      <c r="I234">
        <v>3</v>
      </c>
      <c r="J234" t="s">
        <v>403</v>
      </c>
    </row>
    <row r="235" spans="1:10" x14ac:dyDescent="0.45">
      <c r="A235" t="s">
        <v>847</v>
      </c>
      <c r="B235" t="s">
        <v>416</v>
      </c>
      <c r="C235" t="s">
        <v>718</v>
      </c>
      <c r="D235">
        <v>799</v>
      </c>
      <c r="E235" t="s">
        <v>400</v>
      </c>
      <c r="F235" t="s">
        <v>421</v>
      </c>
      <c r="G235" t="s">
        <v>402</v>
      </c>
      <c r="I235">
        <v>0</v>
      </c>
      <c r="J235" t="s">
        <v>428</v>
      </c>
    </row>
    <row r="236" spans="1:10" x14ac:dyDescent="0.45">
      <c r="A236" t="s">
        <v>848</v>
      </c>
      <c r="B236" t="s">
        <v>411</v>
      </c>
      <c r="C236" t="s">
        <v>849</v>
      </c>
      <c r="D236">
        <v>799</v>
      </c>
      <c r="E236" t="s">
        <v>427</v>
      </c>
      <c r="F236" t="s">
        <v>421</v>
      </c>
      <c r="G236" t="s">
        <v>402</v>
      </c>
      <c r="I236">
        <v>4</v>
      </c>
      <c r="J236" t="s">
        <v>403</v>
      </c>
    </row>
    <row r="237" spans="1:10" x14ac:dyDescent="0.45">
      <c r="A237" t="s">
        <v>850</v>
      </c>
      <c r="B237" t="s">
        <v>416</v>
      </c>
      <c r="C237" t="s">
        <v>606</v>
      </c>
      <c r="D237">
        <v>199</v>
      </c>
      <c r="E237" t="s">
        <v>406</v>
      </c>
      <c r="F237" t="s">
        <v>401</v>
      </c>
      <c r="G237" t="s">
        <v>402</v>
      </c>
      <c r="I237">
        <v>1</v>
      </c>
      <c r="J237" t="s">
        <v>403</v>
      </c>
    </row>
    <row r="238" spans="1:10" x14ac:dyDescent="0.45">
      <c r="A238" t="s">
        <v>851</v>
      </c>
      <c r="B238" t="s">
        <v>398</v>
      </c>
      <c r="C238" t="s">
        <v>604</v>
      </c>
      <c r="D238">
        <v>799</v>
      </c>
      <c r="E238" t="s">
        <v>400</v>
      </c>
      <c r="F238" t="s">
        <v>421</v>
      </c>
      <c r="G238" t="s">
        <v>408</v>
      </c>
      <c r="I238">
        <v>0</v>
      </c>
      <c r="J238" t="s">
        <v>428</v>
      </c>
    </row>
    <row r="239" spans="1:10" x14ac:dyDescent="0.45">
      <c r="A239" t="s">
        <v>852</v>
      </c>
      <c r="B239" t="s">
        <v>411</v>
      </c>
      <c r="C239" t="s">
        <v>853</v>
      </c>
      <c r="D239">
        <v>399</v>
      </c>
      <c r="E239" t="s">
        <v>434</v>
      </c>
      <c r="F239" t="s">
        <v>407</v>
      </c>
      <c r="G239" t="s">
        <v>402</v>
      </c>
      <c r="I239">
        <v>0</v>
      </c>
      <c r="J239" t="s">
        <v>409</v>
      </c>
    </row>
    <row r="240" spans="1:10" x14ac:dyDescent="0.45">
      <c r="A240" t="s">
        <v>854</v>
      </c>
      <c r="B240" t="s">
        <v>411</v>
      </c>
      <c r="C240" t="s">
        <v>855</v>
      </c>
      <c r="D240">
        <v>799</v>
      </c>
      <c r="E240" t="s">
        <v>400</v>
      </c>
      <c r="F240" t="s">
        <v>431</v>
      </c>
      <c r="G240" t="s">
        <v>402</v>
      </c>
      <c r="I240">
        <v>2</v>
      </c>
      <c r="J240" t="s">
        <v>418</v>
      </c>
    </row>
    <row r="241" spans="1:10" x14ac:dyDescent="0.45">
      <c r="A241" t="s">
        <v>856</v>
      </c>
      <c r="B241" t="s">
        <v>411</v>
      </c>
      <c r="C241" t="s">
        <v>857</v>
      </c>
      <c r="D241">
        <v>799</v>
      </c>
      <c r="E241" t="s">
        <v>400</v>
      </c>
      <c r="F241" t="s">
        <v>431</v>
      </c>
      <c r="G241" t="s">
        <v>402</v>
      </c>
      <c r="I241">
        <v>0</v>
      </c>
      <c r="J241" t="s">
        <v>418</v>
      </c>
    </row>
    <row r="242" spans="1:10" x14ac:dyDescent="0.45">
      <c r="A242" t="s">
        <v>858</v>
      </c>
      <c r="B242" t="s">
        <v>416</v>
      </c>
      <c r="C242" t="s">
        <v>859</v>
      </c>
      <c r="D242">
        <v>199</v>
      </c>
      <c r="E242" t="s">
        <v>434</v>
      </c>
      <c r="F242" t="s">
        <v>401</v>
      </c>
      <c r="G242" t="s">
        <v>402</v>
      </c>
      <c r="I242">
        <v>4</v>
      </c>
      <c r="J242" t="s">
        <v>414</v>
      </c>
    </row>
    <row r="243" spans="1:10" x14ac:dyDescent="0.45">
      <c r="A243" t="s">
        <v>860</v>
      </c>
      <c r="B243" t="s">
        <v>416</v>
      </c>
      <c r="C243" t="s">
        <v>861</v>
      </c>
      <c r="D243">
        <v>399</v>
      </c>
      <c r="E243" t="s">
        <v>434</v>
      </c>
      <c r="F243" t="s">
        <v>407</v>
      </c>
      <c r="G243" t="s">
        <v>402</v>
      </c>
      <c r="I243">
        <v>1</v>
      </c>
      <c r="J243" t="s">
        <v>409</v>
      </c>
    </row>
    <row r="244" spans="1:10" x14ac:dyDescent="0.45">
      <c r="A244" t="s">
        <v>862</v>
      </c>
      <c r="B244" t="s">
        <v>416</v>
      </c>
      <c r="C244" t="s">
        <v>709</v>
      </c>
      <c r="D244">
        <v>799</v>
      </c>
      <c r="E244" t="s">
        <v>400</v>
      </c>
      <c r="F244" t="s">
        <v>421</v>
      </c>
      <c r="G244" t="s">
        <v>402</v>
      </c>
      <c r="I244">
        <v>0</v>
      </c>
      <c r="J244" t="s">
        <v>414</v>
      </c>
    </row>
    <row r="245" spans="1:10" x14ac:dyDescent="0.45">
      <c r="A245" t="s">
        <v>863</v>
      </c>
      <c r="B245" t="s">
        <v>398</v>
      </c>
      <c r="C245" t="s">
        <v>842</v>
      </c>
      <c r="D245">
        <v>199</v>
      </c>
      <c r="E245" t="s">
        <v>434</v>
      </c>
      <c r="F245" t="s">
        <v>421</v>
      </c>
      <c r="G245" t="s">
        <v>408</v>
      </c>
      <c r="I245">
        <v>3</v>
      </c>
      <c r="J245" t="s">
        <v>418</v>
      </c>
    </row>
    <row r="246" spans="1:10" x14ac:dyDescent="0.45">
      <c r="A246" t="s">
        <v>864</v>
      </c>
      <c r="B246" t="s">
        <v>416</v>
      </c>
      <c r="C246" t="s">
        <v>865</v>
      </c>
      <c r="D246">
        <v>799</v>
      </c>
      <c r="E246" t="s">
        <v>427</v>
      </c>
      <c r="F246" t="s">
        <v>431</v>
      </c>
      <c r="G246" t="s">
        <v>408</v>
      </c>
      <c r="I246">
        <v>1</v>
      </c>
      <c r="J246" t="s">
        <v>428</v>
      </c>
    </row>
    <row r="247" spans="1:10" x14ac:dyDescent="0.45">
      <c r="A247" t="s">
        <v>866</v>
      </c>
      <c r="B247" t="s">
        <v>398</v>
      </c>
      <c r="C247" t="s">
        <v>191</v>
      </c>
      <c r="D247">
        <v>399</v>
      </c>
      <c r="E247" t="s">
        <v>434</v>
      </c>
      <c r="F247" t="s">
        <v>421</v>
      </c>
      <c r="G247" t="s">
        <v>402</v>
      </c>
      <c r="I247">
        <v>1</v>
      </c>
      <c r="J247" t="s">
        <v>403</v>
      </c>
    </row>
    <row r="248" spans="1:10" x14ac:dyDescent="0.45">
      <c r="A248" t="s">
        <v>867</v>
      </c>
      <c r="B248" t="s">
        <v>411</v>
      </c>
      <c r="C248" t="s">
        <v>868</v>
      </c>
      <c r="D248">
        <v>799</v>
      </c>
      <c r="E248" t="s">
        <v>434</v>
      </c>
      <c r="F248" t="s">
        <v>431</v>
      </c>
      <c r="G248" t="s">
        <v>402</v>
      </c>
      <c r="H248" t="s">
        <v>869</v>
      </c>
      <c r="I248">
        <v>1</v>
      </c>
      <c r="J248" t="s">
        <v>418</v>
      </c>
    </row>
    <row r="249" spans="1:10" x14ac:dyDescent="0.45">
      <c r="A249" t="s">
        <v>870</v>
      </c>
      <c r="B249" t="s">
        <v>411</v>
      </c>
      <c r="C249" t="s">
        <v>591</v>
      </c>
      <c r="D249">
        <v>799</v>
      </c>
      <c r="E249" t="s">
        <v>400</v>
      </c>
      <c r="F249" t="s">
        <v>401</v>
      </c>
      <c r="G249" t="s">
        <v>408</v>
      </c>
      <c r="I249">
        <v>1</v>
      </c>
      <c r="J249" t="s">
        <v>409</v>
      </c>
    </row>
    <row r="250" spans="1:10" x14ac:dyDescent="0.45">
      <c r="A250" t="s">
        <v>871</v>
      </c>
      <c r="B250" t="s">
        <v>398</v>
      </c>
      <c r="C250" t="s">
        <v>441</v>
      </c>
      <c r="D250">
        <v>199</v>
      </c>
      <c r="E250" t="s">
        <v>427</v>
      </c>
      <c r="F250" t="s">
        <v>421</v>
      </c>
      <c r="G250" t="s">
        <v>402</v>
      </c>
      <c r="I250">
        <v>2</v>
      </c>
      <c r="J250" t="s">
        <v>418</v>
      </c>
    </row>
    <row r="251" spans="1:10" x14ac:dyDescent="0.45">
      <c r="A251" t="s">
        <v>872</v>
      </c>
      <c r="B251" t="s">
        <v>416</v>
      </c>
      <c r="C251" t="s">
        <v>193</v>
      </c>
      <c r="D251">
        <v>799</v>
      </c>
      <c r="E251" t="s">
        <v>413</v>
      </c>
      <c r="F251" t="s">
        <v>407</v>
      </c>
      <c r="G251" t="s">
        <v>402</v>
      </c>
      <c r="I251">
        <v>0</v>
      </c>
      <c r="J251" t="s">
        <v>409</v>
      </c>
    </row>
    <row r="252" spans="1:10" x14ac:dyDescent="0.45">
      <c r="A252" t="s">
        <v>873</v>
      </c>
      <c r="B252" t="s">
        <v>398</v>
      </c>
      <c r="C252" t="s">
        <v>874</v>
      </c>
      <c r="D252">
        <v>199</v>
      </c>
      <c r="E252" t="s">
        <v>413</v>
      </c>
      <c r="F252" t="s">
        <v>421</v>
      </c>
      <c r="G252" t="s">
        <v>402</v>
      </c>
      <c r="I252">
        <v>2</v>
      </c>
      <c r="J252" t="s">
        <v>409</v>
      </c>
    </row>
    <row r="253" spans="1:10" x14ac:dyDescent="0.45">
      <c r="A253" t="s">
        <v>875</v>
      </c>
      <c r="B253" t="s">
        <v>411</v>
      </c>
      <c r="C253" t="s">
        <v>465</v>
      </c>
      <c r="D253">
        <v>399</v>
      </c>
      <c r="E253" t="s">
        <v>406</v>
      </c>
      <c r="F253" t="s">
        <v>431</v>
      </c>
      <c r="G253" t="s">
        <v>402</v>
      </c>
      <c r="I253">
        <v>4</v>
      </c>
      <c r="J253" t="s">
        <v>409</v>
      </c>
    </row>
    <row r="254" spans="1:10" x14ac:dyDescent="0.45">
      <c r="A254" t="s">
        <v>876</v>
      </c>
      <c r="B254" t="s">
        <v>411</v>
      </c>
      <c r="C254" t="s">
        <v>877</v>
      </c>
      <c r="D254">
        <v>799</v>
      </c>
      <c r="E254" t="s">
        <v>434</v>
      </c>
      <c r="F254" t="s">
        <v>401</v>
      </c>
      <c r="G254" t="s">
        <v>402</v>
      </c>
      <c r="I254">
        <v>0</v>
      </c>
      <c r="J254" t="s">
        <v>414</v>
      </c>
    </row>
    <row r="255" spans="1:10" x14ac:dyDescent="0.45">
      <c r="A255" t="s">
        <v>878</v>
      </c>
      <c r="B255" t="s">
        <v>398</v>
      </c>
      <c r="C255" t="s">
        <v>679</v>
      </c>
      <c r="D255">
        <v>399</v>
      </c>
      <c r="E255" t="s">
        <v>434</v>
      </c>
      <c r="F255" t="s">
        <v>431</v>
      </c>
      <c r="G255" t="s">
        <v>402</v>
      </c>
      <c r="H255" t="s">
        <v>457</v>
      </c>
      <c r="I255">
        <v>2</v>
      </c>
      <c r="J255" t="s">
        <v>428</v>
      </c>
    </row>
    <row r="256" spans="1:10" x14ac:dyDescent="0.45">
      <c r="A256" t="s">
        <v>879</v>
      </c>
      <c r="B256" t="s">
        <v>416</v>
      </c>
      <c r="C256" t="s">
        <v>808</v>
      </c>
      <c r="D256">
        <v>399</v>
      </c>
      <c r="E256" t="s">
        <v>427</v>
      </c>
      <c r="F256" t="s">
        <v>421</v>
      </c>
      <c r="G256" t="s">
        <v>402</v>
      </c>
      <c r="H256" t="s">
        <v>57</v>
      </c>
      <c r="I256">
        <v>1</v>
      </c>
      <c r="J256" t="s">
        <v>418</v>
      </c>
    </row>
    <row r="257" spans="1:10" x14ac:dyDescent="0.45">
      <c r="A257" t="s">
        <v>880</v>
      </c>
      <c r="B257" t="s">
        <v>416</v>
      </c>
      <c r="C257" t="s">
        <v>480</v>
      </c>
      <c r="D257">
        <v>799</v>
      </c>
      <c r="E257" t="s">
        <v>413</v>
      </c>
      <c r="F257" t="s">
        <v>431</v>
      </c>
      <c r="G257" t="s">
        <v>402</v>
      </c>
      <c r="H257" t="s">
        <v>283</v>
      </c>
      <c r="I257">
        <v>2</v>
      </c>
      <c r="J257" t="s">
        <v>428</v>
      </c>
    </row>
    <row r="258" spans="1:10" x14ac:dyDescent="0.45">
      <c r="A258" t="s">
        <v>881</v>
      </c>
      <c r="B258" t="s">
        <v>398</v>
      </c>
      <c r="C258" t="s">
        <v>623</v>
      </c>
      <c r="D258">
        <v>199</v>
      </c>
      <c r="E258" t="s">
        <v>406</v>
      </c>
      <c r="F258" t="s">
        <v>431</v>
      </c>
      <c r="G258" t="s">
        <v>402</v>
      </c>
      <c r="H258" t="s">
        <v>882</v>
      </c>
      <c r="I258">
        <v>1</v>
      </c>
      <c r="J258" t="s">
        <v>403</v>
      </c>
    </row>
    <row r="259" spans="1:10" x14ac:dyDescent="0.45">
      <c r="A259" t="s">
        <v>883</v>
      </c>
      <c r="B259" t="s">
        <v>398</v>
      </c>
      <c r="C259" t="s">
        <v>884</v>
      </c>
      <c r="D259">
        <v>399</v>
      </c>
      <c r="E259" t="s">
        <v>427</v>
      </c>
      <c r="F259" t="s">
        <v>401</v>
      </c>
      <c r="G259" t="s">
        <v>402</v>
      </c>
      <c r="I259">
        <v>2</v>
      </c>
      <c r="J259" t="s">
        <v>418</v>
      </c>
    </row>
    <row r="260" spans="1:10" x14ac:dyDescent="0.45">
      <c r="A260" t="s">
        <v>885</v>
      </c>
      <c r="B260" t="s">
        <v>416</v>
      </c>
      <c r="C260" t="s">
        <v>886</v>
      </c>
      <c r="D260">
        <v>399</v>
      </c>
      <c r="E260" t="s">
        <v>434</v>
      </c>
      <c r="F260" t="s">
        <v>407</v>
      </c>
      <c r="G260" t="s">
        <v>408</v>
      </c>
      <c r="H260" t="s">
        <v>137</v>
      </c>
      <c r="I260">
        <v>2</v>
      </c>
      <c r="J260" t="s">
        <v>428</v>
      </c>
    </row>
    <row r="261" spans="1:10" x14ac:dyDescent="0.45">
      <c r="A261" t="s">
        <v>887</v>
      </c>
      <c r="B261" t="s">
        <v>411</v>
      </c>
      <c r="C261" t="s">
        <v>888</v>
      </c>
      <c r="D261">
        <v>799</v>
      </c>
      <c r="E261" t="s">
        <v>413</v>
      </c>
      <c r="F261" t="s">
        <v>421</v>
      </c>
      <c r="G261" t="s">
        <v>402</v>
      </c>
      <c r="I261">
        <v>0</v>
      </c>
      <c r="J261" t="s">
        <v>428</v>
      </c>
    </row>
    <row r="262" spans="1:10" x14ac:dyDescent="0.45">
      <c r="A262" t="s">
        <v>889</v>
      </c>
      <c r="B262" t="s">
        <v>398</v>
      </c>
      <c r="C262" t="s">
        <v>890</v>
      </c>
      <c r="D262">
        <v>799</v>
      </c>
      <c r="E262" t="s">
        <v>406</v>
      </c>
      <c r="F262" t="s">
        <v>401</v>
      </c>
      <c r="G262" t="s">
        <v>402</v>
      </c>
      <c r="I262">
        <v>3</v>
      </c>
      <c r="J262" t="s">
        <v>403</v>
      </c>
    </row>
    <row r="263" spans="1:10" x14ac:dyDescent="0.45">
      <c r="A263" t="s">
        <v>891</v>
      </c>
      <c r="B263" t="s">
        <v>416</v>
      </c>
      <c r="C263" t="s">
        <v>73</v>
      </c>
      <c r="D263">
        <v>799</v>
      </c>
      <c r="E263" t="s">
        <v>400</v>
      </c>
      <c r="F263" t="s">
        <v>407</v>
      </c>
      <c r="G263" t="s">
        <v>408</v>
      </c>
      <c r="I263">
        <v>0</v>
      </c>
      <c r="J263" t="s">
        <v>409</v>
      </c>
    </row>
    <row r="264" spans="1:10" x14ac:dyDescent="0.45">
      <c r="A264" t="s">
        <v>892</v>
      </c>
      <c r="B264" t="s">
        <v>416</v>
      </c>
      <c r="C264" t="s">
        <v>791</v>
      </c>
      <c r="D264">
        <v>799</v>
      </c>
      <c r="E264" t="s">
        <v>413</v>
      </c>
      <c r="F264" t="s">
        <v>431</v>
      </c>
      <c r="G264" t="s">
        <v>408</v>
      </c>
      <c r="I264">
        <v>3</v>
      </c>
      <c r="J264" t="s">
        <v>418</v>
      </c>
    </row>
    <row r="265" spans="1:10" x14ac:dyDescent="0.45">
      <c r="A265" t="s">
        <v>893</v>
      </c>
      <c r="B265" t="s">
        <v>411</v>
      </c>
      <c r="C265" t="s">
        <v>894</v>
      </c>
      <c r="D265">
        <v>799</v>
      </c>
      <c r="E265" t="s">
        <v>406</v>
      </c>
      <c r="F265" t="s">
        <v>407</v>
      </c>
      <c r="G265" t="s">
        <v>402</v>
      </c>
      <c r="H265" t="s">
        <v>895</v>
      </c>
      <c r="I265">
        <v>2</v>
      </c>
      <c r="J265" t="s">
        <v>418</v>
      </c>
    </row>
    <row r="266" spans="1:10" x14ac:dyDescent="0.45">
      <c r="A266" t="s">
        <v>896</v>
      </c>
      <c r="B266" t="s">
        <v>411</v>
      </c>
      <c r="C266" t="s">
        <v>778</v>
      </c>
      <c r="D266">
        <v>799</v>
      </c>
      <c r="E266" t="s">
        <v>427</v>
      </c>
      <c r="F266" t="s">
        <v>431</v>
      </c>
      <c r="G266" t="s">
        <v>402</v>
      </c>
      <c r="I266">
        <v>1</v>
      </c>
      <c r="J266" t="s">
        <v>403</v>
      </c>
    </row>
    <row r="267" spans="1:10" x14ac:dyDescent="0.45">
      <c r="A267" t="s">
        <v>897</v>
      </c>
      <c r="B267" t="s">
        <v>411</v>
      </c>
      <c r="C267" t="s">
        <v>174</v>
      </c>
      <c r="D267">
        <v>199</v>
      </c>
      <c r="E267" t="s">
        <v>400</v>
      </c>
      <c r="F267" t="s">
        <v>431</v>
      </c>
      <c r="G267" t="s">
        <v>402</v>
      </c>
      <c r="I267">
        <v>5</v>
      </c>
      <c r="J267" t="s">
        <v>409</v>
      </c>
    </row>
    <row r="268" spans="1:10" x14ac:dyDescent="0.45">
      <c r="A268" t="s">
        <v>898</v>
      </c>
      <c r="B268" t="s">
        <v>411</v>
      </c>
      <c r="C268" t="s">
        <v>899</v>
      </c>
      <c r="D268">
        <v>399</v>
      </c>
      <c r="E268" t="s">
        <v>406</v>
      </c>
      <c r="F268" t="s">
        <v>401</v>
      </c>
      <c r="G268" t="s">
        <v>408</v>
      </c>
      <c r="I268">
        <v>0</v>
      </c>
      <c r="J268" t="s">
        <v>418</v>
      </c>
    </row>
    <row r="269" spans="1:10" x14ac:dyDescent="0.45">
      <c r="A269" t="s">
        <v>900</v>
      </c>
      <c r="B269" t="s">
        <v>411</v>
      </c>
      <c r="C269" t="s">
        <v>901</v>
      </c>
      <c r="D269">
        <v>199</v>
      </c>
      <c r="E269" t="s">
        <v>406</v>
      </c>
      <c r="F269" t="s">
        <v>431</v>
      </c>
      <c r="G269" t="s">
        <v>408</v>
      </c>
      <c r="I269">
        <v>1</v>
      </c>
      <c r="J269" t="s">
        <v>418</v>
      </c>
    </row>
    <row r="270" spans="1:10" x14ac:dyDescent="0.45">
      <c r="A270" t="s">
        <v>902</v>
      </c>
      <c r="B270" t="s">
        <v>398</v>
      </c>
      <c r="C270" t="s">
        <v>903</v>
      </c>
      <c r="D270">
        <v>199</v>
      </c>
      <c r="E270" t="s">
        <v>434</v>
      </c>
      <c r="F270" t="s">
        <v>401</v>
      </c>
      <c r="G270" t="s">
        <v>408</v>
      </c>
      <c r="I270">
        <v>1</v>
      </c>
      <c r="J270" t="s">
        <v>418</v>
      </c>
    </row>
    <row r="271" spans="1:10" x14ac:dyDescent="0.45">
      <c r="A271" t="s">
        <v>904</v>
      </c>
      <c r="B271" t="s">
        <v>416</v>
      </c>
      <c r="C271" t="s">
        <v>552</v>
      </c>
      <c r="D271">
        <v>799</v>
      </c>
      <c r="E271" t="s">
        <v>413</v>
      </c>
      <c r="F271" t="s">
        <v>407</v>
      </c>
      <c r="G271" t="s">
        <v>402</v>
      </c>
      <c r="I271">
        <v>0</v>
      </c>
      <c r="J271" t="s">
        <v>409</v>
      </c>
    </row>
    <row r="272" spans="1:10" x14ac:dyDescent="0.45">
      <c r="A272" t="s">
        <v>905</v>
      </c>
      <c r="B272" t="s">
        <v>398</v>
      </c>
      <c r="C272" t="s">
        <v>906</v>
      </c>
      <c r="D272">
        <v>399</v>
      </c>
      <c r="E272" t="s">
        <v>434</v>
      </c>
      <c r="F272" t="s">
        <v>407</v>
      </c>
      <c r="G272" t="s">
        <v>402</v>
      </c>
      <c r="H272" t="s">
        <v>907</v>
      </c>
      <c r="I272">
        <v>1</v>
      </c>
      <c r="J272" t="s">
        <v>403</v>
      </c>
    </row>
    <row r="273" spans="1:10" x14ac:dyDescent="0.45">
      <c r="A273" t="s">
        <v>908</v>
      </c>
      <c r="B273" t="s">
        <v>398</v>
      </c>
      <c r="C273" t="s">
        <v>909</v>
      </c>
      <c r="D273">
        <v>199</v>
      </c>
      <c r="E273" t="s">
        <v>400</v>
      </c>
      <c r="F273" t="s">
        <v>431</v>
      </c>
      <c r="G273" t="s">
        <v>402</v>
      </c>
      <c r="I273">
        <v>1</v>
      </c>
      <c r="J273" t="s">
        <v>418</v>
      </c>
    </row>
    <row r="274" spans="1:10" x14ac:dyDescent="0.45">
      <c r="A274" t="s">
        <v>910</v>
      </c>
      <c r="B274" t="s">
        <v>398</v>
      </c>
      <c r="C274" t="s">
        <v>911</v>
      </c>
      <c r="D274">
        <v>799</v>
      </c>
      <c r="E274" t="s">
        <v>406</v>
      </c>
      <c r="F274" t="s">
        <v>401</v>
      </c>
      <c r="G274" t="s">
        <v>402</v>
      </c>
      <c r="H274" t="s">
        <v>912</v>
      </c>
      <c r="I274">
        <v>1</v>
      </c>
      <c r="J274" t="s">
        <v>428</v>
      </c>
    </row>
    <row r="275" spans="1:10" x14ac:dyDescent="0.45">
      <c r="A275" t="s">
        <v>913</v>
      </c>
      <c r="B275" t="s">
        <v>398</v>
      </c>
      <c r="C275" t="s">
        <v>36</v>
      </c>
      <c r="D275">
        <v>799</v>
      </c>
      <c r="E275" t="s">
        <v>434</v>
      </c>
      <c r="F275" t="s">
        <v>431</v>
      </c>
      <c r="G275" t="s">
        <v>402</v>
      </c>
      <c r="I275">
        <v>2</v>
      </c>
      <c r="J275" t="s">
        <v>409</v>
      </c>
    </row>
    <row r="276" spans="1:10" x14ac:dyDescent="0.45">
      <c r="A276" t="s">
        <v>914</v>
      </c>
      <c r="B276" t="s">
        <v>398</v>
      </c>
      <c r="C276" t="s">
        <v>653</v>
      </c>
      <c r="D276">
        <v>399</v>
      </c>
      <c r="E276" t="s">
        <v>413</v>
      </c>
      <c r="F276" t="s">
        <v>401</v>
      </c>
      <c r="G276" t="s">
        <v>402</v>
      </c>
      <c r="I276">
        <v>2</v>
      </c>
      <c r="J276" t="s">
        <v>414</v>
      </c>
    </row>
    <row r="277" spans="1:10" x14ac:dyDescent="0.45">
      <c r="A277" t="s">
        <v>915</v>
      </c>
      <c r="B277" t="s">
        <v>411</v>
      </c>
      <c r="C277" t="s">
        <v>916</v>
      </c>
      <c r="D277">
        <v>199</v>
      </c>
      <c r="E277" t="s">
        <v>400</v>
      </c>
      <c r="F277" t="s">
        <v>401</v>
      </c>
      <c r="G277" t="s">
        <v>402</v>
      </c>
      <c r="I277">
        <v>1</v>
      </c>
      <c r="J277" t="s">
        <v>403</v>
      </c>
    </row>
    <row r="278" spans="1:10" x14ac:dyDescent="0.45">
      <c r="A278" t="s">
        <v>917</v>
      </c>
      <c r="B278" t="s">
        <v>411</v>
      </c>
      <c r="C278" t="s">
        <v>589</v>
      </c>
      <c r="D278">
        <v>199</v>
      </c>
      <c r="E278" t="s">
        <v>427</v>
      </c>
      <c r="F278" t="s">
        <v>401</v>
      </c>
      <c r="G278" t="s">
        <v>402</v>
      </c>
      <c r="H278" t="s">
        <v>918</v>
      </c>
      <c r="I278">
        <v>1</v>
      </c>
      <c r="J278" t="s">
        <v>428</v>
      </c>
    </row>
    <row r="279" spans="1:10" x14ac:dyDescent="0.45">
      <c r="A279" t="s">
        <v>919</v>
      </c>
      <c r="B279" t="s">
        <v>416</v>
      </c>
      <c r="C279" t="s">
        <v>920</v>
      </c>
      <c r="D279">
        <v>199</v>
      </c>
      <c r="E279" t="s">
        <v>434</v>
      </c>
      <c r="F279" t="s">
        <v>407</v>
      </c>
      <c r="G279" t="s">
        <v>402</v>
      </c>
      <c r="I279">
        <v>2</v>
      </c>
      <c r="J279" t="s">
        <v>418</v>
      </c>
    </row>
    <row r="280" spans="1:10" x14ac:dyDescent="0.45">
      <c r="A280" t="s">
        <v>921</v>
      </c>
      <c r="B280" t="s">
        <v>398</v>
      </c>
      <c r="C280" t="s">
        <v>922</v>
      </c>
      <c r="D280">
        <v>799</v>
      </c>
      <c r="E280" t="s">
        <v>400</v>
      </c>
      <c r="F280" t="s">
        <v>401</v>
      </c>
      <c r="G280" t="s">
        <v>402</v>
      </c>
      <c r="I280">
        <v>0</v>
      </c>
      <c r="J280" t="s">
        <v>414</v>
      </c>
    </row>
    <row r="281" spans="1:10" x14ac:dyDescent="0.45">
      <c r="A281" t="s">
        <v>923</v>
      </c>
      <c r="B281" t="s">
        <v>416</v>
      </c>
      <c r="C281" t="s">
        <v>924</v>
      </c>
      <c r="D281">
        <v>399</v>
      </c>
      <c r="E281" t="s">
        <v>427</v>
      </c>
      <c r="F281" t="s">
        <v>407</v>
      </c>
      <c r="G281" t="s">
        <v>402</v>
      </c>
      <c r="I281">
        <v>0</v>
      </c>
      <c r="J281" t="s">
        <v>403</v>
      </c>
    </row>
    <row r="282" spans="1:10" x14ac:dyDescent="0.45">
      <c r="A282" t="s">
        <v>925</v>
      </c>
      <c r="B282" t="s">
        <v>411</v>
      </c>
      <c r="C282" t="s">
        <v>886</v>
      </c>
      <c r="D282">
        <v>399</v>
      </c>
      <c r="E282" t="s">
        <v>434</v>
      </c>
      <c r="F282" t="s">
        <v>401</v>
      </c>
      <c r="G282" t="s">
        <v>402</v>
      </c>
      <c r="I282">
        <v>2</v>
      </c>
      <c r="J282" t="s">
        <v>409</v>
      </c>
    </row>
    <row r="283" spans="1:10" x14ac:dyDescent="0.45">
      <c r="A283" t="s">
        <v>926</v>
      </c>
      <c r="B283" t="s">
        <v>411</v>
      </c>
      <c r="C283" t="s">
        <v>927</v>
      </c>
      <c r="D283">
        <v>199</v>
      </c>
      <c r="E283" t="s">
        <v>400</v>
      </c>
      <c r="F283" t="s">
        <v>407</v>
      </c>
      <c r="G283" t="s">
        <v>402</v>
      </c>
      <c r="I283">
        <v>1</v>
      </c>
      <c r="J283" t="s">
        <v>414</v>
      </c>
    </row>
    <row r="284" spans="1:10" x14ac:dyDescent="0.45">
      <c r="A284" t="s">
        <v>928</v>
      </c>
      <c r="B284" t="s">
        <v>411</v>
      </c>
      <c r="C284" t="s">
        <v>929</v>
      </c>
      <c r="D284">
        <v>799</v>
      </c>
      <c r="E284" t="s">
        <v>400</v>
      </c>
      <c r="F284" t="s">
        <v>421</v>
      </c>
      <c r="G284" t="s">
        <v>402</v>
      </c>
      <c r="I284">
        <v>1</v>
      </c>
      <c r="J284" t="s">
        <v>414</v>
      </c>
    </row>
    <row r="285" spans="1:10" x14ac:dyDescent="0.45">
      <c r="A285" t="s">
        <v>930</v>
      </c>
      <c r="B285" t="s">
        <v>398</v>
      </c>
      <c r="C285" t="s">
        <v>22</v>
      </c>
      <c r="D285">
        <v>199</v>
      </c>
      <c r="E285" t="s">
        <v>434</v>
      </c>
      <c r="F285" t="s">
        <v>407</v>
      </c>
      <c r="G285" t="s">
        <v>408</v>
      </c>
      <c r="I285">
        <v>1</v>
      </c>
      <c r="J285" t="s">
        <v>428</v>
      </c>
    </row>
    <row r="286" spans="1:10" x14ac:dyDescent="0.45">
      <c r="A286" t="s">
        <v>931</v>
      </c>
      <c r="B286" t="s">
        <v>398</v>
      </c>
      <c r="C286" t="s">
        <v>617</v>
      </c>
      <c r="D286">
        <v>399</v>
      </c>
      <c r="E286" t="s">
        <v>400</v>
      </c>
      <c r="F286" t="s">
        <v>407</v>
      </c>
      <c r="G286" t="s">
        <v>402</v>
      </c>
      <c r="I286">
        <v>0</v>
      </c>
      <c r="J286" t="s">
        <v>403</v>
      </c>
    </row>
    <row r="287" spans="1:10" x14ac:dyDescent="0.45">
      <c r="A287" t="s">
        <v>932</v>
      </c>
      <c r="B287" t="s">
        <v>411</v>
      </c>
      <c r="C287" t="s">
        <v>933</v>
      </c>
      <c r="D287">
        <v>799</v>
      </c>
      <c r="E287" t="s">
        <v>406</v>
      </c>
      <c r="F287" t="s">
        <v>431</v>
      </c>
      <c r="G287" t="s">
        <v>402</v>
      </c>
      <c r="I287">
        <v>0</v>
      </c>
      <c r="J287" t="s">
        <v>428</v>
      </c>
    </row>
    <row r="288" spans="1:10" x14ac:dyDescent="0.45">
      <c r="A288" t="s">
        <v>934</v>
      </c>
      <c r="B288" t="s">
        <v>416</v>
      </c>
      <c r="C288" t="s">
        <v>935</v>
      </c>
      <c r="D288">
        <v>199</v>
      </c>
      <c r="E288" t="s">
        <v>434</v>
      </c>
      <c r="F288" t="s">
        <v>401</v>
      </c>
      <c r="G288" t="s">
        <v>402</v>
      </c>
      <c r="I288">
        <v>2</v>
      </c>
      <c r="J288" t="s">
        <v>428</v>
      </c>
    </row>
    <row r="289" spans="1:10" x14ac:dyDescent="0.45">
      <c r="A289" t="s">
        <v>936</v>
      </c>
      <c r="B289" t="s">
        <v>416</v>
      </c>
      <c r="C289" t="s">
        <v>937</v>
      </c>
      <c r="D289">
        <v>199</v>
      </c>
      <c r="E289" t="s">
        <v>400</v>
      </c>
      <c r="F289" t="s">
        <v>421</v>
      </c>
      <c r="G289" t="s">
        <v>402</v>
      </c>
      <c r="H289" t="s">
        <v>938</v>
      </c>
      <c r="I289">
        <v>0</v>
      </c>
      <c r="J289" t="s">
        <v>418</v>
      </c>
    </row>
    <row r="290" spans="1:10" x14ac:dyDescent="0.45">
      <c r="A290" t="s">
        <v>939</v>
      </c>
      <c r="B290" t="s">
        <v>411</v>
      </c>
      <c r="C290" t="s">
        <v>940</v>
      </c>
      <c r="D290">
        <v>799</v>
      </c>
      <c r="E290" t="s">
        <v>427</v>
      </c>
      <c r="F290" t="s">
        <v>431</v>
      </c>
      <c r="G290" t="s">
        <v>408</v>
      </c>
      <c r="H290" t="s">
        <v>941</v>
      </c>
      <c r="I290">
        <v>0</v>
      </c>
      <c r="J290" t="s">
        <v>409</v>
      </c>
    </row>
    <row r="291" spans="1:10" x14ac:dyDescent="0.45">
      <c r="A291" t="s">
        <v>942</v>
      </c>
      <c r="B291" t="s">
        <v>416</v>
      </c>
      <c r="C291" t="s">
        <v>943</v>
      </c>
      <c r="D291">
        <v>399</v>
      </c>
      <c r="E291" t="s">
        <v>427</v>
      </c>
      <c r="F291" t="s">
        <v>401</v>
      </c>
      <c r="G291" t="s">
        <v>402</v>
      </c>
      <c r="I291">
        <v>1</v>
      </c>
      <c r="J291" t="s">
        <v>414</v>
      </c>
    </row>
    <row r="292" spans="1:10" x14ac:dyDescent="0.45">
      <c r="A292" t="s">
        <v>944</v>
      </c>
      <c r="B292" t="s">
        <v>411</v>
      </c>
      <c r="C292" t="s">
        <v>945</v>
      </c>
      <c r="D292">
        <v>799</v>
      </c>
      <c r="E292" t="s">
        <v>406</v>
      </c>
      <c r="F292" t="s">
        <v>421</v>
      </c>
      <c r="G292" t="s">
        <v>408</v>
      </c>
      <c r="I292">
        <v>3</v>
      </c>
      <c r="J292" t="s">
        <v>403</v>
      </c>
    </row>
    <row r="293" spans="1:10" x14ac:dyDescent="0.45">
      <c r="A293" t="s">
        <v>946</v>
      </c>
      <c r="B293" t="s">
        <v>416</v>
      </c>
      <c r="C293" t="s">
        <v>947</v>
      </c>
      <c r="D293">
        <v>199</v>
      </c>
      <c r="E293" t="s">
        <v>434</v>
      </c>
      <c r="F293" t="s">
        <v>421</v>
      </c>
      <c r="G293" t="s">
        <v>402</v>
      </c>
      <c r="I293">
        <v>0</v>
      </c>
      <c r="J293" t="s">
        <v>409</v>
      </c>
    </row>
    <row r="294" spans="1:10" x14ac:dyDescent="0.45">
      <c r="A294" t="s">
        <v>948</v>
      </c>
      <c r="B294" t="s">
        <v>411</v>
      </c>
      <c r="C294" t="s">
        <v>459</v>
      </c>
      <c r="D294">
        <v>199</v>
      </c>
      <c r="E294" t="s">
        <v>400</v>
      </c>
      <c r="F294" t="s">
        <v>421</v>
      </c>
      <c r="G294" t="s">
        <v>408</v>
      </c>
      <c r="I294">
        <v>3</v>
      </c>
      <c r="J294" t="s">
        <v>409</v>
      </c>
    </row>
    <row r="295" spans="1:10" x14ac:dyDescent="0.45">
      <c r="A295" t="s">
        <v>949</v>
      </c>
      <c r="B295" t="s">
        <v>416</v>
      </c>
      <c r="C295" t="s">
        <v>950</v>
      </c>
      <c r="D295">
        <v>199</v>
      </c>
      <c r="E295" t="s">
        <v>400</v>
      </c>
      <c r="F295" t="s">
        <v>401</v>
      </c>
      <c r="G295" t="s">
        <v>402</v>
      </c>
      <c r="H295" t="s">
        <v>951</v>
      </c>
      <c r="I295">
        <v>3</v>
      </c>
      <c r="J295" t="s">
        <v>403</v>
      </c>
    </row>
    <row r="296" spans="1:10" x14ac:dyDescent="0.45">
      <c r="A296" t="s">
        <v>952</v>
      </c>
      <c r="B296" t="s">
        <v>398</v>
      </c>
      <c r="C296" t="s">
        <v>75</v>
      </c>
      <c r="D296">
        <v>199</v>
      </c>
      <c r="E296" t="s">
        <v>427</v>
      </c>
      <c r="F296" t="s">
        <v>421</v>
      </c>
      <c r="G296" t="s">
        <v>408</v>
      </c>
      <c r="I296">
        <v>2</v>
      </c>
      <c r="J296" t="s">
        <v>409</v>
      </c>
    </row>
    <row r="297" spans="1:10" x14ac:dyDescent="0.45">
      <c r="A297" t="s">
        <v>953</v>
      </c>
      <c r="B297" t="s">
        <v>411</v>
      </c>
      <c r="C297" t="s">
        <v>954</v>
      </c>
      <c r="D297">
        <v>399</v>
      </c>
      <c r="E297" t="s">
        <v>406</v>
      </c>
      <c r="F297" t="s">
        <v>421</v>
      </c>
      <c r="G297" t="s">
        <v>402</v>
      </c>
      <c r="I297">
        <v>1</v>
      </c>
      <c r="J297" t="s">
        <v>418</v>
      </c>
    </row>
    <row r="298" spans="1:10" x14ac:dyDescent="0.45">
      <c r="A298" t="s">
        <v>955</v>
      </c>
      <c r="B298" t="s">
        <v>411</v>
      </c>
      <c r="C298" t="s">
        <v>956</v>
      </c>
      <c r="D298">
        <v>399</v>
      </c>
      <c r="E298" t="s">
        <v>427</v>
      </c>
      <c r="F298" t="s">
        <v>431</v>
      </c>
      <c r="G298" t="s">
        <v>402</v>
      </c>
      <c r="I298">
        <v>1</v>
      </c>
      <c r="J298" t="s">
        <v>409</v>
      </c>
    </row>
    <row r="299" spans="1:10" x14ac:dyDescent="0.45">
      <c r="A299" t="s">
        <v>957</v>
      </c>
      <c r="B299" t="s">
        <v>416</v>
      </c>
      <c r="C299" t="s">
        <v>459</v>
      </c>
      <c r="D299">
        <v>199</v>
      </c>
      <c r="E299" t="s">
        <v>427</v>
      </c>
      <c r="F299" t="s">
        <v>407</v>
      </c>
      <c r="G299" t="s">
        <v>402</v>
      </c>
      <c r="I299">
        <v>2</v>
      </c>
      <c r="J299" t="s">
        <v>418</v>
      </c>
    </row>
    <row r="300" spans="1:10" x14ac:dyDescent="0.45">
      <c r="A300" t="s">
        <v>958</v>
      </c>
      <c r="B300" t="s">
        <v>411</v>
      </c>
      <c r="C300" t="s">
        <v>447</v>
      </c>
      <c r="D300">
        <v>399</v>
      </c>
      <c r="E300" t="s">
        <v>406</v>
      </c>
      <c r="F300" t="s">
        <v>401</v>
      </c>
      <c r="G300" t="s">
        <v>408</v>
      </c>
      <c r="H300" t="s">
        <v>53</v>
      </c>
      <c r="I300">
        <v>1</v>
      </c>
      <c r="J300" t="s">
        <v>414</v>
      </c>
    </row>
    <row r="301" spans="1:10" x14ac:dyDescent="0.45">
      <c r="A301" t="s">
        <v>959</v>
      </c>
      <c r="B301" t="s">
        <v>411</v>
      </c>
      <c r="C301" t="s">
        <v>90</v>
      </c>
      <c r="D301">
        <v>399</v>
      </c>
      <c r="E301" t="s">
        <v>434</v>
      </c>
      <c r="F301" t="s">
        <v>407</v>
      </c>
      <c r="G301" t="s">
        <v>402</v>
      </c>
      <c r="H301" t="s">
        <v>346</v>
      </c>
      <c r="I301">
        <v>3</v>
      </c>
      <c r="J301" t="s">
        <v>414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tabSelected="1" workbookViewId="0">
      <selection activeCell="F21" sqref="F21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 t="s">
        <v>960</v>
      </c>
    </row>
    <row r="3" spans="1:2" x14ac:dyDescent="0.45">
      <c r="A3">
        <v>2</v>
      </c>
      <c r="B3" t="s">
        <v>961</v>
      </c>
    </row>
    <row r="4" spans="1:2" x14ac:dyDescent="0.45">
      <c r="A4">
        <v>3</v>
      </c>
      <c r="B4" t="s">
        <v>962</v>
      </c>
    </row>
    <row r="5" spans="1:2" x14ac:dyDescent="0.45">
      <c r="A5">
        <v>4</v>
      </c>
      <c r="B5" t="s">
        <v>963</v>
      </c>
    </row>
    <row r="6" spans="1:2" x14ac:dyDescent="0.45">
      <c r="A6">
        <v>5</v>
      </c>
      <c r="B6" t="s">
        <v>964</v>
      </c>
    </row>
    <row r="7" spans="1:2" x14ac:dyDescent="0.45">
      <c r="A7">
        <v>6</v>
      </c>
      <c r="B7" t="s">
        <v>965</v>
      </c>
    </row>
    <row r="8" spans="1:2" x14ac:dyDescent="0.45">
      <c r="A8">
        <v>7</v>
      </c>
      <c r="B8" t="s">
        <v>966</v>
      </c>
    </row>
    <row r="9" spans="1:2" x14ac:dyDescent="0.45">
      <c r="A9">
        <v>8</v>
      </c>
      <c r="B9" t="s">
        <v>967</v>
      </c>
    </row>
    <row r="10" spans="1:2" x14ac:dyDescent="0.45">
      <c r="A10">
        <v>9</v>
      </c>
      <c r="B10" t="s">
        <v>968</v>
      </c>
    </row>
    <row r="11" spans="1:2" x14ac:dyDescent="0.45">
      <c r="A11">
        <v>10</v>
      </c>
      <c r="B11" t="s">
        <v>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Conceptual Questions</vt:lpstr>
      <vt:lpstr>Practical Q1 -Dataset</vt:lpstr>
      <vt:lpstr>Practical Q1 - Formulas</vt:lpstr>
      <vt:lpstr>Practical Q2 - Dataset</vt:lpstr>
      <vt:lpstr>Practical Q2 - 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Venky</cp:lastModifiedBy>
  <dcterms:created xsi:type="dcterms:W3CDTF">2025-06-04T11:37:54Z</dcterms:created>
  <dcterms:modified xsi:type="dcterms:W3CDTF">2026-02-27T13:20:28Z</dcterms:modified>
</cp:coreProperties>
</file>