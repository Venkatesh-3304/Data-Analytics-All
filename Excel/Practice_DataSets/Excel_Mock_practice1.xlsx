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Excel\Practice_DataSets\"/>
    </mc:Choice>
  </mc:AlternateContent>
  <xr:revisionPtr revIDLastSave="0" documentId="13_ncr:1_{8BE6603C-E0D4-4EB7-8A19-3E2726E7C1DA}" xr6:coauthVersionLast="47" xr6:coauthVersionMax="47" xr10:uidLastSave="{00000000-0000-0000-0000-000000000000}"/>
  <bookViews>
    <workbookView xWindow="-98" yWindow="-98" windowWidth="21795" windowHeight="13695" firstSheet="1" activeTab="1" xr2:uid="{00000000-000D-0000-FFFF-FFFF00000000}"/>
  </bookViews>
  <sheets>
    <sheet name="Conceptual Questions" sheetId="1" r:id="rId1"/>
    <sheet name="Practical Q1 - Dataset" sheetId="2" r:id="rId2"/>
    <sheet name="Practical Q1 - Formulas" sheetId="3" r:id="rId3"/>
    <sheet name="Practical Q2 - Dataset" sheetId="4" r:id="rId4"/>
    <sheet name="Sheet1" sheetId="6" r:id="rId5"/>
    <sheet name="Practical Q2 - EDA" sheetId="5" r:id="rId6"/>
  </sheets>
  <definedNames>
    <definedName name="Slicer_Sales_Rep">#N/A</definedName>
    <definedName name="Slicer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3" i="2" l="1"/>
  <c r="P26" i="2"/>
  <c r="P30" i="2"/>
  <c r="P44" i="2"/>
  <c r="P40" i="2"/>
  <c r="P12" i="2"/>
  <c r="P5" i="2"/>
  <c r="P37" i="2"/>
  <c r="P31" i="2"/>
  <c r="P32" i="2"/>
  <c r="P33" i="2"/>
  <c r="P19" i="2"/>
  <c r="K2" i="2" a="1"/>
  <c r="K2" i="2" s="1"/>
  <c r="P16" i="2"/>
  <c r="P13" i="2"/>
  <c r="P14" i="2"/>
  <c r="P15" i="2"/>
  <c r="P6" i="2"/>
  <c r="P7" i="2"/>
  <c r="P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<sst xmlns="http://schemas.openxmlformats.org/spreadsheetml/2006/main" count="3448" uniqueCount="1295">
  <si>
    <t>Conceptual Questions</t>
  </si>
  <si>
    <t>1. Explain how Excel's PivotTables help in exploratory data analysis. Provide an example from a business domain.</t>
  </si>
  <si>
    <t>2. Discuss the limitations of VLOOKUP in Excel and why INDEX-MATCH or XLOOKUP might be preferred in large datasets.</t>
  </si>
  <si>
    <t>Transaction_ID</t>
  </si>
  <si>
    <t>Department</t>
  </si>
  <si>
    <t>Region</t>
  </si>
  <si>
    <t>Product_Category</t>
  </si>
  <si>
    <t>Units_Sold</t>
  </si>
  <si>
    <t>Unit_Price</t>
  </si>
  <si>
    <t>Discount</t>
  </si>
  <si>
    <t>Revenue</t>
  </si>
  <si>
    <t>Profit_Margin(%)</t>
  </si>
  <si>
    <t>Date</t>
  </si>
  <si>
    <t>7b99234f-2ba1-41b3-9cba-589d5f19c55d</t>
  </si>
  <si>
    <t>Sales</t>
  </si>
  <si>
    <t>West</t>
  </si>
  <si>
    <t>Grocery</t>
  </si>
  <si>
    <t>91f55b1b-2411-40fb-81c7-0eb39ab5e0cd</t>
  </si>
  <si>
    <t>HR</t>
  </si>
  <si>
    <t>South</t>
  </si>
  <si>
    <t>Clothing</t>
  </si>
  <si>
    <t>79e9dd28-7271-4026-835e-bb33818299d6</t>
  </si>
  <si>
    <t>IT</t>
  </si>
  <si>
    <t>North</t>
  </si>
  <si>
    <t>Electronics</t>
  </si>
  <si>
    <t>12b4ffe8-32d2-4d45-83c7-8c713aca8a41</t>
  </si>
  <si>
    <t>Finance</t>
  </si>
  <si>
    <t>ab59b9a6-9ccf-4d74-bd21-4f23b4e9a80a</t>
  </si>
  <si>
    <t>86cdca57-463b-4507-acea-103563da601c</t>
  </si>
  <si>
    <t>02bd82a6-d5d5-411a-b830-4d30abe39ee4</t>
  </si>
  <si>
    <t>Marketing</t>
  </si>
  <si>
    <t>East</t>
  </si>
  <si>
    <t>Books</t>
  </si>
  <si>
    <t>0ed23ffe-7411-468d-bd42-8d218940fc67</t>
  </si>
  <si>
    <t>cf3cb352-a51a-4e37-a921-33bbc53165c0</t>
  </si>
  <si>
    <t>51f404ba-ce50-4cf0-8253-ecbc3d62a8e1</t>
  </si>
  <si>
    <t>8829254c-7481-4d8b-aeb2-2806cb2b29fa</t>
  </si>
  <si>
    <t>380e109f-d8aa-4e9a-b451-447661ec8969</t>
  </si>
  <si>
    <t>8fdd9e76-a007-4680-a27b-5d119e2d6b3d</t>
  </si>
  <si>
    <t>6ef9297a-4b0d-42d4-9e4d-d0f4a250d918</t>
  </si>
  <si>
    <t>d7f600c6-a346-48d1-a1b6-bbbae52bedec</t>
  </si>
  <si>
    <t>a7ae412a-35ae-4bcb-80e9-649231ac28fc</t>
  </si>
  <si>
    <t>9bbaad7d-7950-4a80-851e-33a14ade14e5</t>
  </si>
  <si>
    <t>Furniture</t>
  </si>
  <si>
    <t>55a5d7c3-1017-418a-91cd-54371b87b262</t>
  </si>
  <si>
    <t>1a72a17b-f9bf-4ffa-97b8-25dd1cb5bde5</t>
  </si>
  <si>
    <t>e0f060cf-60f7-4d7a-9511-110edfcba09b</t>
  </si>
  <si>
    <t>7c6d5f28-176b-4a68-ad84-efb3223d0fd5</t>
  </si>
  <si>
    <t>4a6e4f68-2a4a-45a2-93c0-bd85eff89a2c</t>
  </si>
  <si>
    <t>77f6eba6-9997-4262-b9d6-c1889ba61b46</t>
  </si>
  <si>
    <t>ee1e4305-3e7b-4adf-bb0d-a4fcd5e46f6c</t>
  </si>
  <si>
    <t>6ed8138b-3f4c-4cd2-92ea-23269d50ac54</t>
  </si>
  <si>
    <t>70466d95-b47e-44a8-a9a0-1720814cd0f8</t>
  </si>
  <si>
    <t>f16c9f6d-d30b-448a-8537-2fdf0233a642</t>
  </si>
  <si>
    <t>86b37882-8412-4dc9-a556-0a3eac610586</t>
  </si>
  <si>
    <t>8345ebb5-dd82-4fed-a593-d2a1a64e5370</t>
  </si>
  <si>
    <t>d67ffa20-87ff-4461-80af-204370109941</t>
  </si>
  <si>
    <t>7c6dcb1d-bd2c-478b-95aa-4d193213ef05</t>
  </si>
  <si>
    <t>bc980405-81b9-47de-b5ea-35869dc3dcb2</t>
  </si>
  <si>
    <t>330d3f85-e38e-4768-ab89-42773b1c22fe</t>
  </si>
  <si>
    <t>fb3a8fbe-45cf-44bd-83d8-0a8afccf0a39</t>
  </si>
  <si>
    <t>b0240cee-bf46-4d63-a0ec-6227b80a6ca5</t>
  </si>
  <si>
    <t>b05c7d05-4470-49c2-80d9-211f5548bb89</t>
  </si>
  <si>
    <t>6938ccf2-3e29-4e73-ac86-14a56a809f61</t>
  </si>
  <si>
    <t>a7f40913-b50f-4a50-afb4-380b304231ff</t>
  </si>
  <si>
    <t>7c7777a3-6702-44cc-ad3d-cb939f51974b</t>
  </si>
  <si>
    <t>9c6ebc3d-04f7-4131-88c8-dee3ca284a63</t>
  </si>
  <si>
    <t>7980d74e-7ace-4fb8-b1ae-f003b91b2a22</t>
  </si>
  <si>
    <t>187140c1-6bb0-44a9-835d-b7d8b0da8085</t>
  </si>
  <si>
    <t>c7faa1cf-f802-4ee2-8db2-680bd394312b</t>
  </si>
  <si>
    <t>700322e8-b4d7-41c0-bec4-b4458ef75913</t>
  </si>
  <si>
    <t>22125eb8-a838-4237-bc5f-47a570f1b1b5</t>
  </si>
  <si>
    <t>fd0bcbdc-bec8-4d67-8a3c-2ffef0866a13</t>
  </si>
  <si>
    <t>7d5612ce-f599-4982-b173-d736cb0f873e</t>
  </si>
  <si>
    <t>57aa4485-8f16-4d70-82d4-b1537bc1c659</t>
  </si>
  <si>
    <t>1fd531f3-f8df-43da-9f46-329beb63c1b8</t>
  </si>
  <si>
    <t>524edb53-f5aa-4149-8360-49c543c8f0fc</t>
  </si>
  <si>
    <t>81fa802f-112c-469b-976b-ce48a401dbd9</t>
  </si>
  <si>
    <t>8bc8cebb-912b-4558-93ac-05760890709d</t>
  </si>
  <si>
    <t>5da97620-796c-4596-a1a9-c4081bddf934</t>
  </si>
  <si>
    <t>a9cb5867-442f-42dc-a4b6-89b20b14f10b</t>
  </si>
  <si>
    <t>18905f06-bb5f-41a5-81f4-2808053b2f53</t>
  </si>
  <si>
    <t>01434208-e224-4527-8c60-51e3730b80e5</t>
  </si>
  <si>
    <t>853d8dbf-1668-497c-85df-0ffc5ba9d57e</t>
  </si>
  <si>
    <t>e7d2df6e-1d13-4336-aad2-6d90026968ad</t>
  </si>
  <si>
    <t>58d20581-303d-4c1c-878a-cdba4d5e2c9c</t>
  </si>
  <si>
    <t>7df24c3b-8002-49e7-8889-d86df5685616</t>
  </si>
  <si>
    <t>d8d759f2-5bbf-4e45-9fbd-ef6d3b3e0b77</t>
  </si>
  <si>
    <t>b7d70036-3fdc-411a-b8d8-33ac08e62401</t>
  </si>
  <si>
    <t>24d8cf84-86b9-4c04-a3db-e0d3124c1da5</t>
  </si>
  <si>
    <t>015c8751-b75a-4c3e-b080-cbf9d45ffd04</t>
  </si>
  <si>
    <t>a985efb3-9526-4a9b-b58c-53f0c9f63f4d</t>
  </si>
  <si>
    <t>58f34dc6-1f0f-45ff-bcde-6c631e5e905d</t>
  </si>
  <si>
    <t>57205efe-be7e-4757-b4c6-596bac0efd70</t>
  </si>
  <si>
    <t>a87121f6-b22c-4e46-bac7-7d201b239f73</t>
  </si>
  <si>
    <t>a23b2ef0-ba1c-437e-a21e-bea499100105</t>
  </si>
  <si>
    <t>1f70ffad-f629-4feb-8c4a-6c624d7e5b56</t>
  </si>
  <si>
    <t>ad0df1f3-c490-4b29-8723-c77281d3f9ca</t>
  </si>
  <si>
    <t>992cf6c9-316c-48b5-8ea3-5de2ef55d9ca</t>
  </si>
  <si>
    <t>c0443abf-bb90-40a2-9cc4-babf4500c96a</t>
  </si>
  <si>
    <t>bcc1c53f-b2be-481e-8035-8ce1b44cdaae</t>
  </si>
  <si>
    <t>593fdf15-93d6-4e56-bfba-ec07c75d2f26</t>
  </si>
  <si>
    <t>2f883714-c479-4178-8a4c-36864723d68c</t>
  </si>
  <si>
    <t>d934c037-bcae-43f1-ab50-c8ee8213ec98</t>
  </si>
  <si>
    <t>68bc47e8-23d2-44f3-a738-ea2bce16ee05</t>
  </si>
  <si>
    <t>97c6ae58-5520-4f1b-b0f9-7370b693be4c</t>
  </si>
  <si>
    <t>3c22bd06-6436-4f55-a64a-2c70ea335d71</t>
  </si>
  <si>
    <t>f24ece47-e773-4f3a-94cd-1162d54d6749</t>
  </si>
  <si>
    <t>e3b509ec-f2c4-47d8-a82e-67b3c57dc0b2</t>
  </si>
  <si>
    <t>e2151dc6-4899-4c0c-8786-bbf95086c941</t>
  </si>
  <si>
    <t>337add3b-af6e-4bb5-adb3-a4d89e38d0cf</t>
  </si>
  <si>
    <t>dffc5605-4d0f-4957-b36c-3d7d4ba62b61</t>
  </si>
  <si>
    <t>f46e83b9-33ec-4f93-82d9-1f75bb644e3b</t>
  </si>
  <si>
    <t>2c0cdceb-43b9-4151-bc96-f8425febb32e</t>
  </si>
  <si>
    <t>8854a22c-dcbb-4218-8b33-ef23e85c190e</t>
  </si>
  <si>
    <t>c5d66eec-bfd5-49b3-b2af-dc5b1f4c5631</t>
  </si>
  <si>
    <t>186c078d-f1a5-4c38-856d-8a35b901aa89</t>
  </si>
  <si>
    <t>63d176de-a061-4e6b-82da-d7bcf8041ad9</t>
  </si>
  <si>
    <t>fb5de451-7977-466b-a780-44e83c150f70</t>
  </si>
  <si>
    <t>6980c843-3055-4633-bb44-42858c98dabb</t>
  </si>
  <si>
    <t>055f042b-5274-47f3-8b40-928889c90395</t>
  </si>
  <si>
    <t>53290f7a-f5b7-4862-9762-9fe291f13988</t>
  </si>
  <si>
    <t>4dc067b0-846a-4c80-8aeb-ad579c11ba0d</t>
  </si>
  <si>
    <t>ac5fb0df-f08f-4048-9a73-f9c2f1baf501</t>
  </si>
  <si>
    <t>56f8967e-7cc3-4439-b436-446c67d0b2b6</t>
  </si>
  <si>
    <t>433b8af4-21c0-4d57-9281-f83dbdbcdd12</t>
  </si>
  <si>
    <t>2d9b667e-e1b0-49b0-a9ff-efa6cb363113</t>
  </si>
  <si>
    <t>075e9d56-a185-464a-a6e4-17a2800a1a6e</t>
  </si>
  <si>
    <t>6dede703-d8ac-4252-8897-271cf7dd0f20</t>
  </si>
  <si>
    <t>398f4582-6b8c-4f1e-84c0-a5778ea70c6a</t>
  </si>
  <si>
    <t>31e7f943-d268-4203-a78f-c3c0968e0421</t>
  </si>
  <si>
    <t>b980ac35-9836-4e4b-a430-b344bc86f5ad</t>
  </si>
  <si>
    <t>d3cebb76-3287-4748-b282-145d23200364</t>
  </si>
  <si>
    <t>7ee331b1-3a95-4d87-8f38-f68652e00b38</t>
  </si>
  <si>
    <t>3e8ef400-ac2a-4db0-90f5-e16c2a77d669</t>
  </si>
  <si>
    <t>efc9bd9b-42d4-47d3-a0ec-a15926804f2a</t>
  </si>
  <si>
    <t>846796f5-ec5f-4949-a8ca-489622c8db9b</t>
  </si>
  <si>
    <t>8b192451-7b56-44cb-ac47-7888f2a51764</t>
  </si>
  <si>
    <t>25ef5c85-7868-4a44-a5bf-40ce53b9e856</t>
  </si>
  <si>
    <t>0c9baf32-48a0-4fd0-9c9e-c3c473a17a75</t>
  </si>
  <si>
    <t>40fe285b-7052-47e1-a33b-6d8b8bd78454</t>
  </si>
  <si>
    <t>fce21797-0876-4a1b-bc17-5e5bc1b2fbf5</t>
  </si>
  <si>
    <t>56a1aff7-a2c1-4792-8714-0eb493c73092</t>
  </si>
  <si>
    <t>e78de649-9fbc-4005-be80-09cde25f7900</t>
  </si>
  <si>
    <t>e4cef058-874a-4fb0-b457-5d3bdcc93438</t>
  </si>
  <si>
    <t>4de6a5f1-b3c9-4dd3-8e61-b7d85c4ab2ea</t>
  </si>
  <si>
    <t>f7854229-db1e-440b-96f2-4b6ebf00e975</t>
  </si>
  <si>
    <t>ecb99881-2ab5-44eb-b7eb-dcc1581f74b0</t>
  </si>
  <si>
    <t>02c422f1-985f-46b4-922a-dea027314bb1</t>
  </si>
  <si>
    <t>c6f8b86b-4880-4972-b5a7-7ff43ccdd9c6</t>
  </si>
  <si>
    <t>8b9a2ece-931e-4625-921d-89e2e207287c</t>
  </si>
  <si>
    <t>493cbdb2-d0f2-475f-8cd9-c811940d2ebf</t>
  </si>
  <si>
    <t>a7b52bb0-abd6-48fc-971b-29e1d0be4a0a</t>
  </si>
  <si>
    <t>5e10994a-3022-4159-a295-13fb6fae00fa</t>
  </si>
  <si>
    <t>3b165096-fded-42b5-9a67-76c4dcbe25b4</t>
  </si>
  <si>
    <t>f167b2a8-6e7d-493a-879b-705a939d570f</t>
  </si>
  <si>
    <t>a1e96b37-070e-4bb0-b238-d01d62c80216</t>
  </si>
  <si>
    <t>9f1f791f-baa3-4f43-b679-36f117ac1538</t>
  </si>
  <si>
    <t>06b103c6-4ea1-4768-8792-2db0bba376d5</t>
  </si>
  <si>
    <t>b4423737-20bf-4fb7-8753-fde682d68b64</t>
  </si>
  <si>
    <t>efac6ca7-19de-4eb8-b735-e1f39701da6a</t>
  </si>
  <si>
    <t>b130f389-1412-4bb4-a6a7-ab14ffa539cc</t>
  </si>
  <si>
    <t>001024c1-70da-4485-8a20-0c32af4ea1e6</t>
  </si>
  <si>
    <t>b0350c5c-1e53-4776-8d83-6778d76d8be7</t>
  </si>
  <si>
    <t>67c61036-6fc7-4c2d-b314-f5bc11c8019a</t>
  </si>
  <si>
    <t>103176ec-fe20-4c38-b442-e19eb6302202</t>
  </si>
  <si>
    <t>eb1a96c8-2cd5-42c2-aadd-14a50a8f069f</t>
  </si>
  <si>
    <t>a9f231c6-a99a-47d4-af24-33da465ee175</t>
  </si>
  <si>
    <t>65878b8b-a918-4af4-b90b-86d6d361736f</t>
  </si>
  <si>
    <t>3065b597-a5e8-4f83-81dc-371432690fd7</t>
  </si>
  <si>
    <t>a9a91cc6-cd19-4b45-8af6-0774fb6611bf</t>
  </si>
  <si>
    <t>a56cf841-5da3-4ed8-907e-ebd10af46a51</t>
  </si>
  <si>
    <t>e2c21659-520d-4578-aaea-01dd1f2cd92e</t>
  </si>
  <si>
    <t>0a6df7bd-dbb9-4a88-b06e-b704942f757a</t>
  </si>
  <si>
    <t>8e4de528-587f-44a6-87ef-679f9585d205</t>
  </si>
  <si>
    <t>cf38c032-7f4c-40bd-8c45-48815eec596a</t>
  </si>
  <si>
    <t>9b4ede7b-edff-4696-a489-549c40f62975</t>
  </si>
  <si>
    <t>9230f279-845b-48e4-b1d8-665e436644d4</t>
  </si>
  <si>
    <t>512120de-6c23-4de1-b5f2-396faefd6b35</t>
  </si>
  <si>
    <t>2f8673b9-4199-431c-8295-68de12db8144</t>
  </si>
  <si>
    <t>e3b86a09-e250-4bb3-94d1-cbf32adeb5c0</t>
  </si>
  <si>
    <t>ba482b8c-475b-42ca-9e84-ff37796524a6</t>
  </si>
  <si>
    <t>67eef7a8-a8c7-4843-afa2-3e24e891904f</t>
  </si>
  <si>
    <t>d668f4c6-d4e2-4bfd-961e-0536f4cb6ebb</t>
  </si>
  <si>
    <t>8ccb20be-6ff7-414f-b575-af00186a5aa9</t>
  </si>
  <si>
    <t>a3918cd7-87fa-4de6-8f6d-e8363334c04f</t>
  </si>
  <si>
    <t>84495b41-46f6-46be-b8ce-723f19268907</t>
  </si>
  <si>
    <t>65161275-62f0-4d77-b263-a3ab36c8b22d</t>
  </si>
  <si>
    <t>95e32493-307a-47f0-a48b-03601a093dc4</t>
  </si>
  <si>
    <t>afb0a3fe-ee37-4005-9a2c-569513875082</t>
  </si>
  <si>
    <t>f151beaf-ef48-4b7e-9218-47692b25aaf9</t>
  </si>
  <si>
    <t>ab2aa695-0d1d-4dea-b49c-d92c4d9cd346</t>
  </si>
  <si>
    <t>9844e1e9-f6cd-4730-92f7-5d6985776e2b</t>
  </si>
  <si>
    <t>0ba8f067-ae3a-4e41-914f-fe9876f4d305</t>
  </si>
  <si>
    <t>dac841d1-00a1-4cf1-9ca5-c56fd93d89e7</t>
  </si>
  <si>
    <t>1d887839-4e03-48fe-9046-da0619e44996</t>
  </si>
  <si>
    <t>c114807e-3bde-4a81-86dc-6ccdf4d17ba4</t>
  </si>
  <si>
    <t>8401fd12-95d9-4b4f-94de-338b4a256be7</t>
  </si>
  <si>
    <t>95f3f3ff-5318-4d00-bfae-01f4a943e15a</t>
  </si>
  <si>
    <t>305c9701-942d-4b14-8c64-4b514ef5c176</t>
  </si>
  <si>
    <t>c581df0e-3588-4e54-ad7e-c7b2a3e07afe</t>
  </si>
  <si>
    <t>cc1f250b-71a9-4a7b-9028-b7e2e948abec</t>
  </si>
  <si>
    <t>8252310c-22e8-4e8b-a05b-b254a5a11f8d</t>
  </si>
  <si>
    <t>8bb76433-8aff-41ae-8dc2-cfacdbe3c38a</t>
  </si>
  <si>
    <t>ad96eb46-7170-4dca-8e1e-3e59fba30b60</t>
  </si>
  <si>
    <t>2ca700df-f9d3-43d9-bbc2-c8d93f56df41</t>
  </si>
  <si>
    <t>d985231c-f91d-4b53-b13d-f5fd6b5e8095</t>
  </si>
  <si>
    <t>306ca27b-507e-4420-bd88-e4407ed5f41e</t>
  </si>
  <si>
    <t>7ee95631-0ebe-4590-b23a-fef6849441ef</t>
  </si>
  <si>
    <t>cd764fca-def9-4cb1-9dcb-255fa17e9fb1</t>
  </si>
  <si>
    <t>dd6b0070-1305-4a51-8227-57b7c6e65392</t>
  </si>
  <si>
    <t>3d339a0f-508f-46c2-bb30-7b4d5daa2edc</t>
  </si>
  <si>
    <t>5359bff2-ed8f-4f8d-8d77-f6b7294ccbdb</t>
  </si>
  <si>
    <t>10184cfd-2039-4589-8782-fff38d23ef22</t>
  </si>
  <si>
    <t>ad3b492f-ac09-488b-b2fc-07c55aa4f9f1</t>
  </si>
  <si>
    <t>3ee6ab24-7e7e-45d6-b63b-5b028ff663ea</t>
  </si>
  <si>
    <t>cbfde5c6-a97b-44c1-b6b9-a15198b8f222</t>
  </si>
  <si>
    <t>554f50db-60d7-46ca-8189-3d742e5cf7a7</t>
  </si>
  <si>
    <t>e606a114-34dd-4bb2-9cda-552071db5e1f</t>
  </si>
  <si>
    <t>2faff2e0-8f1e-4415-98c2-f23faad84ace</t>
  </si>
  <si>
    <t>edb23642-e5b6-40cb-818f-4a8177bfe4cd</t>
  </si>
  <si>
    <t>ab89d411-ba85-4bf0-9a4a-c3813510fc1a</t>
  </si>
  <si>
    <t>de8ba8ac-6ced-4dc8-9865-49e64138bee8</t>
  </si>
  <si>
    <t>51fdbe04-db36-429d-a342-7162532f99a4</t>
  </si>
  <si>
    <t>fc4dde8a-4068-48c7-9951-0d8416f3b7e8</t>
  </si>
  <si>
    <t>566e5748-56c6-4303-ab4e-efd98011c4e3</t>
  </si>
  <si>
    <t>6b14a327-58d6-48cf-a334-350ec23ee25f</t>
  </si>
  <si>
    <t>6563562d-ef35-4b7f-9f33-279374a05571</t>
  </si>
  <si>
    <t>0e265ad2-eeb3-4030-a04d-00c0777698eb</t>
  </si>
  <si>
    <t>7dddab12-ff8f-4307-8867-75d978a99878</t>
  </si>
  <si>
    <t>858e73b7-20ee-4923-a812-9131be558df9</t>
  </si>
  <si>
    <t>8ae6c8a6-a479-406f-8593-cc6b4c1bea0e</t>
  </si>
  <si>
    <t>17e2d19c-e602-48d5-9a73-cf23ff65f8ce</t>
  </si>
  <si>
    <t>08126315-0f07-4f01-88c2-17f8246530a7</t>
  </si>
  <si>
    <t>d741da7b-6b69-4f02-b412-40ff0c233cae</t>
  </si>
  <si>
    <t>cf876b3d-48a5-469a-a1ae-e224eccb1cd9</t>
  </si>
  <si>
    <t>e4d4340c-71ee-4869-8273-77cde4033cf4</t>
  </si>
  <si>
    <t>0713dce8-603d-4bb0-9d09-2f5cfaab3c5e</t>
  </si>
  <si>
    <t>5bd7ed1d-8fea-4681-8732-95875f5f27b5</t>
  </si>
  <si>
    <t>002f1f10-f36e-48f0-9c37-7fc52eafa9e2</t>
  </si>
  <si>
    <t>1b27155f-3a45-4800-8a9f-a2db9b7189b6</t>
  </si>
  <si>
    <t>ef9393c0-3890-4c7b-9e32-14bef699009e</t>
  </si>
  <si>
    <t>4c9a27fd-f3a1-40b8-98bf-7a4d9b4211da</t>
  </si>
  <si>
    <t>94a850e0-18d9-4a46-a2eb-936c3d5a979b</t>
  </si>
  <si>
    <t>23607285-da1f-4b96-bc1d-c4fa58e61e0e</t>
  </si>
  <si>
    <t>47d95015-15c3-4b42-9b64-43624e5201cd</t>
  </si>
  <si>
    <t>7b58f47e-22e8-47e2-9c02-b47cc7784e6c</t>
  </si>
  <si>
    <t>ae6bd0de-f448-4cc9-8d3d-488af037b122</t>
  </si>
  <si>
    <t>3003c1c6-c722-49a3-8037-42bebdf14a94</t>
  </si>
  <si>
    <t>b334b721-7c1c-45ad-96df-b61932d78e85</t>
  </si>
  <si>
    <t>cb3a3bcf-cf75-496c-af0d-462a0b07e0cb</t>
  </si>
  <si>
    <t>06469f73-c410-48d8-9e3e-cca396cd796d</t>
  </si>
  <si>
    <t>3c681d9c-2b89-4088-9fa8-d0ad9ffdaa50</t>
  </si>
  <si>
    <t>33eaa15b-d79c-4484-839d-28d7b6167a6b</t>
  </si>
  <si>
    <t>652e639d-7740-4c4a-8f3e-1e0195ca4122</t>
  </si>
  <si>
    <t>d659048a-c83d-4d12-ad1c-216b6400cd11</t>
  </si>
  <si>
    <t>cc68f224-18c0-4ca8-8cce-5b34b965a167</t>
  </si>
  <si>
    <t>f2681f86-ea77-4197-a6b1-a70b3133e115</t>
  </si>
  <si>
    <t>08880280-0aac-475c-ab5b-683d4e13bf26</t>
  </si>
  <si>
    <t>1a62fd2a-3cbc-490a-a569-fd866c101192</t>
  </si>
  <si>
    <t>27e558cc-290d-46f7-ac6a-7a81be4febfd</t>
  </si>
  <si>
    <t>6bfa24d4-81f7-4dca-9c96-b75a9031cff5</t>
  </si>
  <si>
    <t>b933ccca-3d57-4c24-8964-18d8221f8cdf</t>
  </si>
  <si>
    <t>54e58a6d-732f-45dc-9665-627e28476dcb</t>
  </si>
  <si>
    <t>2ef2888f-1031-47e5-a4b9-11ac2039b1f0</t>
  </si>
  <si>
    <t>60dd7170-d02c-4aa8-9027-a8ea4ac04c8d</t>
  </si>
  <si>
    <t>9c8739ce-90c5-4c5d-a918-25b77e85b756</t>
  </si>
  <si>
    <t>d770049b-00f1-4b6b-918a-e7b178e83857</t>
  </si>
  <si>
    <t>022c2669-f341-4b0b-93f6-5ae1313ebeef</t>
  </si>
  <si>
    <t>c51988e0-55c8-48eb-b936-dfbc3e4a3542</t>
  </si>
  <si>
    <t>aa6295b1-040e-45a4-aaa1-8034f857a278</t>
  </si>
  <si>
    <t>4e7e81ac-fa6e-4776-820d-2ce07eb03de7</t>
  </si>
  <si>
    <t>8811052d-d3a5-453f-b32f-87a3c1e6fac2</t>
  </si>
  <si>
    <t>47dc85f4-f44f-45bf-a73f-e0a982bb4a1d</t>
  </si>
  <si>
    <t>6717b76b-c23d-4c8d-9c93-a040d8c4b8ea</t>
  </si>
  <si>
    <t>b4c25132-7c39-4303-aa84-a0b7c76f50e7</t>
  </si>
  <si>
    <t>eee7e428-2d12-48b8-b8e2-0c949cd9625c</t>
  </si>
  <si>
    <t>9d2278d2-7110-40b2-8523-0ee0f6d01ecb</t>
  </si>
  <si>
    <t>010eb392-1b49-4241-bcc9-d56799b455c8</t>
  </si>
  <si>
    <t>d1adbc25-9ba9-4149-9758-95d057a3f838</t>
  </si>
  <si>
    <t>269f2ac4-9091-4fbf-b562-2185edd31636</t>
  </si>
  <si>
    <t>e5e07cb9-67a1-4ca5-a0d1-13ba08993fb1</t>
  </si>
  <si>
    <t>7e2f1c24-86aa-44bc-a994-147053baaa01</t>
  </si>
  <si>
    <t>f6bc2c14-e839-4dec-8d66-da76b58fe624</t>
  </si>
  <si>
    <t>7e5888c8-d2a3-49e1-bfc0-84776f7b3814</t>
  </si>
  <si>
    <t>b6810efa-00c4-4193-bb60-f2fa945c6627</t>
  </si>
  <si>
    <t>e79dd7cd-f14d-4b62-af20-ed698342bac1</t>
  </si>
  <si>
    <t>6fb08e32-a9e4-498e-9c89-ced0ecbf2077</t>
  </si>
  <si>
    <t>4bb06f72-c182-4cfd-ae3f-f203d6ea14c2</t>
  </si>
  <si>
    <t>d14e0bde-0a96-44cc-9e08-f7c660d7eb2e</t>
  </si>
  <si>
    <t>e49cd00d-8310-418d-b679-53ca8d94a845</t>
  </si>
  <si>
    <t>5e87319e-bd95-4bba-81dd-d2d5140654cb</t>
  </si>
  <si>
    <t>16e511a2-692d-4061-94d8-b063cf6ae9c7</t>
  </si>
  <si>
    <t>db71e674-3535-46ff-85ba-adf338734988</t>
  </si>
  <si>
    <t>adb2ad00-ad09-4111-bff3-4ea53ffb0639</t>
  </si>
  <si>
    <t>5a5bba86-6eaa-4601-8394-2f6280a5eed3</t>
  </si>
  <si>
    <t>e7a96245-72d3-469d-aac0-362105bc5f0c</t>
  </si>
  <si>
    <t>66a29661-2fb5-45ec-aa95-c9b7ca4947c1</t>
  </si>
  <si>
    <t>e1073f09-c4bc-41e4-96ba-48e0fdae77a1</t>
  </si>
  <si>
    <t>9ae1aa39-5c16-448b-ac88-614e18799d43</t>
  </si>
  <si>
    <t>5557339e-f5ba-4198-9ea6-9468ce86cca9</t>
  </si>
  <si>
    <t>91cf5830-4f0b-42db-bde3-22b91792e170</t>
  </si>
  <si>
    <t>a48aea0b-5b39-48c9-8e5a-c08b796c8d40</t>
  </si>
  <si>
    <t>403dd417-f445-4fae-9176-28efa61b2ea7</t>
  </si>
  <si>
    <t>4015569e-8096-4f08-8b38-eecd204dd30a</t>
  </si>
  <si>
    <t>dd712052-7e70-43f0-b6b3-11a7d259fa2b</t>
  </si>
  <si>
    <t>b23e265b-c8e4-4288-86c4-d7a3f3e230a4</t>
  </si>
  <si>
    <t>64115388-663c-4f79-97fc-ee3fd89d0ad4</t>
  </si>
  <si>
    <t>cabcd6c8-a516-4680-8f4b-b34af6687165</t>
  </si>
  <si>
    <t>0ea559ca-cf3b-47af-8036-f88ffb32eced</t>
  </si>
  <si>
    <t>c0b340c1-b2af-4ae3-a6b6-32e0422395d6</t>
  </si>
  <si>
    <t>e8c81f38-511b-45a8-bbc8-3233d3c909ab</t>
  </si>
  <si>
    <t>69d789e2-6dac-4a91-8344-6e35abc1a71c</t>
  </si>
  <si>
    <t>ba65429e-4841-4842-ac69-71b7b13e4d76</t>
  </si>
  <si>
    <t>69feb775-7a78-4437-a9a0-ae4bfa605e5c</t>
  </si>
  <si>
    <t>0bda9f35-bde5-4e41-80c8-0740890caa31</t>
  </si>
  <si>
    <t>bc139471-d1ad-457f-bdb8-64ec1513cf4e</t>
  </si>
  <si>
    <t>ebbe6c05-eaf9-4060-b492-82c8a7bc846a</t>
  </si>
  <si>
    <t>94867367-3bdb-43fe-ae6c-feb54df088de</t>
  </si>
  <si>
    <t>899b3f48-1ca2-448f-a696-ca25d839ba83</t>
  </si>
  <si>
    <t>cb52ed6d-8fe5-498e-bc69-98e378c1592b</t>
  </si>
  <si>
    <t>0d0ad261-9c55-401f-b19a-171e50cc8e3f</t>
  </si>
  <si>
    <t>4e6afb9c-a12c-43c2-be39-98163d07302b</t>
  </si>
  <si>
    <t>5fb20ad3-9417-4ffe-bffe-cdca58d4390d</t>
  </si>
  <si>
    <t>57135782-c7f4-4406-aa86-8066f690173d</t>
  </si>
  <si>
    <t>313a78ad-4bda-4c1a-962e-9025c24805ff</t>
  </si>
  <si>
    <t>54915176-3063-42a1-a80e-e35bea7a5c82</t>
  </si>
  <si>
    <t>Practical Q1 Questions</t>
  </si>
  <si>
    <t>1. Use SUMIFS to find total Revenue for each Region.</t>
  </si>
  <si>
    <t>2. Use COUNTIF to count how many transactions received a 20% discount.</t>
  </si>
  <si>
    <t>3. Use IF to create a new column 'High_Value' where Revenue &gt; 5000 is 'Yes', else 'No'.</t>
  </si>
  <si>
    <t>4. Use VLOOKUP to find the Unit_Price of a given Transaction_ID.</t>
  </si>
  <si>
    <t>5. Use INDEX-MATCH to retrieve the Department for a given Transaction_ID.</t>
  </si>
  <si>
    <t>6. Use RANK to rank all transactions by Revenue.</t>
  </si>
  <si>
    <t>7. Use AVERAGEIFS to find average Unit_Price by Region where Units_Sold &gt; 10.</t>
  </si>
  <si>
    <t>8. Use TEXT functions to extract the year from the Date column.</t>
  </si>
  <si>
    <t>9. Use DATE functions to calculate days since transaction.</t>
  </si>
  <si>
    <t>10. Use CONCATENATE (or TEXTJOIN) to create a unique key with Region and Department.</t>
  </si>
  <si>
    <t>Order_ID</t>
  </si>
  <si>
    <t>Customer_Name</t>
  </si>
  <si>
    <t>Product</t>
  </si>
  <si>
    <t>Category</t>
  </si>
  <si>
    <t>Units</t>
  </si>
  <si>
    <t>Price_per_Unit</t>
  </si>
  <si>
    <t>Order_Date</t>
  </si>
  <si>
    <t>Sales_Rep</t>
  </si>
  <si>
    <t>Status</t>
  </si>
  <si>
    <t>Total_Amount</t>
  </si>
  <si>
    <t>10c2276b-b6fc-4c11-9f1d-774ae82ba2b6</t>
  </si>
  <si>
    <t>Colleen Brown</t>
  </si>
  <si>
    <t>Laptop</t>
  </si>
  <si>
    <t>Cody Anderson</t>
  </si>
  <si>
    <t>Returned</t>
  </si>
  <si>
    <t>2868d827-422e-4257-8e62-cb2546843183</t>
  </si>
  <si>
    <t>Randy Myers</t>
  </si>
  <si>
    <t>Juice</t>
  </si>
  <si>
    <t>Jeffery Hudson</t>
  </si>
  <si>
    <t>Delivered</t>
  </si>
  <si>
    <t>4dd611fb-3c4f-4c66-90a5-68c8cd1d7088</t>
  </si>
  <si>
    <t>Heidi Olson</t>
  </si>
  <si>
    <t>Notebook</t>
  </si>
  <si>
    <t>Sarah Collier</t>
  </si>
  <si>
    <t>Pending</t>
  </si>
  <si>
    <t>e023a447-8d93-44d2-8e91-ad65bda79c2f</t>
  </si>
  <si>
    <t>Amanda Malone</t>
  </si>
  <si>
    <t>Mrs. Sarah Espinoza</t>
  </si>
  <si>
    <t>4b27a8c2-afe6-4254-a5d1-62e4501c267d</t>
  </si>
  <si>
    <t>Donna Aguilar</t>
  </si>
  <si>
    <t>Book</t>
  </si>
  <si>
    <t>Madison Bradley</t>
  </si>
  <si>
    <t>4dfab251-595b-46fd-bbc0-b5ce47eafa0c</t>
  </si>
  <si>
    <t>Justin Murphy</t>
  </si>
  <si>
    <t>Jeans</t>
  </si>
  <si>
    <t>Samuel Evans</t>
  </si>
  <si>
    <t>Cancelled</t>
  </si>
  <si>
    <t>62bca224-c9e2-49bc-809e-045c4e92c430</t>
  </si>
  <si>
    <t>Megan Rodriguez</t>
  </si>
  <si>
    <t>Jeremy Allen</t>
  </si>
  <si>
    <t>8a99ede4-9917-456d-aa12-c7f20faa583f</t>
  </si>
  <si>
    <t>Adam Day</t>
  </si>
  <si>
    <t>Milk</t>
  </si>
  <si>
    <t>Ryan Allen</t>
  </si>
  <si>
    <t>6e5cde2c-e2da-41cd-8554-8093cbadc070</t>
  </si>
  <si>
    <t>Jordan Irwin</t>
  </si>
  <si>
    <t>Nathan Casey</t>
  </si>
  <si>
    <t>2b0f765f-0aac-4194-91db-82e0db9e5dff</t>
  </si>
  <si>
    <t>Jason Hardin Jr.</t>
  </si>
  <si>
    <t>Ashley Winters</t>
  </si>
  <si>
    <t>891093eb-fba6-41dc-a58f-3280aa61d66a</t>
  </si>
  <si>
    <t>Jacob Hamilton</t>
  </si>
  <si>
    <t>Shirt</t>
  </si>
  <si>
    <t>David Middleton</t>
  </si>
  <si>
    <t>6357564d-6ca5-4ac2-87a5-d5ef093ade1e</t>
  </si>
  <si>
    <t>Christopher Green</t>
  </si>
  <si>
    <t>Larry Wilson</t>
  </si>
  <si>
    <t>47ab31d0-05ad-4557-acbc-758db1ec602a</t>
  </si>
  <si>
    <t>Jane York</t>
  </si>
  <si>
    <t>Jennifer Walker</t>
  </si>
  <si>
    <t>18bea42f-3c9d-43cc-bfb6-a7e7e1b932b4</t>
  </si>
  <si>
    <t>Thomas Ramirez</t>
  </si>
  <si>
    <t>Matthew Parker</t>
  </si>
  <si>
    <t>531461b3-0a86-4f75-88e8-8f5cfae77fa4</t>
  </si>
  <si>
    <t>Dennis Burns</t>
  </si>
  <si>
    <t>Tiffany Black</t>
  </si>
  <si>
    <t>90bdd7c7-0dbf-49fa-9b9e-d5c2ac162ea4</t>
  </si>
  <si>
    <t>Theresa White</t>
  </si>
  <si>
    <t>Tablet</t>
  </si>
  <si>
    <t>Julia Mitchell</t>
  </si>
  <si>
    <t>c31b0338-606c-4709-94ea-36792a9dc1b3</t>
  </si>
  <si>
    <t>Jon Rivera</t>
  </si>
  <si>
    <t>Abigail Mason</t>
  </si>
  <si>
    <t>28393f29-86c6-468d-86d9-74f70ed46645</t>
  </si>
  <si>
    <t>Brandy Long</t>
  </si>
  <si>
    <t>Kimberly Jacobs</t>
  </si>
  <si>
    <t>36d06fcd-1aae-4c1a-8c95-13f3527b7916</t>
  </si>
  <si>
    <t>Suzanne Wright</t>
  </si>
  <si>
    <t>Carmen Jackson</t>
  </si>
  <si>
    <t>36440e5c-4b70-4788-85ee-ec927a9f71c8</t>
  </si>
  <si>
    <t>Dr. Jennifer Davis</t>
  </si>
  <si>
    <t>Jennifer Johnson</t>
  </si>
  <si>
    <t>b0d99d2f-4f80-458d-b895-dcf6d31b66c6</t>
  </si>
  <si>
    <t>William Cohen</t>
  </si>
  <si>
    <t>James Baker</t>
  </si>
  <si>
    <t>bc8b6775-9308-423b-be81-d5866fc71988</t>
  </si>
  <si>
    <t>Leslie Mcintyre</t>
  </si>
  <si>
    <t>Desk</t>
  </si>
  <si>
    <t>Daniel Esparza</t>
  </si>
  <si>
    <t>2adfe5c9-9e47-4e04-b0ac-407dceaa5e45</t>
  </si>
  <si>
    <t>Johnny Morton</t>
  </si>
  <si>
    <t>Yolanda Carrillo</t>
  </si>
  <si>
    <t>42a9198a-ca86-48af-a46e-7f46752806fe</t>
  </si>
  <si>
    <t>Molly Ortiz</t>
  </si>
  <si>
    <t>Ann Graham</t>
  </si>
  <si>
    <t>1ae8ca4f-5a43-4fb2-bd43-1e299ed9eb3d</t>
  </si>
  <si>
    <t>Douglas Ford</t>
  </si>
  <si>
    <t>Robert Scott</t>
  </si>
  <si>
    <t>64922014-8880-418f-9e00-def78838e087</t>
  </si>
  <si>
    <t>Ryan Palmer</t>
  </si>
  <si>
    <t>Tyler Hunter</t>
  </si>
  <si>
    <t>a33de640-cbc2-4e59-a049-88e1dbbf0f93</t>
  </si>
  <si>
    <t>Krista Jones</t>
  </si>
  <si>
    <t>Tammie Cherry</t>
  </si>
  <si>
    <t>6e98a17d-e743-4106-b19f-36040dec8b8d</t>
  </si>
  <si>
    <t>Jodi Gordon</t>
  </si>
  <si>
    <t>Derek Wright</t>
  </si>
  <si>
    <t>05866109-62c7-46c4-8496-47e6dd79150b</t>
  </si>
  <si>
    <t>Shawn Garcia</t>
  </si>
  <si>
    <t>Raymond Robertson</t>
  </si>
  <si>
    <t>07176983-496d-40fe-9db2-5237e0cfed9e</t>
  </si>
  <si>
    <t>Crystal Young</t>
  </si>
  <si>
    <t>Paul Young</t>
  </si>
  <si>
    <t>58b1ad06-4690-493f-811e-222a9c2921a0</t>
  </si>
  <si>
    <t>Ryan Bell DVM</t>
  </si>
  <si>
    <t>Raven Davis</t>
  </si>
  <si>
    <t>e72b81f8-58a4-422e-a1dd-60f1f8d3d331</t>
  </si>
  <si>
    <t>Kaitlyn Walker</t>
  </si>
  <si>
    <t>Morgan Smith</t>
  </si>
  <si>
    <t>fd595e33-d617-4fb4-b600-925d027d8993</t>
  </si>
  <si>
    <t>Kyle Graham</t>
  </si>
  <si>
    <t>Samuel Brown</t>
  </si>
  <si>
    <t>d3bf5c20-c34d-4fc0-81cf-71be5cb7f80d</t>
  </si>
  <si>
    <t>Robert Hernandez</t>
  </si>
  <si>
    <t>Christopher Cook</t>
  </si>
  <si>
    <t>a7307f6c-841f-4f4c-a9f4-278b1385f4b1</t>
  </si>
  <si>
    <t>Jeremiah Collins</t>
  </si>
  <si>
    <t>Chair</t>
  </si>
  <si>
    <t>Cindy Oliver</t>
  </si>
  <si>
    <t>ad2f85d3-2391-4683-8760-4f39cf4eade1</t>
  </si>
  <si>
    <t>Cathy Mcdonald</t>
  </si>
  <si>
    <t>Jessica Dodson</t>
  </si>
  <si>
    <t>7f4abe87-cef2-4338-b479-36c7d22d0955</t>
  </si>
  <si>
    <t>Teresa Evans</t>
  </si>
  <si>
    <t>James Martinez</t>
  </si>
  <si>
    <t>36dcb321-c26a-440e-8055-28a2a9d60075</t>
  </si>
  <si>
    <t>Jeremiah Johns</t>
  </si>
  <si>
    <t>Tina Thomas</t>
  </si>
  <si>
    <t>a60fcde8-0038-4e2c-bb15-5a4e209b8b26</t>
  </si>
  <si>
    <t>Ashley Jordan MD</t>
  </si>
  <si>
    <t>Marcus Singh</t>
  </si>
  <si>
    <t>78956d16-1dc0-4ffc-8fc8-e5240512752a</t>
  </si>
  <si>
    <t>Christopher Wheeler</t>
  </si>
  <si>
    <t>William Walsh</t>
  </si>
  <si>
    <t>483ed201-50b2-4a39-8fac-e4299b8b2acc</t>
  </si>
  <si>
    <t>Christine Branch</t>
  </si>
  <si>
    <t>Zachary Adams</t>
  </si>
  <si>
    <t>f56e4949-19f4-4070-a5ef-63a384794fd5</t>
  </si>
  <si>
    <t>Michael Weber</t>
  </si>
  <si>
    <t>Ricky Gilmore</t>
  </si>
  <si>
    <t>734fe76f-3584-4b49-87d5-6af1bb454d52</t>
  </si>
  <si>
    <t>David Anderson</t>
  </si>
  <si>
    <t>Robert West</t>
  </si>
  <si>
    <t>e4366d0d-b1e2-4c1b-87dd-9591d25d2de5</t>
  </si>
  <si>
    <t>Emily Bell</t>
  </si>
  <si>
    <t>Ryan Barnes</t>
  </si>
  <si>
    <t>33d3f641-8d53-49da-b378-fca7fd7d48c3</t>
  </si>
  <si>
    <t>Mary Harmon</t>
  </si>
  <si>
    <t>Melissa Wheeler</t>
  </si>
  <si>
    <t>15ca77a2-897e-4345-bf90-7d3d18785beb</t>
  </si>
  <si>
    <t>Mary Hayes</t>
  </si>
  <si>
    <t>Paul Patton</t>
  </si>
  <si>
    <t>a4ed8d59-e02c-4d07-9ec8-77b0105f67ea</t>
  </si>
  <si>
    <t>Robin King</t>
  </si>
  <si>
    <t>Mark Lynch</t>
  </si>
  <si>
    <t>4ff52d6e-87bf-4e46-a79f-2b2888c05ef9</t>
  </si>
  <si>
    <t>Patrick Miller</t>
  </si>
  <si>
    <t>Christian Wade</t>
  </si>
  <si>
    <t>99811195-fc16-4bd5-b39e-d33969c9f4e2</t>
  </si>
  <si>
    <t>Andrew Bailey</t>
  </si>
  <si>
    <t>Sarah Jones</t>
  </si>
  <si>
    <t>c62145ea-c3a5-4397-884b-bc9c739ab19d</t>
  </si>
  <si>
    <t>Christopher Dudley</t>
  </si>
  <si>
    <t>Daniel Porter</t>
  </si>
  <si>
    <t>b524bd95-85ae-4b3a-bfbf-d6c7b998e8ae</t>
  </si>
  <si>
    <t>John Henry</t>
  </si>
  <si>
    <t>Aaron Bautista</t>
  </si>
  <si>
    <t>2b1e4a32-70d6-41a4-af66-bf785dbbd323</t>
  </si>
  <si>
    <t>Lori Green</t>
  </si>
  <si>
    <t>Jeffrey Rogers</t>
  </si>
  <si>
    <t>6b4c9c05-9649-47b5-97a8-ccf4fcab748e</t>
  </si>
  <si>
    <t>Leah Chen</t>
  </si>
  <si>
    <t>Danielle Kim</t>
  </si>
  <si>
    <t>8aef7717-b15d-4157-bf76-8ec2b0d1a59b</t>
  </si>
  <si>
    <t>Kimberly Villanueva</t>
  </si>
  <si>
    <t>Victoria Rodriguez</t>
  </si>
  <si>
    <t>50636a63-f4a4-439e-8224-9657ed342c7f</t>
  </si>
  <si>
    <t>Donald Tucker DVM</t>
  </si>
  <si>
    <t>Lauren George</t>
  </si>
  <si>
    <t>c2c8918e-12ec-48ad-a5b5-e61b339b2245</t>
  </si>
  <si>
    <t>Jonathan Porter</t>
  </si>
  <si>
    <t>Patrick Kane</t>
  </si>
  <si>
    <t>3aebf2e0-83bc-45c8-9fc1-5885ff260181</t>
  </si>
  <si>
    <t>Dr. Nicholas Cooper</t>
  </si>
  <si>
    <t>Donald Hammond</t>
  </si>
  <si>
    <t>164a3b90-b1a7-4097-931c-445f82ea9b13</t>
  </si>
  <si>
    <t>Michael Chapman</t>
  </si>
  <si>
    <t>Julie Shelton</t>
  </si>
  <si>
    <t>8e0ba376-6904-42c3-b79d-f877eda19feb</t>
  </si>
  <si>
    <t>Emily Murphy</t>
  </si>
  <si>
    <t>Caroline Martinez</t>
  </si>
  <si>
    <t>17a80aba-5552-4e4f-97f6-8fcafaa08b7d</t>
  </si>
  <si>
    <t>William Mitchell</t>
  </si>
  <si>
    <t>Stephanie Martinez</t>
  </si>
  <si>
    <t>302b91e8-8932-4f61-a275-eda1e7ef1e93</t>
  </si>
  <si>
    <t>Christine Thompson</t>
  </si>
  <si>
    <t>Ian Ryan</t>
  </si>
  <si>
    <t>0f557253-bf50-482f-a4fb-869616e70b3d</t>
  </si>
  <si>
    <t>Lori Goodwin</t>
  </si>
  <si>
    <t>Stacey Johnson</t>
  </si>
  <si>
    <t>7b249c1c-6916-4ba6-b17c-e2d53191f68f</t>
  </si>
  <si>
    <t>Sarah Rodriguez</t>
  </si>
  <si>
    <t>Tracy Garner</t>
  </si>
  <si>
    <t>eb705fff-75fe-453f-b45c-f629496db3aa</t>
  </si>
  <si>
    <t>Margaret Guerrero</t>
  </si>
  <si>
    <t>David Rodriguez</t>
  </si>
  <si>
    <t>aa7d365a-77a4-42b3-9cbf-c2bb67aec93b</t>
  </si>
  <si>
    <t>Kimberly Steele</t>
  </si>
  <si>
    <t>Gail Owens</t>
  </si>
  <si>
    <t>71caabe3-eadc-4d43-b740-7e08a033774e</t>
  </si>
  <si>
    <t>Rachel Miller</t>
  </si>
  <si>
    <t>Heather Houston</t>
  </si>
  <si>
    <t>85c69776-b023-47d9-9635-44ec6f438d55</t>
  </si>
  <si>
    <t>Rachel Williamson</t>
  </si>
  <si>
    <t>Steven Johnson</t>
  </si>
  <si>
    <t>47ee495e-3055-41bc-ac91-978dd4851370</t>
  </si>
  <si>
    <t>William Kane</t>
  </si>
  <si>
    <t>Destiny Hernandez</t>
  </si>
  <si>
    <t>01733e88-e689-4546-a65f-9d641568bf10</t>
  </si>
  <si>
    <t>David Adams</t>
  </si>
  <si>
    <t>Laura Mosley</t>
  </si>
  <si>
    <t>31eb5afa-d2c7-4f17-ad6b-6ae5edafa504</t>
  </si>
  <si>
    <t>Andrea Garza</t>
  </si>
  <si>
    <t>Samuel Padilla Jr.</t>
  </si>
  <si>
    <t>81f8f089-0347-4694-b19b-43d2daeca245</t>
  </si>
  <si>
    <t>Alisha Ibarra</t>
  </si>
  <si>
    <t>Debra Williams</t>
  </si>
  <si>
    <t>6347fb6e-8121-46c8-bdd6-7202bbe130ea</t>
  </si>
  <si>
    <t>Mr. Thomas Wilcox</t>
  </si>
  <si>
    <t>Lee Evans</t>
  </si>
  <si>
    <t>57bb231f-528a-440d-93da-4cd2d84f3e09</t>
  </si>
  <si>
    <t>Mr. John Gonzales</t>
  </si>
  <si>
    <t>Jacqueline Harvey</t>
  </si>
  <si>
    <t>65985220-7783-430e-9070-ada79a4dd6cc</t>
  </si>
  <si>
    <t>Ryan Rivera</t>
  </si>
  <si>
    <t>Kimberly Murphy</t>
  </si>
  <si>
    <t>556ebb72-1211-4b4f-a2b7-d30934d0374a</t>
  </si>
  <si>
    <t>Kenneth Vincent</t>
  </si>
  <si>
    <t>3964f1a0-1026-418e-9492-7f997634b218</t>
  </si>
  <si>
    <t>Billy Sweeney</t>
  </si>
  <si>
    <t>Shelly Carroll</t>
  </si>
  <si>
    <t>c090fa18-638f-4429-8a61-f6c5a1c639e1</t>
  </si>
  <si>
    <t>Michael Walker</t>
  </si>
  <si>
    <t>Virginia Buckley</t>
  </si>
  <si>
    <t>f327e3a3-89dc-4bdc-909b-c53bc759f4e7</t>
  </si>
  <si>
    <t>Dawn Wolfe</t>
  </si>
  <si>
    <t>Veronica Thompson</t>
  </si>
  <si>
    <t>c593d4de-61cb-4d88-84f5-05082b031b2a</t>
  </si>
  <si>
    <t>Lindsey Pennington</t>
  </si>
  <si>
    <t>Steven Schroeder</t>
  </si>
  <si>
    <t>d9138edf-c972-4fb7-a129-0fc98c64b149</t>
  </si>
  <si>
    <t>Christina Long PhD</t>
  </si>
  <si>
    <t>Joanne Collier</t>
  </si>
  <si>
    <t>fe7ac53d-f42d-4192-99b1-313f18595c5e</t>
  </si>
  <si>
    <t>Michael White</t>
  </si>
  <si>
    <t>Michael Jones</t>
  </si>
  <si>
    <t>982d3dd5-5aa2-4b09-a84e-40df157cafe3</t>
  </si>
  <si>
    <t>Jeffrey Schneider</t>
  </si>
  <si>
    <t>Shirley Monroe</t>
  </si>
  <si>
    <t>9452dad9-2c18-4424-90a4-727728563c71</t>
  </si>
  <si>
    <t>Karen Mclean</t>
  </si>
  <si>
    <t>Daniel Weber</t>
  </si>
  <si>
    <t>8a5ace4e-014c-449e-89dd-1029dfd52371</t>
  </si>
  <si>
    <t>Terry Haley</t>
  </si>
  <si>
    <t>William Cook</t>
  </si>
  <si>
    <t>3f3c8204-4e35-4786-84e2-195f1596bed4</t>
  </si>
  <si>
    <t>Michael May</t>
  </si>
  <si>
    <t>Carmen Duncan</t>
  </si>
  <si>
    <t>c4f95d40-ad8e-4f4d-9b48-447f3b0d79f0</t>
  </si>
  <si>
    <t>Nathan May</t>
  </si>
  <si>
    <t>Robert Tucker</t>
  </si>
  <si>
    <t>e71cba54-6af3-401a-949f-73a42fd6df0a</t>
  </si>
  <si>
    <t>Andrea Lee</t>
  </si>
  <si>
    <t>Sarah Moore</t>
  </si>
  <si>
    <t>7f0af025-c782-445b-9e96-7832698b2df1</t>
  </si>
  <si>
    <t>Stephanie Lee</t>
  </si>
  <si>
    <t>Traci Wright</t>
  </si>
  <si>
    <t>de31ea78-efc1-4219-9698-540e112c4663</t>
  </si>
  <si>
    <t>James Harrison</t>
  </si>
  <si>
    <t>Jeffrey Camacho</t>
  </si>
  <si>
    <t>d4463e16-c6ef-40c6-80d5-aac2b94317b9</t>
  </si>
  <si>
    <t>Donald Carpenter</t>
  </si>
  <si>
    <t>Danielle Matthews</t>
  </si>
  <si>
    <t>1b6b7fae-9a8a-4329-b72d-ca0840b4d45d</t>
  </si>
  <si>
    <t>Ryan Franco</t>
  </si>
  <si>
    <t>Gregory Andrews</t>
  </si>
  <si>
    <t>aad0bd23-7cee-4b5a-a98c-3748273970e9</t>
  </si>
  <si>
    <t>Michael Hernandez</t>
  </si>
  <si>
    <t>Charles Oliver</t>
  </si>
  <si>
    <t>48d785b4-b861-4479-ba68-42f5fd4c7554</t>
  </si>
  <si>
    <t>Matthew Montgomery</t>
  </si>
  <si>
    <t>Michelle Reyes</t>
  </si>
  <si>
    <t>f93250c7-85bf-4d9f-ba94-a97de1ec2117</t>
  </si>
  <si>
    <t>Lauren Price</t>
  </si>
  <si>
    <t>Carolyn Dickerson</t>
  </si>
  <si>
    <t>ebb234c3-e339-4118-98d1-8b187429699f</t>
  </si>
  <si>
    <t>Sheila Coleman</t>
  </si>
  <si>
    <t>Susan Gentry</t>
  </si>
  <si>
    <t>015a0cb7-ae62-4ec2-9eec-5b9de1bc458c</t>
  </si>
  <si>
    <t>Lori Hernandez</t>
  </si>
  <si>
    <t>Jessica Sheppard</t>
  </si>
  <si>
    <t>8d3654c8-5515-40a0-b118-69a33ad3cb2c</t>
  </si>
  <si>
    <t>Michael Livingston</t>
  </si>
  <si>
    <t>Jake Cummings</t>
  </si>
  <si>
    <t>ec440f08-322f-4a61-a62f-0066571d8ae0</t>
  </si>
  <si>
    <t>Kimberly Rivera MD</t>
  </si>
  <si>
    <t>Jacob Smith DDS</t>
  </si>
  <si>
    <t>c84d6b35-14de-4b78-a475-a2001e515b8c</t>
  </si>
  <si>
    <t>Curtis Hubbard</t>
  </si>
  <si>
    <t>Carlos Williams</t>
  </si>
  <si>
    <t>20973e49-83ab-4bf1-942d-a4249577099b</t>
  </si>
  <si>
    <t>Melissa Peters</t>
  </si>
  <si>
    <t>Jamie Cline</t>
  </si>
  <si>
    <t>0e9bf042-74f0-4ddb-b41e-20cf27b0b67d</t>
  </si>
  <si>
    <t>Melanie Reynolds</t>
  </si>
  <si>
    <t>Eric Newman</t>
  </si>
  <si>
    <t>8a204236-7353-4f1d-888f-633e44dd3cc7</t>
  </si>
  <si>
    <t>Christina Simpson</t>
  </si>
  <si>
    <t>Craig Fisher DDS</t>
  </si>
  <si>
    <t>02143cbb-0c58-47eb-90bb-a6f69e72d76d</t>
  </si>
  <si>
    <t>Cynthia Harvey</t>
  </si>
  <si>
    <t>Albert Simpson</t>
  </si>
  <si>
    <t>15f85245-156e-4787-99e7-9ed7c2d3d6c9</t>
  </si>
  <si>
    <t>Elizabeth Watson</t>
  </si>
  <si>
    <t>Jack Brown</t>
  </si>
  <si>
    <t>90f19885-24df-4794-97eb-7080d870c3f5</t>
  </si>
  <si>
    <t>Ms. Julia Hines</t>
  </si>
  <si>
    <t>Paul Williams</t>
  </si>
  <si>
    <t>be190f93-980c-47eb-988d-fa06b24d2f83</t>
  </si>
  <si>
    <t>Andrea Smith</t>
  </si>
  <si>
    <t>Jeremiah Mills</t>
  </si>
  <si>
    <t>82efa489-72ca-4f37-b973-053dd31b6bcf</t>
  </si>
  <si>
    <t>Jordan Young</t>
  </si>
  <si>
    <t>Rachel Mann</t>
  </si>
  <si>
    <t>141e709e-8f78-4c20-aa6b-0f22c359253e</t>
  </si>
  <si>
    <t>Katherine Lutz MD</t>
  </si>
  <si>
    <t>Daniel Jones</t>
  </si>
  <si>
    <t>b6abb67d-b958-4d43-af7d-cac0cf204019</t>
  </si>
  <si>
    <t>Anthony Rice</t>
  </si>
  <si>
    <t>Michael Pham</t>
  </si>
  <si>
    <t>6a0bc01a-1bf0-4f8f-bc18-15c59c143887</t>
  </si>
  <si>
    <t>Kathy Moss</t>
  </si>
  <si>
    <t>James Deleon</t>
  </si>
  <si>
    <t>b6a0c82a-9a58-4d44-b72e-f1a4745d22b3</t>
  </si>
  <si>
    <t>William Clark</t>
  </si>
  <si>
    <t>Carl Wallace</t>
  </si>
  <si>
    <t>5589a92d-0b83-417c-bb01-373351b2a0ff</t>
  </si>
  <si>
    <t>Michael Guerrero</t>
  </si>
  <si>
    <t>Robert Lyons</t>
  </si>
  <si>
    <t>51cb8dee-118e-4618-96ab-b1469f5d1b1e</t>
  </si>
  <si>
    <t>Sarah Miller</t>
  </si>
  <si>
    <t>Shawn Perry</t>
  </si>
  <si>
    <t>e74cf1c6-3644-4924-ad86-e04d103e0dec</t>
  </si>
  <si>
    <t>Frank Chavez</t>
  </si>
  <si>
    <t>Stephen Patrick</t>
  </si>
  <si>
    <t>28514076-ed9d-4676-80bf-c75f3a11a0be</t>
  </si>
  <si>
    <t>Keith White</t>
  </si>
  <si>
    <t>Brett Zimmerman</t>
  </si>
  <si>
    <t>a71b4082-7db6-4506-a4b2-56a65cb78f38</t>
  </si>
  <si>
    <t>Maurice Harris</t>
  </si>
  <si>
    <t>David Simpson</t>
  </si>
  <si>
    <t>a7956baf-fab4-4435-95a1-309dc8a18fee</t>
  </si>
  <si>
    <t>Michelle James DDS</t>
  </si>
  <si>
    <t>Jennifer Deleon</t>
  </si>
  <si>
    <t>fbf2d973-d857-4b61-bcd0-e15ea15cadbd</t>
  </si>
  <si>
    <t>Willie Hamilton</t>
  </si>
  <si>
    <t>Alexis Quinn</t>
  </si>
  <si>
    <t>7622c231-c057-4118-abc2-74f880237946</t>
  </si>
  <si>
    <t>Sarah Ayala</t>
  </si>
  <si>
    <t>Sara Hall</t>
  </si>
  <si>
    <t>cf114320-34c5-484d-996e-aa78d023d24d</t>
  </si>
  <si>
    <t>Steven Sanders</t>
  </si>
  <si>
    <t>Monica Ferguson</t>
  </si>
  <si>
    <t>f4ba933d-3cee-49c6-8429-0a3b52f36a53</t>
  </si>
  <si>
    <t>Susan Hernandez</t>
  </si>
  <si>
    <t>Jordan Thomas</t>
  </si>
  <si>
    <t>8800d6d6-1114-46fd-84d2-8ac59c6cead2</t>
  </si>
  <si>
    <t>Ralph Rose</t>
  </si>
  <si>
    <t>Donna Montgomery</t>
  </si>
  <si>
    <t>c285e45e-f384-4941-a411-b81359fba067</t>
  </si>
  <si>
    <t>Lisa Johnson</t>
  </si>
  <si>
    <t>Michael Doyle</t>
  </si>
  <si>
    <t>f5580a6c-0f00-451f-bb31-484e8c126ddd</t>
  </si>
  <si>
    <t>Abigail Prince</t>
  </si>
  <si>
    <t>Elijah Guzman</t>
  </si>
  <si>
    <t>d6dca180-2060-41de-8301-3ac6070bccc6</t>
  </si>
  <si>
    <t>Andrea Hunt</t>
  </si>
  <si>
    <t>Jamie Gay</t>
  </si>
  <si>
    <t>c3aa0c15-bdae-41b2-ad81-82ca30fd74ba</t>
  </si>
  <si>
    <t>Kyle Rowe</t>
  </si>
  <si>
    <t>David Evans</t>
  </si>
  <si>
    <t>d0e7b46d-7111-4c8e-b64b-0c90ff91a882</t>
  </si>
  <si>
    <t>Rhonda Taylor</t>
  </si>
  <si>
    <t>Michael Wiggins</t>
  </si>
  <si>
    <t>5c0775cb-27a1-471a-82c4-3ba8e7fef4b6</t>
  </si>
  <si>
    <t>Craig Ward</t>
  </si>
  <si>
    <t>Summer Martin</t>
  </si>
  <si>
    <t>65055177-7192-4d38-bd24-166f3facba4f</t>
  </si>
  <si>
    <t>Lisa Davis</t>
  </si>
  <si>
    <t>Alyssa Thomas</t>
  </si>
  <si>
    <t>01facff5-ef15-4902-8284-2736dd4773bc</t>
  </si>
  <si>
    <t>Jorge Johnson</t>
  </si>
  <si>
    <t>Nathan Harmon</t>
  </si>
  <si>
    <t>5876c3f2-b96b-46f7-9009-fe551b4d3791</t>
  </si>
  <si>
    <t>Matthew Smith</t>
  </si>
  <si>
    <t>Tammy Jones</t>
  </si>
  <si>
    <t>4f41083f-6ea5-4298-9735-337e0a38958d</t>
  </si>
  <si>
    <t>Anna Smith</t>
  </si>
  <si>
    <t>Linda Jones</t>
  </si>
  <si>
    <t>21d3c03f-c927-4c82-a641-3896152ee78a</t>
  </si>
  <si>
    <t>Nicholas Brown</t>
  </si>
  <si>
    <t>Nicole Zamora</t>
  </si>
  <si>
    <t>85fedc7d-10f5-485e-98fc-b51d087f1e53</t>
  </si>
  <si>
    <t>Kenneth Rice</t>
  </si>
  <si>
    <t>Jim Gross</t>
  </si>
  <si>
    <t>4d51d8aa-b458-4b69-824e-626f3bc34e97</t>
  </si>
  <si>
    <t>Mikayla Mayo</t>
  </si>
  <si>
    <t>David Ryan</t>
  </si>
  <si>
    <t>55897b4d-36f2-4168-bb38-845b9b1f9fc3</t>
  </si>
  <si>
    <t>Allen Reeves</t>
  </si>
  <si>
    <t>Jasmine Brown</t>
  </si>
  <si>
    <t>55bcd40d-0caa-436d-b1ca-9ce52ac683a4</t>
  </si>
  <si>
    <t>Jeffrey Hughes</t>
  </si>
  <si>
    <t>Devin Torres</t>
  </si>
  <si>
    <t>665c4fe2-523e-4bb7-a23c-c6d8a553fcd9</t>
  </si>
  <si>
    <t>Melissa Mcpherson</t>
  </si>
  <si>
    <t>Greg Holland</t>
  </si>
  <si>
    <t>904d39cd-13ec-4986-858c-81467012e011</t>
  </si>
  <si>
    <t>Morgan Taylor</t>
  </si>
  <si>
    <t>Ronald Woods</t>
  </si>
  <si>
    <t>cd089d37-bcf0-45a3-9870-323c1ffefeda</t>
  </si>
  <si>
    <t>Frederick Taylor</t>
  </si>
  <si>
    <t>Casey Wright</t>
  </si>
  <si>
    <t>db8ca6fe-819b-4b0f-9f65-afaa29656a5f</t>
  </si>
  <si>
    <t>Kevin Peterson</t>
  </si>
  <si>
    <t>Michael Castro</t>
  </si>
  <si>
    <t>f08adacb-448c-4044-a439-a083b8161684</t>
  </si>
  <si>
    <t>Barbara Davis</t>
  </si>
  <si>
    <t>Jonathan Pruitt</t>
  </si>
  <si>
    <t>43f0d8c7-e1cd-4ec1-934b-ab29ed9ba4bc</t>
  </si>
  <si>
    <t>Mallory Richmond</t>
  </si>
  <si>
    <t>Lisa Webb</t>
  </si>
  <si>
    <t>ed1c3479-465e-48b8-a64b-5237f35b5272</t>
  </si>
  <si>
    <t>Kelly Robinson</t>
  </si>
  <si>
    <t>Mr. Carl Fitzpatrick</t>
  </si>
  <si>
    <t>a36862e5-9d74-4ba4-8769-ccd6202f1534</t>
  </si>
  <si>
    <t>Karen Gibson</t>
  </si>
  <si>
    <t>James Klein</t>
  </si>
  <si>
    <t>e18a27ea-24a6-4b7d-8478-0b768ec8ccea</t>
  </si>
  <si>
    <t>Christopher Whitehead</t>
  </si>
  <si>
    <t>Michael Hansen</t>
  </si>
  <si>
    <t>8e906644-a989-4279-b78a-a64ec0fec9d1</t>
  </si>
  <si>
    <t>Matthew Peters</t>
  </si>
  <si>
    <t>Caroline Stone</t>
  </si>
  <si>
    <t>2f7a52ed-450e-49b9-b171-566c67b281ac</t>
  </si>
  <si>
    <t>Brandon Sanders</t>
  </si>
  <si>
    <t>Corey Davis</t>
  </si>
  <si>
    <t>98e9d944-3de7-4294-baa5-7a48088b139c</t>
  </si>
  <si>
    <t>Adam Ward</t>
  </si>
  <si>
    <t>Richard Edwards Jr.</t>
  </si>
  <si>
    <t>b3a47bcb-8045-4cb3-893b-7bf46a3285a5</t>
  </si>
  <si>
    <t>Jill Moon</t>
  </si>
  <si>
    <t>Thomas Norman</t>
  </si>
  <si>
    <t>c15fbbda-a83a-4bcb-8832-2e6a0d677d0c</t>
  </si>
  <si>
    <t>Austin Blair</t>
  </si>
  <si>
    <t>Jennifer Morris</t>
  </si>
  <si>
    <t>3411e36c-8926-49eb-ae79-4829e67bae7b</t>
  </si>
  <si>
    <t>Chelsea Ho</t>
  </si>
  <si>
    <t>Maria Booth</t>
  </si>
  <si>
    <t>ab2ec891-e3a6-4839-8ebc-8b0f9892bab4</t>
  </si>
  <si>
    <t>Michael Mckenzie</t>
  </si>
  <si>
    <t>Melanie Newman</t>
  </si>
  <si>
    <t>0bc1f90c-41de-483f-8d35-6ead23fc375a</t>
  </si>
  <si>
    <t>Randy Sanchez</t>
  </si>
  <si>
    <t>Eric Nelson</t>
  </si>
  <si>
    <t>ce44c837-6c81-4fb7-991f-5402e0950b6c</t>
  </si>
  <si>
    <t>Tyler Perez</t>
  </si>
  <si>
    <t>James Stuart</t>
  </si>
  <si>
    <t>b1fde1e7-1d6a-4a31-9d2a-380eb2b02e00</t>
  </si>
  <si>
    <t>Daniel Bruce</t>
  </si>
  <si>
    <t>Brandon Rich</t>
  </si>
  <si>
    <t>8bba85ee-9b2a-45cb-aa9c-c0ebd7920dcd</t>
  </si>
  <si>
    <t>Sara Lane</t>
  </si>
  <si>
    <t>Joshua Anderson</t>
  </si>
  <si>
    <t>8c2afedd-db82-415a-add5-f2b585b86db8</t>
  </si>
  <si>
    <t>Adam Sullivan</t>
  </si>
  <si>
    <t>Taylor Moon</t>
  </si>
  <si>
    <t>e3484000-ac3a-4b77-8ed1-dc87f8700478</t>
  </si>
  <si>
    <t>Sarah Burton</t>
  </si>
  <si>
    <t>Lori Perez</t>
  </si>
  <si>
    <t>ea99d966-f8f6-4de4-84db-4ed9566e8d2a</t>
  </si>
  <si>
    <t>Eric Ortiz</t>
  </si>
  <si>
    <t>b2dd046c-7b91-441a-ad16-640f60b6bc02</t>
  </si>
  <si>
    <t>Jessica Fox</t>
  </si>
  <si>
    <t>Edward Griffith</t>
  </si>
  <si>
    <t>0b16da56-cbf5-4713-a53d-62307c6c7a7e</t>
  </si>
  <si>
    <t>Jesus Blankenship</t>
  </si>
  <si>
    <t>Jennifer Rubio</t>
  </si>
  <si>
    <t>c5e6c393-a89a-42ff-b5c9-5531e4812eb1</t>
  </si>
  <si>
    <t>Vanessa Stanley</t>
  </si>
  <si>
    <t>Juan Marsh</t>
  </si>
  <si>
    <t>68dbf253-4246-46cb-92c9-36a3a31acdd5</t>
  </si>
  <si>
    <t>Regina Acosta</t>
  </si>
  <si>
    <t>Donald Black</t>
  </si>
  <si>
    <t>25e6de6d-ebf3-4431-ae44-695bc19014bf</t>
  </si>
  <si>
    <t>Michael Lee</t>
  </si>
  <si>
    <t>Anthony Simmons</t>
  </si>
  <si>
    <t>20fd000d-e883-4ab9-b0d4-d636814d1f87</t>
  </si>
  <si>
    <t>Alice Ortiz</t>
  </si>
  <si>
    <t>Jason Montgomery</t>
  </si>
  <si>
    <t>d1e9a4bf-93ca-4f7d-8c94-288c84a20393</t>
  </si>
  <si>
    <t>Alex Nguyen MD</t>
  </si>
  <si>
    <t>Jesse Mejia</t>
  </si>
  <si>
    <t>3fd57c47-ee32-480b-807a-7bf9c1852f8d</t>
  </si>
  <si>
    <t>Karen Wade</t>
  </si>
  <si>
    <t>Benjamin Davidson</t>
  </si>
  <si>
    <t>b3ffa1db-7990-4eb6-8758-4d54273d07ed</t>
  </si>
  <si>
    <t>Christy Garcia</t>
  </si>
  <si>
    <t>Stacy Anderson</t>
  </si>
  <si>
    <t>cfc8ffdf-9234-4c11-a43d-3088b20d19a3</t>
  </si>
  <si>
    <t>Laura Blankenship</t>
  </si>
  <si>
    <t>Ronald Matthews</t>
  </si>
  <si>
    <t>1bbae244-799b-4148-9780-4abf7299f0b9</t>
  </si>
  <si>
    <t>Ashley Robertson</t>
  </si>
  <si>
    <t>Joshua Wilson</t>
  </si>
  <si>
    <t>8759cc00-f890-40fb-9962-7e0a6646037a</t>
  </si>
  <si>
    <t>Jeremy Tate</t>
  </si>
  <si>
    <t>Dominique Wheeler</t>
  </si>
  <si>
    <t>fae7cd87-c9f4-4a0f-b5ce-c4111617136e</t>
  </si>
  <si>
    <t>Peter Ramsey</t>
  </si>
  <si>
    <t>Rebecca Sims</t>
  </si>
  <si>
    <t>8c5ca570-2347-4c81-a5fd-103072cde3a6</t>
  </si>
  <si>
    <t>Melissa White</t>
  </si>
  <si>
    <t>Carlos Weiss</t>
  </si>
  <si>
    <t>8cafb412-619e-4294-bf11-b6e1bf788116</t>
  </si>
  <si>
    <t>James Butler</t>
  </si>
  <si>
    <t>Sheena Gibson</t>
  </si>
  <si>
    <t>ad366408-bbb6-44bb-b565-4eb7d0af4497</t>
  </si>
  <si>
    <t>Patricia Solomon</t>
  </si>
  <si>
    <t>Katherine Johnson</t>
  </si>
  <si>
    <t>3984cdf2-e849-463a-ac83-f963c8785394</t>
  </si>
  <si>
    <t>Sierra Simon DDS</t>
  </si>
  <si>
    <t>Holly Ingram</t>
  </si>
  <si>
    <t>655d6ee0-f730-4234-b85e-2fd61685174a</t>
  </si>
  <si>
    <t>Joanna Scott</t>
  </si>
  <si>
    <t>John Ryan</t>
  </si>
  <si>
    <t>d250e257-fa90-404d-b8b8-2d1cd8444302</t>
  </si>
  <si>
    <t>Thomas Johnson</t>
  </si>
  <si>
    <t>Sean Andrews</t>
  </si>
  <si>
    <t>95248d15-fc4c-4235-a39b-14889aab91d3</t>
  </si>
  <si>
    <t>Yolanda Li</t>
  </si>
  <si>
    <t>Brianna Young PhD</t>
  </si>
  <si>
    <t>440fbd03-6333-44cc-8ddb-39b8b00c967d</t>
  </si>
  <si>
    <t>Kristen Jones</t>
  </si>
  <si>
    <t>Vincent Ray</t>
  </si>
  <si>
    <t>463a7dfc-f58c-4c85-8f51-8205996e3526</t>
  </si>
  <si>
    <t>Samantha Coleman</t>
  </si>
  <si>
    <t>Marcus Glover</t>
  </si>
  <si>
    <t>cdaf08bf-aff0-44cd-8edd-337a0d76b307</t>
  </si>
  <si>
    <t>Susan Scott</t>
  </si>
  <si>
    <t>Jared Martin</t>
  </si>
  <si>
    <t>595f7f74-cb72-4e6c-a7e0-9d90c65e8d64</t>
  </si>
  <si>
    <t>Beth Lambert</t>
  </si>
  <si>
    <t>Sonya Miles</t>
  </si>
  <si>
    <t>07cdc288-c85c-48e9-a0fa-89ffc17708e5</t>
  </si>
  <si>
    <t>Gary Schwartz</t>
  </si>
  <si>
    <t>Brian Bush</t>
  </si>
  <si>
    <t>fcbc055e-48c2-4aec-a0b2-4c2bf8aebc29</t>
  </si>
  <si>
    <t>Jade Williams</t>
  </si>
  <si>
    <t>Stanley Hart</t>
  </si>
  <si>
    <t>30187fcf-bf5f-4000-bab4-91aede0df52b</t>
  </si>
  <si>
    <t>Alicia Cummings</t>
  </si>
  <si>
    <t>Mrs. Tracy Jensen MD</t>
  </si>
  <si>
    <t>78250c8c-9c92-471b-a0d7-5e12c213b259</t>
  </si>
  <si>
    <t>Lindsay Foster</t>
  </si>
  <si>
    <t>Ashley Blackwell</t>
  </si>
  <si>
    <t>bf50a7cc-95e4-4764-8d18-c32fe4a5f87d</t>
  </si>
  <si>
    <t>Scott Harrington</t>
  </si>
  <si>
    <t>Matthew Henderson</t>
  </si>
  <si>
    <t>9489d546-3168-44ff-a460-f9d34e803649</t>
  </si>
  <si>
    <t>Sydney Yoder</t>
  </si>
  <si>
    <t>David Browning</t>
  </si>
  <si>
    <t>cc8a30dc-68d9-412d-9d20-dccef8ee2b2b</t>
  </si>
  <si>
    <t>Duane Bishop</t>
  </si>
  <si>
    <t>Jennifer Edwards</t>
  </si>
  <si>
    <t>01765236-0650-4926-b4d3-6db8b0cc49ff</t>
  </si>
  <si>
    <t>Amber Blake</t>
  </si>
  <si>
    <t>Adam Martinez</t>
  </si>
  <si>
    <t>e2afa4be-9a91-4d61-9532-38da25224271</t>
  </si>
  <si>
    <t>Zachary Miller</t>
  </si>
  <si>
    <t>Nicole Estrada</t>
  </si>
  <si>
    <t>53b640e0-7e12-4164-a10a-bf4f3d8f366f</t>
  </si>
  <si>
    <t>Suzanne Hayes</t>
  </si>
  <si>
    <t>Chad Frank</t>
  </si>
  <si>
    <t>a742f672-1f24-4e00-b1cf-499317ce7921</t>
  </si>
  <si>
    <t>Christian Lopez</t>
  </si>
  <si>
    <t>Dana Morales</t>
  </si>
  <si>
    <t>ac6788e2-2ddc-46b9-bbb0-839efc25e1c7</t>
  </si>
  <si>
    <t>Yolanda Shepard</t>
  </si>
  <si>
    <t>Michele Garcia</t>
  </si>
  <si>
    <t>fd2bf8e9-bfee-4009-872e-391ea871d014</t>
  </si>
  <si>
    <t>Ryan Sanders</t>
  </si>
  <si>
    <t>Kirsten Woods</t>
  </si>
  <si>
    <t>e653255d-5470-4ec1-9d50-3e7b88a3f67e</t>
  </si>
  <si>
    <t>Robert Murray</t>
  </si>
  <si>
    <t>Oscar Watson</t>
  </si>
  <si>
    <t>7cfb50dd-ce3d-40f1-8c56-f966c3c85dfd</t>
  </si>
  <si>
    <t>Jonathan Valdez</t>
  </si>
  <si>
    <t>Tara Weaver</t>
  </si>
  <si>
    <t>b3c09c9a-2673-4ba7-b1f4-fa3ef95bb757</t>
  </si>
  <si>
    <t>Justin Lopez</t>
  </si>
  <si>
    <t>Kyle Williams</t>
  </si>
  <si>
    <t>51247acc-2f62-44fc-a4ab-298b14db32ef</t>
  </si>
  <si>
    <t>Grace Warren</t>
  </si>
  <si>
    <t>Shelley Kirk</t>
  </si>
  <si>
    <t>4ac5c41e-7b21-499f-8da0-66d55195c445</t>
  </si>
  <si>
    <t>Stephanie Ramirez</t>
  </si>
  <si>
    <t>Joshua Padilla</t>
  </si>
  <si>
    <t>52acc361-d803-4670-b891-a7f653d3eb54</t>
  </si>
  <si>
    <t>Tiffany Kent</t>
  </si>
  <si>
    <t>Thomas Lowe</t>
  </si>
  <si>
    <t>34cf9372-a104-4628-bb5b-d410d4ac0620</t>
  </si>
  <si>
    <t>Chelsea Morton</t>
  </si>
  <si>
    <t>Johnny Sanchez</t>
  </si>
  <si>
    <t>d3b00f2f-519f-4bee-960e-ee58c7715183</t>
  </si>
  <si>
    <t>Robert Gonzalez</t>
  </si>
  <si>
    <t>Miguel Parks</t>
  </si>
  <si>
    <t>076118dc-aba9-4725-aa68-5348c4cc4e5c</t>
  </si>
  <si>
    <t>Brett Bullock PhD</t>
  </si>
  <si>
    <t>Dwayne Burke</t>
  </si>
  <si>
    <t>428468db-cbbc-4dea-9634-f8475fc13f97</t>
  </si>
  <si>
    <t>Amy Roth</t>
  </si>
  <si>
    <t>Mark Hale</t>
  </si>
  <si>
    <t>fd8d6454-1b65-406e-a0c7-737c609ea318</t>
  </si>
  <si>
    <t>Angel Murray</t>
  </si>
  <si>
    <t>Alexander Smith</t>
  </si>
  <si>
    <t>26b91829-8cea-4bb9-9453-ae65ef459c20</t>
  </si>
  <si>
    <t>John Walls</t>
  </si>
  <si>
    <t>Jamie Hodges</t>
  </si>
  <si>
    <t>b62a5536-9cf0-46b0-973a-0b9ecdf28693</t>
  </si>
  <si>
    <t>Amanda Martinez</t>
  </si>
  <si>
    <t>Garrett Morrison</t>
  </si>
  <si>
    <t>9e2d5e1a-dba9-4ba2-917c-93c562eddefd</t>
  </si>
  <si>
    <t>Edward Moore</t>
  </si>
  <si>
    <t>Marilyn Kline DVM</t>
  </si>
  <si>
    <t>f03ee4ce-6a92-49d5-bbb0-b1f0632d0dfc</t>
  </si>
  <si>
    <t>Carl Lindsey</t>
  </si>
  <si>
    <t>Nicholas Davies</t>
  </si>
  <si>
    <t>fc6512a4-2a7e-4daa-9942-6d21435a3821</t>
  </si>
  <si>
    <t>Elizabeth Cruz</t>
  </si>
  <si>
    <t>Melissa Barry</t>
  </si>
  <si>
    <t>6f28859d-5d5d-4fd6-9806-f6fff3a10fa1</t>
  </si>
  <si>
    <t>Wendy Schaefer</t>
  </si>
  <si>
    <t>Courtney Lee</t>
  </si>
  <si>
    <t>752d2885-ef25-4e2d-b152-f72fe7888ba3</t>
  </si>
  <si>
    <t>Carla Bishop</t>
  </si>
  <si>
    <t>Henry Cruz</t>
  </si>
  <si>
    <t>6b8e9caf-7b05-40f2-8af2-96c1014a6af3</t>
  </si>
  <si>
    <t>Brent Ramirez</t>
  </si>
  <si>
    <t>James Roberts</t>
  </si>
  <si>
    <t>d5e1e25c-8d5e-46e6-9cd4-e33a0f4326e8</t>
  </si>
  <si>
    <t>Brian Martinez</t>
  </si>
  <si>
    <t>Janet Norris</t>
  </si>
  <si>
    <t>9e697203-8e1e-421f-b9ca-16f80f662e0e</t>
  </si>
  <si>
    <t>William Ruiz</t>
  </si>
  <si>
    <t>Erin Haas</t>
  </si>
  <si>
    <t>1da44909-2989-46db-86b6-94721056fde6</t>
  </si>
  <si>
    <t>Linda Beck</t>
  </si>
  <si>
    <t>Kimberly Garza</t>
  </si>
  <si>
    <t>65de7545-de16-4f3e-96f7-9144ce985bfa</t>
  </si>
  <si>
    <t>Amy Wolf</t>
  </si>
  <si>
    <t>Tiffany Francis</t>
  </si>
  <si>
    <t>10c40a82-b1ce-4b34-a64d-51ade98c72f1</t>
  </si>
  <si>
    <t>Amy Navarro</t>
  </si>
  <si>
    <t>Laura Harrison</t>
  </si>
  <si>
    <t>4afa3221-8918-4f93-a790-81d3c4c80e14</t>
  </si>
  <si>
    <t>Craig Jones V</t>
  </si>
  <si>
    <t>Kayla Cowan</t>
  </si>
  <si>
    <t>d36b6440-bdef-4d8a-bb83-72985859c9ac</t>
  </si>
  <si>
    <t>Eric Webster</t>
  </si>
  <si>
    <t>Adriana Miller DDS</t>
  </si>
  <si>
    <t>9f53759d-24ad-4cfc-b6fa-70a5704924e6</t>
  </si>
  <si>
    <t>Joseph Martin</t>
  </si>
  <si>
    <t>Ms. Sandy Stewart</t>
  </si>
  <si>
    <t>9a11de51-4044-4c80-965d-216282067096</t>
  </si>
  <si>
    <t>Stacey Thornton</t>
  </si>
  <si>
    <t>Dean Parsons</t>
  </si>
  <si>
    <t>132e4614-bfa2-498c-928f-256bbe875375</t>
  </si>
  <si>
    <t>Daniel Ramos</t>
  </si>
  <si>
    <t>Curtis Bryant</t>
  </si>
  <si>
    <t>7a27791f-edf6-47a2-921e-6e799f5fc48a</t>
  </si>
  <si>
    <t>Ryan Trevino</t>
  </si>
  <si>
    <t>Warren Montgomery</t>
  </si>
  <si>
    <t>dba7ac8f-2c5b-46ea-95ac-c44c3b3bdfa3</t>
  </si>
  <si>
    <t>Charles Bautista</t>
  </si>
  <si>
    <t>Joshua Hood</t>
  </si>
  <si>
    <t>5d54cc51-7828-44e4-823c-1fc7951c6007</t>
  </si>
  <si>
    <t>Bradley Powers</t>
  </si>
  <si>
    <t>Chad Andrade</t>
  </si>
  <si>
    <t>bae2d112-cdef-412f-a6ee-873efbb0d793</t>
  </si>
  <si>
    <t>Gloria Fleming</t>
  </si>
  <si>
    <t>Edward Leonard</t>
  </si>
  <si>
    <t>84f24837-41ce-4c09-aeba-45929025a994</t>
  </si>
  <si>
    <t>Derek Weber</t>
  </si>
  <si>
    <t>John Murillo</t>
  </si>
  <si>
    <t>65f00508-2703-4d45-9c44-cee1e3786cac</t>
  </si>
  <si>
    <t>Gina White</t>
  </si>
  <si>
    <t>Robert Little</t>
  </si>
  <si>
    <t>cdf0dc2e-a7de-4be5-9bab-b2597970b2dc</t>
  </si>
  <si>
    <t>John Ingram</t>
  </si>
  <si>
    <t>Robert Smith</t>
  </si>
  <si>
    <t>c06307cf-077a-4031-83ed-e8c6a7fc8b3b</t>
  </si>
  <si>
    <t>Sabrina Ruiz MD</t>
  </si>
  <si>
    <t>Bryan Carroll</t>
  </si>
  <si>
    <t>39c5f303-90c7-4892-b831-df8967399755</t>
  </si>
  <si>
    <t>Robert Johnson</t>
  </si>
  <si>
    <t>Jose Davis</t>
  </si>
  <si>
    <t>de953df8-9c88-4c25-a4d3-19e85244c4a2</t>
  </si>
  <si>
    <t>Rebecca Anderson</t>
  </si>
  <si>
    <t>Nicholas Murphy</t>
  </si>
  <si>
    <t>8b3a35a7-b1cb-41bf-a1c3-f2139b8038ae</t>
  </si>
  <si>
    <t>Samuel Graham</t>
  </si>
  <si>
    <t>Justin Smith</t>
  </si>
  <si>
    <t>e253fc92-f766-49b6-934f-f30ad2c8c753</t>
  </si>
  <si>
    <t>Michael Graham</t>
  </si>
  <si>
    <t>Patricia Manning</t>
  </si>
  <si>
    <t>e1ad2373-ba80-4c74-b875-f5a3df56a8ab</t>
  </si>
  <si>
    <t>Sandra Gallegos</t>
  </si>
  <si>
    <t>Andrew Blanchard</t>
  </si>
  <si>
    <t>88845a03-a69b-4557-81d8-a1286ee17293</t>
  </si>
  <si>
    <t>Lori Vaughan</t>
  </si>
  <si>
    <t>Lisa Jackson</t>
  </si>
  <si>
    <t>1f2a3d62-c314-4a8a-928f-2f9f8edd4765</t>
  </si>
  <si>
    <t>Edwin Williams</t>
  </si>
  <si>
    <t>Matthew Price</t>
  </si>
  <si>
    <t>4f073335-67e6-413d-8e62-22f164f85da0</t>
  </si>
  <si>
    <t>Denise Knight</t>
  </si>
  <si>
    <t>d42c28aa-7a7e-41e7-82f7-09fb0105f7c7</t>
  </si>
  <si>
    <t>Matthew Blackburn</t>
  </si>
  <si>
    <t>James Krause</t>
  </si>
  <si>
    <t>de959c6c-90d9-4c85-a95a-9b9c679f09a6</t>
  </si>
  <si>
    <t>Anne Friedman</t>
  </si>
  <si>
    <t>Wesley Kim</t>
  </si>
  <si>
    <t>58a613c9-f83a-4f71-9540-29db5c2cccb1</t>
  </si>
  <si>
    <t>Kathy Flores</t>
  </si>
  <si>
    <t>Stephanie Murray</t>
  </si>
  <si>
    <t>f3ee672a-5b37-4fdf-8406-3ee2af353b1f</t>
  </si>
  <si>
    <t>Wendy Valentine</t>
  </si>
  <si>
    <t>Troy West</t>
  </si>
  <si>
    <t>9031e44f-7ca3-4ef6-83cd-da5310ae57c1</t>
  </si>
  <si>
    <t>Gerald Freeman</t>
  </si>
  <si>
    <t>Cynthia Cohen</t>
  </si>
  <si>
    <t>b6b699eb-c730-4970-8d36-0a26c8bc87fc</t>
  </si>
  <si>
    <t>Spencer Davis</t>
  </si>
  <si>
    <t>Brenda Butler</t>
  </si>
  <si>
    <t>ead7243a-f80a-42a0-a9f5-42f67d3bbd7c</t>
  </si>
  <si>
    <t>Dylan Jones</t>
  </si>
  <si>
    <t>Gregg Smith</t>
  </si>
  <si>
    <t>4da6956f-285b-44cf-98e8-ef8704f3ee0f</t>
  </si>
  <si>
    <t>Jacob Brady</t>
  </si>
  <si>
    <t>Curtis Price</t>
  </si>
  <si>
    <t>3bf5c157-64b4-43f7-a8c9-fdb957413d4b</t>
  </si>
  <si>
    <t>Connie James</t>
  </si>
  <si>
    <t>Carol Weaver</t>
  </si>
  <si>
    <t>12c85cb0-aa4d-4b01-8366-9274dee24dcb</t>
  </si>
  <si>
    <t>Thomas Harrell</t>
  </si>
  <si>
    <t>Timothy Carr</t>
  </si>
  <si>
    <t>2184543a-4145-4928-ba77-c0e16905f481</t>
  </si>
  <si>
    <t>Samuel Lee</t>
  </si>
  <si>
    <t>Evelyn Burns</t>
  </si>
  <si>
    <t>879d5fbd-1315-4d2a-9e86-aeef530534eb</t>
  </si>
  <si>
    <t>Mary Hall</t>
  </si>
  <si>
    <t>Hailey Murphy</t>
  </si>
  <si>
    <t>b71f3262-6426-40d3-b55b-8d25a4c25d98</t>
  </si>
  <si>
    <t>Paul Smith</t>
  </si>
  <si>
    <t>Anna Thompson</t>
  </si>
  <si>
    <t>2d1a4c86-ec31-46d9-b506-0772dca69144</t>
  </si>
  <si>
    <t>Raymond Hunter</t>
  </si>
  <si>
    <t>Michael Lopez</t>
  </si>
  <si>
    <t>2a1402ed-e89b-4ff7-a4f5-37fc5c4997b5</t>
  </si>
  <si>
    <t>Mr. Thomas Vargas</t>
  </si>
  <si>
    <t>Amanda Garcia</t>
  </si>
  <si>
    <t>b6a74cf8-a7ce-4fe0-91ec-ffb22af60a9b</t>
  </si>
  <si>
    <t>Deborah Mejia</t>
  </si>
  <si>
    <t>Cody Kelly</t>
  </si>
  <si>
    <t>77172c1b-7a17-4efc-80bf-bd0f80fe4da7</t>
  </si>
  <si>
    <t>Kelly Johns</t>
  </si>
  <si>
    <t>Brian Schmidt</t>
  </si>
  <si>
    <t>b713e932-fd14-4fd2-8c19-3f18872eb887</t>
  </si>
  <si>
    <t>Veronica Hernandez</t>
  </si>
  <si>
    <t>Jean Pitts</t>
  </si>
  <si>
    <t>d5cc45ed-b6b1-41f1-a599-509e89e5f3cb</t>
  </si>
  <si>
    <t>Jay Smith</t>
  </si>
  <si>
    <t>Jerry Johnson</t>
  </si>
  <si>
    <t>5dc3a7db-3a36-454d-8906-7875a26b3c13</t>
  </si>
  <si>
    <t>Meagan Parker</t>
  </si>
  <si>
    <t>David Newman</t>
  </si>
  <si>
    <t>515dcec4-6f65-490d-98c2-963451dc6d1c</t>
  </si>
  <si>
    <t>Brian Garcia</t>
  </si>
  <si>
    <t>Heather Espinoza</t>
  </si>
  <si>
    <t>a732ff5b-663f-4f79-86d8-0985c2bd3bb9</t>
  </si>
  <si>
    <t>Wanda Barrett</t>
  </si>
  <si>
    <t>Mrs. Jessica Martinez MD</t>
  </si>
  <si>
    <t>1735cd7d-e780-4fb5-a3c4-ca8cf51cfb45</t>
  </si>
  <si>
    <t>Renee Rivers</t>
  </si>
  <si>
    <t>Michael Martinez</t>
  </si>
  <si>
    <t>27709fa8-113a-4c85-84db-0c8525a24af1</t>
  </si>
  <si>
    <t>Travis Wheeler</t>
  </si>
  <si>
    <t>Amanda Rodriguez</t>
  </si>
  <si>
    <t>16f09d73-7fad-405f-8a1d-f72b5b465f76</t>
  </si>
  <si>
    <t>Jessica Mooney</t>
  </si>
  <si>
    <t>Melissa Brooks</t>
  </si>
  <si>
    <t>6da98079-b492-4b52-817a-d491c90590ab</t>
  </si>
  <si>
    <t>Daniel Estrada</t>
  </si>
  <si>
    <t>Suzanne Webster</t>
  </si>
  <si>
    <t>0d38a2c1-00d3-4472-880e-f1c63bebbfd9</t>
  </si>
  <si>
    <t>David Moore</t>
  </si>
  <si>
    <t>Craig Harper</t>
  </si>
  <si>
    <t>18583b8b-7173-45e2-9cf6-c25be8a5a087</t>
  </si>
  <si>
    <t>Kathryn Khan</t>
  </si>
  <si>
    <t>Brandon Lee</t>
  </si>
  <si>
    <t>8d6c7850-705a-4ff0-8b85-68a823e557bf</t>
  </si>
  <si>
    <t>Ruth Harding</t>
  </si>
  <si>
    <t>Elizabeth Tran</t>
  </si>
  <si>
    <t>1641c052-2bac-4fce-9404-9510abe1b6c6</t>
  </si>
  <si>
    <t>Christine Cannon</t>
  </si>
  <si>
    <t>Dr. Jimmy Ingram</t>
  </si>
  <si>
    <t>b3bd33a2-a014-4fec-8b59-85a9b60f5e44</t>
  </si>
  <si>
    <t>Cheryl Williams</t>
  </si>
  <si>
    <t>Katie Nelson</t>
  </si>
  <si>
    <t>cf3b3677-2b5e-4abd-95fa-8b758cceb889</t>
  </si>
  <si>
    <t>Tommy Mills</t>
  </si>
  <si>
    <t>Michael Davis</t>
  </si>
  <si>
    <t>1271ea44-fd79-4c12-8c94-4b7b0cb91ca0</t>
  </si>
  <si>
    <t>Isabel Webster</t>
  </si>
  <si>
    <t>Eric Chavez</t>
  </si>
  <si>
    <t>b31ae22d-8092-4a7f-b771-b392826406de</t>
  </si>
  <si>
    <t>Derek Perry</t>
  </si>
  <si>
    <t>Kayla West</t>
  </si>
  <si>
    <t>1ca8791c-167d-4a64-b053-5fd83ff572dc</t>
  </si>
  <si>
    <t>Brian Lang</t>
  </si>
  <si>
    <t>Kevin Walker</t>
  </si>
  <si>
    <t>b389ec88-ea1e-4e96-93c7-dba36faa726c</t>
  </si>
  <si>
    <t>Johnny Bowman</t>
  </si>
  <si>
    <t>Brian Brown</t>
  </si>
  <si>
    <t>ea710343-a1e5-4f59-a345-c29d4172e869</t>
  </si>
  <si>
    <t>Michelle Medina</t>
  </si>
  <si>
    <t>Kenneth Young</t>
  </si>
  <si>
    <t>bae06487-ea1c-4849-a32a-34947aec1c4b</t>
  </si>
  <si>
    <t>Jeffrey Allen</t>
  </si>
  <si>
    <t>Jennifer Clarke</t>
  </si>
  <si>
    <t>4243fd85-6540-4cc2-b149-71af8ea60778</t>
  </si>
  <si>
    <t>Brian Maxwell MD</t>
  </si>
  <si>
    <t>Michael Smith</t>
  </si>
  <si>
    <t>6926f4ae-51bc-4a4c-adba-d19a58cf8693</t>
  </si>
  <si>
    <t>James Russell</t>
  </si>
  <si>
    <t>Samantha Hobbs</t>
  </si>
  <si>
    <t>fd9d1f97-9e6f-4527-a2ed-2373c1f504fd</t>
  </si>
  <si>
    <t>Michael Bowman</t>
  </si>
  <si>
    <t>Elizabeth Nash</t>
  </si>
  <si>
    <t>216b3fac-2a5b-49ac-ad70-a47a98f5d046</t>
  </si>
  <si>
    <t>Joseph Walters</t>
  </si>
  <si>
    <t>Darlene Ellis</t>
  </si>
  <si>
    <t>db991dd9-83e5-464d-ab0f-f29111ea4507</t>
  </si>
  <si>
    <t>Christy Dixon</t>
  </si>
  <si>
    <t>John Scott</t>
  </si>
  <si>
    <t>bdc1db67-2f7b-47df-80db-d27bde1b76c5</t>
  </si>
  <si>
    <t>Blake Mitchell</t>
  </si>
  <si>
    <t>Jacob Odom</t>
  </si>
  <si>
    <t>4fd66060-9097-4df1-8bc9-85b0178d6b8d</t>
  </si>
  <si>
    <t>Tina Gardner</t>
  </si>
  <si>
    <t>John Bruce</t>
  </si>
  <si>
    <t>6e7f2ecd-8b39-4ff2-9e8a-f300b64cc436</t>
  </si>
  <si>
    <t>Jonathan Lopez</t>
  </si>
  <si>
    <t>e4cc0a95-036c-4d03-a6c5-87d843b2e556</t>
  </si>
  <si>
    <t>Dustin Brown</t>
  </si>
  <si>
    <t>30d43702-a7f5-48ae-9779-9c74962a5561</t>
  </si>
  <si>
    <t>Jackson Graham</t>
  </si>
  <si>
    <t>Chelsea Smith</t>
  </si>
  <si>
    <t>7882d870-a013-42e5-9e33-e89c5c6fd358</t>
  </si>
  <si>
    <t>Kurt Black</t>
  </si>
  <si>
    <t>Craig Barry</t>
  </si>
  <si>
    <t>0b072671-4f4a-4077-b09e-cea74a3d6649</t>
  </si>
  <si>
    <t>Louis Villegas</t>
  </si>
  <si>
    <t>Gina Carter</t>
  </si>
  <si>
    <t>c42f518a-cd33-4120-beab-40072a6caa85</t>
  </si>
  <si>
    <t>Justin Powell Jr.</t>
  </si>
  <si>
    <t>David Smith</t>
  </si>
  <si>
    <t>736eb470-3511-4c57-9bfd-0de72cb293a4</t>
  </si>
  <si>
    <t>Casey Flynn</t>
  </si>
  <si>
    <t>Rita Greene</t>
  </si>
  <si>
    <t>c0956fc0-7b9d-44c7-ad00-f9986a2f5149</t>
  </si>
  <si>
    <t>Richard Stokes</t>
  </si>
  <si>
    <t>Teresa Hodges</t>
  </si>
  <si>
    <t>49951f84-841e-4065-aa9f-58fcd2da3851</t>
  </si>
  <si>
    <t>Veronica Olson</t>
  </si>
  <si>
    <t>Melissa Barber</t>
  </si>
  <si>
    <t>b2e38123-19e0-465d-92dc-65b20e8b974c</t>
  </si>
  <si>
    <t>William Hale</t>
  </si>
  <si>
    <t>Amy Barry</t>
  </si>
  <si>
    <t>68e3e5cb-62f7-4921-a8ac-445e080f79f0</t>
  </si>
  <si>
    <t>Rebecca Salazar</t>
  </si>
  <si>
    <t>Yvette Fields</t>
  </si>
  <si>
    <t>df9c8b7a-1006-4961-8e44-8c8c8b019094</t>
  </si>
  <si>
    <t>Lisa Smith</t>
  </si>
  <si>
    <t>Cindy Turner</t>
  </si>
  <si>
    <t>9657d68b-3b72-4c2b-941d-9a61c861c7cc</t>
  </si>
  <si>
    <t>Jaime Harrison</t>
  </si>
  <si>
    <t>Blake Rojas</t>
  </si>
  <si>
    <t>Practical Q2 EDA Questions</t>
  </si>
  <si>
    <t>1. Create a Pivot Table to show total sales amount per Region and Category.</t>
  </si>
  <si>
    <t>2. Create a line chart of daily sales trend.</t>
  </si>
  <si>
    <t>3. Create a bar chart of total units sold by Product.</t>
  </si>
  <si>
    <t>4. Use slicers in a Pivot Table to filter data by Sales Rep and Status.</t>
  </si>
  <si>
    <t>5. Use conditional formatting to highlight Orders where Total_Amount &gt; 5000.</t>
  </si>
  <si>
    <t>6. Group Order_Date by month and show average Total_Amount.</t>
  </si>
  <si>
    <t>7. Use filters to view only Cancelled or Returned orders.</t>
  </si>
  <si>
    <t>8. Find top 5 customers by total purchase amount.</t>
  </si>
  <si>
    <t>9. Create a Pivot Table to find average Units sold per Product per Region.</t>
  </si>
  <si>
    <t>10. Use charts to compare Delivered vs Returned orders over time.</t>
  </si>
  <si>
    <t>high_Value</t>
  </si>
  <si>
    <t>4q</t>
  </si>
  <si>
    <t>5q</t>
  </si>
  <si>
    <t>6q</t>
  </si>
  <si>
    <t>7q</t>
  </si>
  <si>
    <t>8q</t>
  </si>
  <si>
    <t>SUMIFS(H:H, C:C,R5)</t>
  </si>
  <si>
    <t>COUNTIF(G2:G301,R12)</t>
  </si>
  <si>
    <t>Use COUNTIF to count how many transactions received a 20% discount.</t>
  </si>
  <si>
    <t>TODAY()-J2</t>
  </si>
  <si>
    <t>Row Labels</t>
  </si>
  <si>
    <t>Grand Total</t>
  </si>
  <si>
    <t>Sum of Total_Amount</t>
  </si>
  <si>
    <t>Sum of Units</t>
  </si>
  <si>
    <t>answer in dataset2</t>
  </si>
  <si>
    <t>Nov</t>
  </si>
  <si>
    <t>Dec</t>
  </si>
  <si>
    <t>Jan</t>
  </si>
  <si>
    <t>Feb</t>
  </si>
  <si>
    <t>Mar</t>
  </si>
  <si>
    <t>Apr</t>
  </si>
  <si>
    <t>May</t>
  </si>
  <si>
    <t>Average of Total_Amount</t>
  </si>
  <si>
    <t>Average of Units</t>
  </si>
  <si>
    <t>Column Labels</t>
  </si>
  <si>
    <t>Count of Order_ID</t>
  </si>
  <si>
    <t>10. Use charts to compare Delivered vs Returned orders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</si>
</sst>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name val="Calibri"/>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0" fontId="2" fillId="2" borderId="0" xfId="0" applyFont="1" applyFill="1" applyAlignment="1">
      <alignment horizontal="center"/>
    </xf>
    <xf numFmtId="0" fontId="1" fillId="0" borderId="2" xfId="0" applyFont="1" applyBorder="1" applyAlignment="1">
      <alignment horizontal="center" vertical="top"/>
    </xf>
    <xf numFmtId="0" fontId="0" fillId="2" borderId="0" xfId="0" applyFill="1"/>
    <xf numFmtId="0" fontId="2" fillId="2" borderId="0" xfId="0" applyFont="1" applyFill="1"/>
    <xf numFmtId="1" fontId="0" fillId="0" borderId="0" xfId="0" applyNumberFormat="1"/>
    <xf numFmtId="0" fontId="1" fillId="0" borderId="3" xfId="0"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applyAlignment="1">
      <alignment horizontal="left"/>
    </xf>
    <xf numFmtId="0" fontId="2"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6">
    <dxf>
      <font>
        <color rgb="FF006100"/>
      </font>
      <fill>
        <patternFill>
          <bgColor rgb="FFC6EFCE"/>
        </patternFill>
      </fill>
    </dxf>
    <dxf>
      <font>
        <color rgb="FF006100"/>
      </font>
      <fill>
        <patternFill>
          <bgColor rgb="FFC6EFCE"/>
        </patternFill>
      </fil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[Excel_Mock_practice1.xlsx]Sheet1!PivotTable2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Sheet1!$E$17</c:f>
              <c:strCache>
                <c:ptCount val="1"/>
                <c:pt idx="0">
                  <c:v>Total</c:v>
                </c:pt>
              </c:strCache>
            </c:strRef>
          </c:tx>
          <c:spPr>
            <a:ln w="28575" cap="rnd">
              <a:solidFill>
                <a:schemeClr val="accent1"/>
              </a:solidFill>
              <a:round/>
            </a:ln>
            <a:effectLst/>
          </c:spPr>
          <c:marker>
            <c:symbol val="none"/>
          </c:marker>
          <c:cat>
            <c:strRef>
              <c:f>Sheet1!$D$18:$D$168</c:f>
              <c:strCache>
                <c:ptCount val="150"/>
                <c:pt idx="0">
                  <c:v>2024-11-28</c:v>
                </c:pt>
                <c:pt idx="1">
                  <c:v>2024-11-30</c:v>
                </c:pt>
                <c:pt idx="2">
                  <c:v>2024-12-01</c:v>
                </c:pt>
                <c:pt idx="3">
                  <c:v>2024-12-02</c:v>
                </c:pt>
                <c:pt idx="4">
                  <c:v>2024-12-03</c:v>
                </c:pt>
                <c:pt idx="5">
                  <c:v>2024-12-04</c:v>
                </c:pt>
                <c:pt idx="6">
                  <c:v>2024-12-05</c:v>
                </c:pt>
                <c:pt idx="7">
                  <c:v>2024-12-06</c:v>
                </c:pt>
                <c:pt idx="8">
                  <c:v>2024-12-08</c:v>
                </c:pt>
                <c:pt idx="9">
                  <c:v>2024-12-09</c:v>
                </c:pt>
                <c:pt idx="10">
                  <c:v>2024-12-10</c:v>
                </c:pt>
                <c:pt idx="11">
                  <c:v>2024-12-11</c:v>
                </c:pt>
                <c:pt idx="12">
                  <c:v>2024-12-12</c:v>
                </c:pt>
                <c:pt idx="13">
                  <c:v>2024-12-14</c:v>
                </c:pt>
                <c:pt idx="14">
                  <c:v>2024-12-15</c:v>
                </c:pt>
                <c:pt idx="15">
                  <c:v>2024-12-16</c:v>
                </c:pt>
                <c:pt idx="16">
                  <c:v>2024-12-17</c:v>
                </c:pt>
                <c:pt idx="17">
                  <c:v>2024-12-18</c:v>
                </c:pt>
                <c:pt idx="18">
                  <c:v>2024-12-19</c:v>
                </c:pt>
                <c:pt idx="19">
                  <c:v>2024-12-20</c:v>
                </c:pt>
                <c:pt idx="20">
                  <c:v>2024-12-21</c:v>
                </c:pt>
                <c:pt idx="21">
                  <c:v>2024-12-22</c:v>
                </c:pt>
                <c:pt idx="22">
                  <c:v>2024-12-23</c:v>
                </c:pt>
                <c:pt idx="23">
                  <c:v>2024-12-24</c:v>
                </c:pt>
                <c:pt idx="24">
                  <c:v>2024-12-25</c:v>
                </c:pt>
                <c:pt idx="25">
                  <c:v>2024-12-26</c:v>
                </c:pt>
                <c:pt idx="26">
                  <c:v>2024-12-27</c:v>
                </c:pt>
                <c:pt idx="27">
                  <c:v>2024-12-28</c:v>
                </c:pt>
                <c:pt idx="28">
                  <c:v>2024-12-29</c:v>
                </c:pt>
                <c:pt idx="29">
                  <c:v>2024-12-30</c:v>
                </c:pt>
                <c:pt idx="30">
                  <c:v>2024-12-31</c:v>
                </c:pt>
                <c:pt idx="31">
                  <c:v>2025-01-02</c:v>
                </c:pt>
                <c:pt idx="32">
                  <c:v>2025-01-03</c:v>
                </c:pt>
                <c:pt idx="33">
                  <c:v>2025-01-04</c:v>
                </c:pt>
                <c:pt idx="34">
                  <c:v>2025-01-06</c:v>
                </c:pt>
                <c:pt idx="35">
                  <c:v>2025-01-07</c:v>
                </c:pt>
                <c:pt idx="36">
                  <c:v>2025-01-08</c:v>
                </c:pt>
                <c:pt idx="37">
                  <c:v>2025-01-10</c:v>
                </c:pt>
                <c:pt idx="38">
                  <c:v>2025-01-11</c:v>
                </c:pt>
                <c:pt idx="39">
                  <c:v>2025-01-13</c:v>
                </c:pt>
                <c:pt idx="40">
                  <c:v>2025-01-14</c:v>
                </c:pt>
                <c:pt idx="41">
                  <c:v>2025-01-15</c:v>
                </c:pt>
                <c:pt idx="42">
                  <c:v>2025-01-16</c:v>
                </c:pt>
                <c:pt idx="43">
                  <c:v>2025-01-17</c:v>
                </c:pt>
                <c:pt idx="44">
                  <c:v>2025-01-18</c:v>
                </c:pt>
                <c:pt idx="45">
                  <c:v>2025-01-19</c:v>
                </c:pt>
                <c:pt idx="46">
                  <c:v>2025-01-20</c:v>
                </c:pt>
                <c:pt idx="47">
                  <c:v>2025-01-21</c:v>
                </c:pt>
                <c:pt idx="48">
                  <c:v>2025-01-22</c:v>
                </c:pt>
                <c:pt idx="49">
                  <c:v>2025-01-23</c:v>
                </c:pt>
                <c:pt idx="50">
                  <c:v>2025-01-25</c:v>
                </c:pt>
                <c:pt idx="51">
                  <c:v>2025-01-26</c:v>
                </c:pt>
                <c:pt idx="52">
                  <c:v>2025-01-27</c:v>
                </c:pt>
                <c:pt idx="53">
                  <c:v>2025-01-28</c:v>
                </c:pt>
                <c:pt idx="54">
                  <c:v>2025-01-30</c:v>
                </c:pt>
                <c:pt idx="55">
                  <c:v>2025-01-31</c:v>
                </c:pt>
                <c:pt idx="56">
                  <c:v>2025-02-02</c:v>
                </c:pt>
                <c:pt idx="57">
                  <c:v>2025-02-03</c:v>
                </c:pt>
                <c:pt idx="58">
                  <c:v>2025-02-04</c:v>
                </c:pt>
                <c:pt idx="59">
                  <c:v>2025-02-05</c:v>
                </c:pt>
                <c:pt idx="60">
                  <c:v>2025-02-08</c:v>
                </c:pt>
                <c:pt idx="61">
                  <c:v>2025-02-09</c:v>
                </c:pt>
                <c:pt idx="62">
                  <c:v>2025-02-11</c:v>
                </c:pt>
                <c:pt idx="63">
                  <c:v>2025-02-12</c:v>
                </c:pt>
                <c:pt idx="64">
                  <c:v>2025-02-13</c:v>
                </c:pt>
                <c:pt idx="65">
                  <c:v>2025-02-14</c:v>
                </c:pt>
                <c:pt idx="66">
                  <c:v>2025-02-15</c:v>
                </c:pt>
                <c:pt idx="67">
                  <c:v>2025-02-16</c:v>
                </c:pt>
                <c:pt idx="68">
                  <c:v>2025-02-17</c:v>
                </c:pt>
                <c:pt idx="69">
                  <c:v>2025-02-18</c:v>
                </c:pt>
                <c:pt idx="70">
                  <c:v>2025-02-19</c:v>
                </c:pt>
                <c:pt idx="71">
                  <c:v>2025-02-21</c:v>
                </c:pt>
                <c:pt idx="72">
                  <c:v>2025-02-22</c:v>
                </c:pt>
                <c:pt idx="73">
                  <c:v>2025-02-23</c:v>
                </c:pt>
                <c:pt idx="74">
                  <c:v>2025-02-24</c:v>
                </c:pt>
                <c:pt idx="75">
                  <c:v>2025-02-25</c:v>
                </c:pt>
                <c:pt idx="76">
                  <c:v>2025-02-26</c:v>
                </c:pt>
                <c:pt idx="77">
                  <c:v>2025-02-28</c:v>
                </c:pt>
                <c:pt idx="78">
                  <c:v>2025-03-01</c:v>
                </c:pt>
                <c:pt idx="79">
                  <c:v>2025-03-02</c:v>
                </c:pt>
                <c:pt idx="80">
                  <c:v>2025-03-03</c:v>
                </c:pt>
                <c:pt idx="81">
                  <c:v>2025-03-04</c:v>
                </c:pt>
                <c:pt idx="82">
                  <c:v>2025-03-05</c:v>
                </c:pt>
                <c:pt idx="83">
                  <c:v>2025-03-06</c:v>
                </c:pt>
                <c:pt idx="84">
                  <c:v>2025-03-07</c:v>
                </c:pt>
                <c:pt idx="85">
                  <c:v>2025-03-08</c:v>
                </c:pt>
                <c:pt idx="86">
                  <c:v>2025-03-09</c:v>
                </c:pt>
                <c:pt idx="87">
                  <c:v>2025-03-11</c:v>
                </c:pt>
                <c:pt idx="88">
                  <c:v>2025-03-12</c:v>
                </c:pt>
                <c:pt idx="89">
                  <c:v>2025-03-13</c:v>
                </c:pt>
                <c:pt idx="90">
                  <c:v>2025-03-15</c:v>
                </c:pt>
                <c:pt idx="91">
                  <c:v>2025-03-16</c:v>
                </c:pt>
                <c:pt idx="92">
                  <c:v>2025-03-17</c:v>
                </c:pt>
                <c:pt idx="93">
                  <c:v>2025-03-18</c:v>
                </c:pt>
                <c:pt idx="94">
                  <c:v>2025-03-19</c:v>
                </c:pt>
                <c:pt idx="95">
                  <c:v>2025-03-20</c:v>
                </c:pt>
                <c:pt idx="96">
                  <c:v>2025-03-21</c:v>
                </c:pt>
                <c:pt idx="97">
                  <c:v>2025-03-22</c:v>
                </c:pt>
                <c:pt idx="98">
                  <c:v>2025-03-23</c:v>
                </c:pt>
                <c:pt idx="99">
                  <c:v>2025-03-24</c:v>
                </c:pt>
                <c:pt idx="100">
                  <c:v>2025-03-25</c:v>
                </c:pt>
                <c:pt idx="101">
                  <c:v>2025-03-26</c:v>
                </c:pt>
                <c:pt idx="102">
                  <c:v>2025-03-28</c:v>
                </c:pt>
                <c:pt idx="103">
                  <c:v>2025-03-29</c:v>
                </c:pt>
                <c:pt idx="104">
                  <c:v>2025-04-02</c:v>
                </c:pt>
                <c:pt idx="105">
                  <c:v>2025-04-03</c:v>
                </c:pt>
                <c:pt idx="106">
                  <c:v>2025-04-05</c:v>
                </c:pt>
                <c:pt idx="107">
                  <c:v>2025-04-06</c:v>
                </c:pt>
                <c:pt idx="108">
                  <c:v>2025-04-07</c:v>
                </c:pt>
                <c:pt idx="109">
                  <c:v>2025-04-08</c:v>
                </c:pt>
                <c:pt idx="110">
                  <c:v>2025-04-09</c:v>
                </c:pt>
                <c:pt idx="111">
                  <c:v>2025-04-10</c:v>
                </c:pt>
                <c:pt idx="112">
                  <c:v>2025-04-11</c:v>
                </c:pt>
                <c:pt idx="113">
                  <c:v>2025-04-12</c:v>
                </c:pt>
                <c:pt idx="114">
                  <c:v>2025-04-13</c:v>
                </c:pt>
                <c:pt idx="115">
                  <c:v>2025-04-14</c:v>
                </c:pt>
                <c:pt idx="116">
                  <c:v>2025-04-15</c:v>
                </c:pt>
                <c:pt idx="117">
                  <c:v>2025-04-16</c:v>
                </c:pt>
                <c:pt idx="118">
                  <c:v>2025-04-18</c:v>
                </c:pt>
                <c:pt idx="119">
                  <c:v>2025-04-20</c:v>
                </c:pt>
                <c:pt idx="120">
                  <c:v>2025-04-21</c:v>
                </c:pt>
                <c:pt idx="121">
                  <c:v>2025-04-23</c:v>
                </c:pt>
                <c:pt idx="122">
                  <c:v>2025-04-25</c:v>
                </c:pt>
                <c:pt idx="123">
                  <c:v>2025-04-26</c:v>
                </c:pt>
                <c:pt idx="124">
                  <c:v>2025-04-27</c:v>
                </c:pt>
                <c:pt idx="125">
                  <c:v>2025-04-28</c:v>
                </c:pt>
                <c:pt idx="126">
                  <c:v>2025-04-29</c:v>
                </c:pt>
                <c:pt idx="127">
                  <c:v>2025-04-30</c:v>
                </c:pt>
                <c:pt idx="128">
                  <c:v>2025-05-02</c:v>
                </c:pt>
                <c:pt idx="129">
                  <c:v>2025-05-03</c:v>
                </c:pt>
                <c:pt idx="130">
                  <c:v>2025-05-06</c:v>
                </c:pt>
                <c:pt idx="131">
                  <c:v>2025-05-08</c:v>
                </c:pt>
                <c:pt idx="132">
                  <c:v>2025-05-09</c:v>
                </c:pt>
                <c:pt idx="133">
                  <c:v>2025-05-10</c:v>
                </c:pt>
                <c:pt idx="134">
                  <c:v>2025-05-11</c:v>
                </c:pt>
                <c:pt idx="135">
                  <c:v>2025-05-12</c:v>
                </c:pt>
                <c:pt idx="136">
                  <c:v>2025-05-14</c:v>
                </c:pt>
                <c:pt idx="137">
                  <c:v>2025-05-15</c:v>
                </c:pt>
                <c:pt idx="138">
                  <c:v>2025-05-16</c:v>
                </c:pt>
                <c:pt idx="139">
                  <c:v>2025-05-17</c:v>
                </c:pt>
                <c:pt idx="140">
                  <c:v>2025-05-18</c:v>
                </c:pt>
                <c:pt idx="141">
                  <c:v>2025-05-19</c:v>
                </c:pt>
                <c:pt idx="142">
                  <c:v>2025-05-20</c:v>
                </c:pt>
                <c:pt idx="143">
                  <c:v>2025-05-21</c:v>
                </c:pt>
                <c:pt idx="144">
                  <c:v>2025-05-23</c:v>
                </c:pt>
                <c:pt idx="145">
                  <c:v>2025-05-25</c:v>
                </c:pt>
                <c:pt idx="146">
                  <c:v>2025-05-26</c:v>
                </c:pt>
                <c:pt idx="147">
                  <c:v>2025-05-27</c:v>
                </c:pt>
                <c:pt idx="148">
                  <c:v>2025-05-28</c:v>
                </c:pt>
                <c:pt idx="149">
                  <c:v>2025-05-29</c:v>
                </c:pt>
              </c:strCache>
            </c:strRef>
          </c:cat>
          <c:val>
            <c:numRef>
              <c:f>Sheet1!$E$18:$E$168</c:f>
              <c:numCache>
                <c:formatCode>General</c:formatCode>
                <c:ptCount val="150"/>
                <c:pt idx="0">
                  <c:v>3294.72</c:v>
                </c:pt>
                <c:pt idx="1">
                  <c:v>1402.5</c:v>
                </c:pt>
                <c:pt idx="2">
                  <c:v>22005.270000000004</c:v>
                </c:pt>
                <c:pt idx="3">
                  <c:v>3445.92</c:v>
                </c:pt>
                <c:pt idx="4">
                  <c:v>15940.720000000001</c:v>
                </c:pt>
                <c:pt idx="5">
                  <c:v>12926.52</c:v>
                </c:pt>
                <c:pt idx="6">
                  <c:v>39069.980000000003</c:v>
                </c:pt>
                <c:pt idx="7">
                  <c:v>6817.8</c:v>
                </c:pt>
                <c:pt idx="8">
                  <c:v>2801.46</c:v>
                </c:pt>
                <c:pt idx="9">
                  <c:v>3069.99</c:v>
                </c:pt>
                <c:pt idx="10">
                  <c:v>2724.4700000000003</c:v>
                </c:pt>
                <c:pt idx="11">
                  <c:v>21735.96</c:v>
                </c:pt>
                <c:pt idx="12">
                  <c:v>5217.03</c:v>
                </c:pt>
                <c:pt idx="13">
                  <c:v>4355.3</c:v>
                </c:pt>
                <c:pt idx="14">
                  <c:v>7143.84</c:v>
                </c:pt>
                <c:pt idx="15">
                  <c:v>11391.36</c:v>
                </c:pt>
                <c:pt idx="16">
                  <c:v>14331.24</c:v>
                </c:pt>
                <c:pt idx="17">
                  <c:v>7053.47</c:v>
                </c:pt>
                <c:pt idx="18">
                  <c:v>13974.5</c:v>
                </c:pt>
                <c:pt idx="19">
                  <c:v>8413.01</c:v>
                </c:pt>
                <c:pt idx="20">
                  <c:v>4879.93</c:v>
                </c:pt>
                <c:pt idx="21">
                  <c:v>22295.059999999998</c:v>
                </c:pt>
                <c:pt idx="22">
                  <c:v>4399.88</c:v>
                </c:pt>
                <c:pt idx="23">
                  <c:v>8239.77</c:v>
                </c:pt>
                <c:pt idx="24">
                  <c:v>3352.86</c:v>
                </c:pt>
                <c:pt idx="25">
                  <c:v>1924.56</c:v>
                </c:pt>
                <c:pt idx="26">
                  <c:v>22819.730000000003</c:v>
                </c:pt>
                <c:pt idx="27">
                  <c:v>2129.96</c:v>
                </c:pt>
                <c:pt idx="28">
                  <c:v>29958.240000000002</c:v>
                </c:pt>
                <c:pt idx="29">
                  <c:v>13394.34</c:v>
                </c:pt>
                <c:pt idx="30">
                  <c:v>1261.3499999999999</c:v>
                </c:pt>
                <c:pt idx="31">
                  <c:v>13401.72</c:v>
                </c:pt>
                <c:pt idx="32">
                  <c:v>13765.5</c:v>
                </c:pt>
                <c:pt idx="33">
                  <c:v>16514.89</c:v>
                </c:pt>
                <c:pt idx="34">
                  <c:v>16152.119999999999</c:v>
                </c:pt>
                <c:pt idx="35">
                  <c:v>19199.900000000001</c:v>
                </c:pt>
                <c:pt idx="36">
                  <c:v>1731.46</c:v>
                </c:pt>
                <c:pt idx="37">
                  <c:v>7598.08</c:v>
                </c:pt>
                <c:pt idx="38">
                  <c:v>1473.5</c:v>
                </c:pt>
                <c:pt idx="39">
                  <c:v>12465.41</c:v>
                </c:pt>
                <c:pt idx="40">
                  <c:v>35160.240000000005</c:v>
                </c:pt>
                <c:pt idx="41">
                  <c:v>9759.1</c:v>
                </c:pt>
                <c:pt idx="42">
                  <c:v>14577.06</c:v>
                </c:pt>
                <c:pt idx="43">
                  <c:v>412.45</c:v>
                </c:pt>
                <c:pt idx="44">
                  <c:v>22800.06</c:v>
                </c:pt>
                <c:pt idx="45">
                  <c:v>19424.130000000005</c:v>
                </c:pt>
                <c:pt idx="46">
                  <c:v>2192.04</c:v>
                </c:pt>
                <c:pt idx="47">
                  <c:v>22898.44</c:v>
                </c:pt>
                <c:pt idx="48">
                  <c:v>24319.24</c:v>
                </c:pt>
                <c:pt idx="49">
                  <c:v>3316.42</c:v>
                </c:pt>
                <c:pt idx="50">
                  <c:v>2480.65</c:v>
                </c:pt>
                <c:pt idx="51">
                  <c:v>18528.309999999998</c:v>
                </c:pt>
                <c:pt idx="52">
                  <c:v>2943.2</c:v>
                </c:pt>
                <c:pt idx="53">
                  <c:v>556.01</c:v>
                </c:pt>
                <c:pt idx="54">
                  <c:v>7140.19</c:v>
                </c:pt>
                <c:pt idx="55">
                  <c:v>10123.19</c:v>
                </c:pt>
                <c:pt idx="56">
                  <c:v>10324.219999999999</c:v>
                </c:pt>
                <c:pt idx="57">
                  <c:v>26462.850000000002</c:v>
                </c:pt>
                <c:pt idx="58">
                  <c:v>3587.76</c:v>
                </c:pt>
                <c:pt idx="59">
                  <c:v>6016.8099999999995</c:v>
                </c:pt>
                <c:pt idx="60">
                  <c:v>14830.710000000001</c:v>
                </c:pt>
                <c:pt idx="61">
                  <c:v>3462.74</c:v>
                </c:pt>
                <c:pt idx="62">
                  <c:v>13600.46</c:v>
                </c:pt>
                <c:pt idx="63">
                  <c:v>9095.1200000000008</c:v>
                </c:pt>
                <c:pt idx="64">
                  <c:v>9929.14</c:v>
                </c:pt>
                <c:pt idx="65">
                  <c:v>8773.65</c:v>
                </c:pt>
                <c:pt idx="66">
                  <c:v>163.04</c:v>
                </c:pt>
                <c:pt idx="67">
                  <c:v>2449.92</c:v>
                </c:pt>
                <c:pt idx="68">
                  <c:v>12741.06</c:v>
                </c:pt>
                <c:pt idx="69">
                  <c:v>14540.86</c:v>
                </c:pt>
                <c:pt idx="70">
                  <c:v>6611.5</c:v>
                </c:pt>
                <c:pt idx="71">
                  <c:v>15493.259999999998</c:v>
                </c:pt>
                <c:pt idx="72">
                  <c:v>12166.88</c:v>
                </c:pt>
                <c:pt idx="73">
                  <c:v>20100.330000000002</c:v>
                </c:pt>
                <c:pt idx="74">
                  <c:v>7775.2</c:v>
                </c:pt>
                <c:pt idx="75">
                  <c:v>3804.36</c:v>
                </c:pt>
                <c:pt idx="76">
                  <c:v>15053.36</c:v>
                </c:pt>
                <c:pt idx="77">
                  <c:v>21005.57</c:v>
                </c:pt>
                <c:pt idx="78">
                  <c:v>17689.89</c:v>
                </c:pt>
                <c:pt idx="79">
                  <c:v>584.75</c:v>
                </c:pt>
                <c:pt idx="80">
                  <c:v>11611.89</c:v>
                </c:pt>
                <c:pt idx="81">
                  <c:v>192.31</c:v>
                </c:pt>
                <c:pt idx="82">
                  <c:v>13530.4</c:v>
                </c:pt>
                <c:pt idx="83">
                  <c:v>121.85</c:v>
                </c:pt>
                <c:pt idx="84">
                  <c:v>19781.77</c:v>
                </c:pt>
                <c:pt idx="85">
                  <c:v>21828.559999999998</c:v>
                </c:pt>
                <c:pt idx="86">
                  <c:v>24133.46</c:v>
                </c:pt>
                <c:pt idx="87">
                  <c:v>11530.09</c:v>
                </c:pt>
                <c:pt idx="88">
                  <c:v>10848.25</c:v>
                </c:pt>
                <c:pt idx="89">
                  <c:v>6462.41</c:v>
                </c:pt>
                <c:pt idx="90">
                  <c:v>11174.939999999999</c:v>
                </c:pt>
                <c:pt idx="91">
                  <c:v>22139.03</c:v>
                </c:pt>
                <c:pt idx="92">
                  <c:v>4544.93</c:v>
                </c:pt>
                <c:pt idx="93">
                  <c:v>9848.52</c:v>
                </c:pt>
                <c:pt idx="94">
                  <c:v>4958.96</c:v>
                </c:pt>
                <c:pt idx="95">
                  <c:v>8288.2800000000007</c:v>
                </c:pt>
                <c:pt idx="96">
                  <c:v>2887.65</c:v>
                </c:pt>
                <c:pt idx="97">
                  <c:v>2077.75</c:v>
                </c:pt>
                <c:pt idx="98">
                  <c:v>2064.9299999999998</c:v>
                </c:pt>
                <c:pt idx="99">
                  <c:v>31289.68</c:v>
                </c:pt>
                <c:pt idx="100">
                  <c:v>6145.5599999999995</c:v>
                </c:pt>
                <c:pt idx="101">
                  <c:v>16820.649999999998</c:v>
                </c:pt>
                <c:pt idx="102">
                  <c:v>5057.8</c:v>
                </c:pt>
                <c:pt idx="103">
                  <c:v>29348.370000000003</c:v>
                </c:pt>
                <c:pt idx="104">
                  <c:v>10105.039999999999</c:v>
                </c:pt>
                <c:pt idx="105">
                  <c:v>13849.34</c:v>
                </c:pt>
                <c:pt idx="106">
                  <c:v>18270.8</c:v>
                </c:pt>
                <c:pt idx="107">
                  <c:v>8467.2000000000007</c:v>
                </c:pt>
                <c:pt idx="108">
                  <c:v>7392.02</c:v>
                </c:pt>
                <c:pt idx="109">
                  <c:v>2516.54</c:v>
                </c:pt>
                <c:pt idx="110">
                  <c:v>8234.74</c:v>
                </c:pt>
                <c:pt idx="111">
                  <c:v>3664.32</c:v>
                </c:pt>
                <c:pt idx="112">
                  <c:v>6495.92</c:v>
                </c:pt>
                <c:pt idx="113">
                  <c:v>4953.5700000000006</c:v>
                </c:pt>
                <c:pt idx="114">
                  <c:v>24780.32</c:v>
                </c:pt>
                <c:pt idx="115">
                  <c:v>9392.380000000001</c:v>
                </c:pt>
                <c:pt idx="116">
                  <c:v>15355.98</c:v>
                </c:pt>
                <c:pt idx="117">
                  <c:v>5573.51</c:v>
                </c:pt>
                <c:pt idx="118">
                  <c:v>542.65</c:v>
                </c:pt>
                <c:pt idx="119">
                  <c:v>3497.97</c:v>
                </c:pt>
                <c:pt idx="120">
                  <c:v>4916.16</c:v>
                </c:pt>
                <c:pt idx="121">
                  <c:v>9149.75</c:v>
                </c:pt>
                <c:pt idx="122">
                  <c:v>13272.96</c:v>
                </c:pt>
                <c:pt idx="123">
                  <c:v>1787.84</c:v>
                </c:pt>
                <c:pt idx="124">
                  <c:v>4346.32</c:v>
                </c:pt>
                <c:pt idx="125">
                  <c:v>12512.8</c:v>
                </c:pt>
                <c:pt idx="126">
                  <c:v>520.29999999999995</c:v>
                </c:pt>
                <c:pt idx="127">
                  <c:v>1589.22</c:v>
                </c:pt>
                <c:pt idx="128">
                  <c:v>10149.77</c:v>
                </c:pt>
                <c:pt idx="129">
                  <c:v>2099.11</c:v>
                </c:pt>
                <c:pt idx="130">
                  <c:v>5503.2</c:v>
                </c:pt>
                <c:pt idx="131">
                  <c:v>13282.26</c:v>
                </c:pt>
                <c:pt idx="132">
                  <c:v>9154.49</c:v>
                </c:pt>
                <c:pt idx="133">
                  <c:v>37578.950000000004</c:v>
                </c:pt>
                <c:pt idx="134">
                  <c:v>7271.97</c:v>
                </c:pt>
                <c:pt idx="135">
                  <c:v>19329.16</c:v>
                </c:pt>
                <c:pt idx="136">
                  <c:v>12823.85</c:v>
                </c:pt>
                <c:pt idx="137">
                  <c:v>4595.66</c:v>
                </c:pt>
                <c:pt idx="138">
                  <c:v>7413.76</c:v>
                </c:pt>
                <c:pt idx="139">
                  <c:v>12955.28</c:v>
                </c:pt>
                <c:pt idx="140">
                  <c:v>10721.26</c:v>
                </c:pt>
                <c:pt idx="141">
                  <c:v>2054.62</c:v>
                </c:pt>
                <c:pt idx="142">
                  <c:v>16237.06</c:v>
                </c:pt>
                <c:pt idx="143">
                  <c:v>12321.9</c:v>
                </c:pt>
                <c:pt idx="144">
                  <c:v>17409.900000000001</c:v>
                </c:pt>
                <c:pt idx="145">
                  <c:v>6089.7699999999995</c:v>
                </c:pt>
                <c:pt idx="146">
                  <c:v>17804.27</c:v>
                </c:pt>
                <c:pt idx="147">
                  <c:v>20896.95</c:v>
                </c:pt>
                <c:pt idx="148">
                  <c:v>14887.690000000002</c:v>
                </c:pt>
                <c:pt idx="149">
                  <c:v>3747.6</c:v>
                </c:pt>
              </c:numCache>
            </c:numRef>
          </c:val>
          <c:smooth val="0"/>
          <c:extLst>
            <c:ext xmlns:c16="http://schemas.microsoft.com/office/drawing/2014/chart" uri="{C3380CC4-5D6E-409C-BE32-E72D297353CC}">
              <c16:uniqueId val="{00000000-0A7C-4E28-9233-1C4CEEC290DD}"/>
            </c:ext>
          </c:extLst>
        </c:ser>
        <c:dLbls>
          <c:showLegendKey val="0"/>
          <c:showVal val="0"/>
          <c:showCatName val="0"/>
          <c:showSerName val="0"/>
          <c:showPercent val="0"/>
          <c:showBubbleSize val="0"/>
        </c:dLbls>
        <c:smooth val="0"/>
        <c:axId val="1887737679"/>
        <c:axId val="1887735279"/>
      </c:lineChart>
      <c:catAx>
        <c:axId val="188773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735279"/>
        <c:crosses val="autoZero"/>
        <c:auto val="1"/>
        <c:lblAlgn val="ctr"/>
        <c:lblOffset val="100"/>
        <c:noMultiLvlLbl val="0"/>
      </c:catAx>
      <c:valAx>
        <c:axId val="188773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73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[Excel_Mock_practice1.xlsx]Sheet1!PivotTable3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Sheet1!$E$172</c:f>
              <c:strCache>
                <c:ptCount val="1"/>
                <c:pt idx="0">
                  <c:v>Total</c:v>
                </c:pt>
              </c:strCache>
            </c:strRef>
          </c:tx>
          <c:spPr>
            <a:solidFill>
              <a:schemeClr val="accent1"/>
            </a:solidFill>
            <a:ln>
              <a:noFill/>
            </a:ln>
            <a:effectLst/>
          </c:spPr>
          <c:invertIfNegative val="0"/>
          <c:cat>
            <c:strRef>
              <c:f>Sheet1!$D$173:$D$180</c:f>
              <c:strCache>
                <c:ptCount val="7"/>
                <c:pt idx="0">
                  <c:v>Book</c:v>
                </c:pt>
                <c:pt idx="1">
                  <c:v>Chair</c:v>
                </c:pt>
                <c:pt idx="2">
                  <c:v>Desk</c:v>
                </c:pt>
                <c:pt idx="3">
                  <c:v>Juice</c:v>
                </c:pt>
                <c:pt idx="4">
                  <c:v>Milk</c:v>
                </c:pt>
                <c:pt idx="5">
                  <c:v>Notebook</c:v>
                </c:pt>
                <c:pt idx="6">
                  <c:v>Shirt</c:v>
                </c:pt>
              </c:strCache>
            </c:strRef>
          </c:cat>
          <c:val>
            <c:numRef>
              <c:f>Sheet1!$E$173:$E$180</c:f>
              <c:numCache>
                <c:formatCode>General</c:formatCode>
                <c:ptCount val="7"/>
                <c:pt idx="0">
                  <c:v>73</c:v>
                </c:pt>
                <c:pt idx="1">
                  <c:v>24</c:v>
                </c:pt>
                <c:pt idx="2">
                  <c:v>166</c:v>
                </c:pt>
                <c:pt idx="3">
                  <c:v>89</c:v>
                </c:pt>
                <c:pt idx="4">
                  <c:v>3</c:v>
                </c:pt>
                <c:pt idx="5">
                  <c:v>156</c:v>
                </c:pt>
                <c:pt idx="6">
                  <c:v>41</c:v>
                </c:pt>
              </c:numCache>
            </c:numRef>
          </c:val>
          <c:extLst>
            <c:ext xmlns:c16="http://schemas.microsoft.com/office/drawing/2014/chart" uri="{C3380CC4-5D6E-409C-BE32-E72D297353CC}">
              <c16:uniqueId val="{00000009-766A-49AC-BF89-4B86B7BA78DD}"/>
            </c:ext>
          </c:extLst>
        </c:ser>
        <c:dLbls>
          <c:showLegendKey val="0"/>
          <c:showVal val="0"/>
          <c:showCatName val="0"/>
          <c:showSerName val="0"/>
          <c:showPercent val="0"/>
          <c:showBubbleSize val="0"/>
        </c:dLbls>
        <c:gapWidth val="219"/>
        <c:overlap val="-27"/>
        <c:axId val="1888121039"/>
        <c:axId val="1888121519"/>
      </c:barChart>
      <c:catAx>
        <c:axId val="188812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121519"/>
        <c:crosses val="autoZero"/>
        <c:auto val="1"/>
        <c:lblAlgn val="ctr"/>
        <c:lblOffset val="100"/>
        <c:noMultiLvlLbl val="0"/>
      </c:catAx>
      <c:valAx>
        <c:axId val="188812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12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[Excel_Mock_practice1.xlsx]Sheet1!PivotTable15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Sheet1!$E$245:$E$246</c:f>
              <c:strCache>
                <c:ptCount val="1"/>
                <c:pt idx="0">
                  <c:v>Delivered</c:v>
                </c:pt>
              </c:strCache>
            </c:strRef>
          </c:tx>
          <c:spPr>
            <a:solidFill>
              <a:schemeClr val="accent1"/>
            </a:solidFill>
            <a:ln>
              <a:noFill/>
            </a:ln>
            <a:effectLst/>
          </c:spPr>
          <c:invertIfNegative val="0"/>
          <c:cat>
            <c:strRef>
              <c:f>Sheet1!$D$247:$D$355</c:f>
              <c:strCache>
                <c:ptCount val="108"/>
                <c:pt idx="0">
                  <c:v>2024-11-28</c:v>
                </c:pt>
                <c:pt idx="1">
                  <c:v>2024-12-01</c:v>
                </c:pt>
                <c:pt idx="2">
                  <c:v>2024-12-02</c:v>
                </c:pt>
                <c:pt idx="3">
                  <c:v>2024-12-03</c:v>
                </c:pt>
                <c:pt idx="4">
                  <c:v>2024-12-04</c:v>
                </c:pt>
                <c:pt idx="5">
                  <c:v>2024-12-05</c:v>
                </c:pt>
                <c:pt idx="6">
                  <c:v>2024-12-06</c:v>
                </c:pt>
                <c:pt idx="7">
                  <c:v>2024-12-09</c:v>
                </c:pt>
                <c:pt idx="8">
                  <c:v>2024-12-10</c:v>
                </c:pt>
                <c:pt idx="9">
                  <c:v>2024-12-12</c:v>
                </c:pt>
                <c:pt idx="10">
                  <c:v>2024-12-14</c:v>
                </c:pt>
                <c:pt idx="11">
                  <c:v>2024-12-15</c:v>
                </c:pt>
                <c:pt idx="12">
                  <c:v>2024-12-16</c:v>
                </c:pt>
                <c:pt idx="13">
                  <c:v>2024-12-18</c:v>
                </c:pt>
                <c:pt idx="14">
                  <c:v>2024-12-19</c:v>
                </c:pt>
                <c:pt idx="15">
                  <c:v>2024-12-20</c:v>
                </c:pt>
                <c:pt idx="16">
                  <c:v>2024-12-21</c:v>
                </c:pt>
                <c:pt idx="17">
                  <c:v>2024-12-22</c:v>
                </c:pt>
                <c:pt idx="18">
                  <c:v>2024-12-23</c:v>
                </c:pt>
                <c:pt idx="19">
                  <c:v>2024-12-24</c:v>
                </c:pt>
                <c:pt idx="20">
                  <c:v>2024-12-27</c:v>
                </c:pt>
                <c:pt idx="21">
                  <c:v>2024-12-28</c:v>
                </c:pt>
                <c:pt idx="22">
                  <c:v>2024-12-29</c:v>
                </c:pt>
                <c:pt idx="23">
                  <c:v>2024-12-30</c:v>
                </c:pt>
                <c:pt idx="24">
                  <c:v>2024-12-31</c:v>
                </c:pt>
                <c:pt idx="25">
                  <c:v>2025-01-02</c:v>
                </c:pt>
                <c:pt idx="26">
                  <c:v>2025-01-04</c:v>
                </c:pt>
                <c:pt idx="27">
                  <c:v>2025-01-06</c:v>
                </c:pt>
                <c:pt idx="28">
                  <c:v>2025-01-07</c:v>
                </c:pt>
                <c:pt idx="29">
                  <c:v>2025-01-08</c:v>
                </c:pt>
                <c:pt idx="30">
                  <c:v>2025-01-14</c:v>
                </c:pt>
                <c:pt idx="31">
                  <c:v>2025-01-16</c:v>
                </c:pt>
                <c:pt idx="32">
                  <c:v>2025-01-17</c:v>
                </c:pt>
                <c:pt idx="33">
                  <c:v>2025-01-18</c:v>
                </c:pt>
                <c:pt idx="34">
                  <c:v>2025-01-19</c:v>
                </c:pt>
                <c:pt idx="35">
                  <c:v>2025-01-20</c:v>
                </c:pt>
                <c:pt idx="36">
                  <c:v>2025-01-21</c:v>
                </c:pt>
                <c:pt idx="37">
                  <c:v>2025-01-22</c:v>
                </c:pt>
                <c:pt idx="38">
                  <c:v>2025-01-23</c:v>
                </c:pt>
                <c:pt idx="39">
                  <c:v>2025-01-25</c:v>
                </c:pt>
                <c:pt idx="40">
                  <c:v>2025-01-26</c:v>
                </c:pt>
                <c:pt idx="41">
                  <c:v>2025-01-27</c:v>
                </c:pt>
                <c:pt idx="42">
                  <c:v>2025-01-30</c:v>
                </c:pt>
                <c:pt idx="43">
                  <c:v>2025-01-31</c:v>
                </c:pt>
                <c:pt idx="44">
                  <c:v>2025-02-02</c:v>
                </c:pt>
                <c:pt idx="45">
                  <c:v>2025-02-04</c:v>
                </c:pt>
                <c:pt idx="46">
                  <c:v>2025-02-05</c:v>
                </c:pt>
                <c:pt idx="47">
                  <c:v>2025-02-08</c:v>
                </c:pt>
                <c:pt idx="48">
                  <c:v>2025-02-11</c:v>
                </c:pt>
                <c:pt idx="49">
                  <c:v>2025-02-12</c:v>
                </c:pt>
                <c:pt idx="50">
                  <c:v>2025-02-13</c:v>
                </c:pt>
                <c:pt idx="51">
                  <c:v>2025-02-15</c:v>
                </c:pt>
                <c:pt idx="52">
                  <c:v>2025-02-19</c:v>
                </c:pt>
                <c:pt idx="53">
                  <c:v>2025-02-23</c:v>
                </c:pt>
                <c:pt idx="54">
                  <c:v>2025-02-24</c:v>
                </c:pt>
                <c:pt idx="55">
                  <c:v>2025-02-25</c:v>
                </c:pt>
                <c:pt idx="56">
                  <c:v>2025-02-26</c:v>
                </c:pt>
                <c:pt idx="57">
                  <c:v>2025-02-28</c:v>
                </c:pt>
                <c:pt idx="58">
                  <c:v>2025-03-01</c:v>
                </c:pt>
                <c:pt idx="59">
                  <c:v>2025-03-02</c:v>
                </c:pt>
                <c:pt idx="60">
                  <c:v>2025-03-03</c:v>
                </c:pt>
                <c:pt idx="61">
                  <c:v>2025-03-05</c:v>
                </c:pt>
                <c:pt idx="62">
                  <c:v>2025-03-06</c:v>
                </c:pt>
                <c:pt idx="63">
                  <c:v>2025-03-07</c:v>
                </c:pt>
                <c:pt idx="64">
                  <c:v>2025-03-08</c:v>
                </c:pt>
                <c:pt idx="65">
                  <c:v>2025-03-09</c:v>
                </c:pt>
                <c:pt idx="66">
                  <c:v>2025-03-11</c:v>
                </c:pt>
                <c:pt idx="67">
                  <c:v>2025-03-12</c:v>
                </c:pt>
                <c:pt idx="68">
                  <c:v>2025-03-13</c:v>
                </c:pt>
                <c:pt idx="69">
                  <c:v>2025-03-15</c:v>
                </c:pt>
                <c:pt idx="70">
                  <c:v>2025-03-16</c:v>
                </c:pt>
                <c:pt idx="71">
                  <c:v>2025-03-17</c:v>
                </c:pt>
                <c:pt idx="72">
                  <c:v>2025-03-18</c:v>
                </c:pt>
                <c:pt idx="73">
                  <c:v>2025-03-21</c:v>
                </c:pt>
                <c:pt idx="74">
                  <c:v>2025-03-22</c:v>
                </c:pt>
                <c:pt idx="75">
                  <c:v>2025-03-23</c:v>
                </c:pt>
                <c:pt idx="76">
                  <c:v>2025-03-24</c:v>
                </c:pt>
                <c:pt idx="77">
                  <c:v>2025-03-26</c:v>
                </c:pt>
                <c:pt idx="78">
                  <c:v>2025-03-29</c:v>
                </c:pt>
                <c:pt idx="79">
                  <c:v>2025-04-02</c:v>
                </c:pt>
                <c:pt idx="80">
                  <c:v>2025-04-03</c:v>
                </c:pt>
                <c:pt idx="81">
                  <c:v>2025-04-05</c:v>
                </c:pt>
                <c:pt idx="82">
                  <c:v>2025-04-06</c:v>
                </c:pt>
                <c:pt idx="83">
                  <c:v>2025-04-08</c:v>
                </c:pt>
                <c:pt idx="84">
                  <c:v>2025-04-09</c:v>
                </c:pt>
                <c:pt idx="85">
                  <c:v>2025-04-10</c:v>
                </c:pt>
                <c:pt idx="86">
                  <c:v>2025-04-11</c:v>
                </c:pt>
                <c:pt idx="87">
                  <c:v>2025-04-13</c:v>
                </c:pt>
                <c:pt idx="88">
                  <c:v>2025-04-14</c:v>
                </c:pt>
                <c:pt idx="89">
                  <c:v>2025-04-15</c:v>
                </c:pt>
                <c:pt idx="90">
                  <c:v>2025-04-16</c:v>
                </c:pt>
                <c:pt idx="91">
                  <c:v>2025-04-23</c:v>
                </c:pt>
                <c:pt idx="92">
                  <c:v>2025-04-25</c:v>
                </c:pt>
                <c:pt idx="93">
                  <c:v>2025-04-27</c:v>
                </c:pt>
                <c:pt idx="94">
                  <c:v>2025-04-28</c:v>
                </c:pt>
                <c:pt idx="95">
                  <c:v>2025-05-02</c:v>
                </c:pt>
                <c:pt idx="96">
                  <c:v>2025-05-03</c:v>
                </c:pt>
                <c:pt idx="97">
                  <c:v>2025-05-06</c:v>
                </c:pt>
                <c:pt idx="98">
                  <c:v>2025-05-09</c:v>
                </c:pt>
                <c:pt idx="99">
                  <c:v>2025-05-10</c:v>
                </c:pt>
                <c:pt idx="100">
                  <c:v>2025-05-11</c:v>
                </c:pt>
                <c:pt idx="101">
                  <c:v>2025-05-12</c:v>
                </c:pt>
                <c:pt idx="102">
                  <c:v>2025-05-14</c:v>
                </c:pt>
                <c:pt idx="103">
                  <c:v>2025-05-17</c:v>
                </c:pt>
                <c:pt idx="104">
                  <c:v>2025-05-20</c:v>
                </c:pt>
                <c:pt idx="105">
                  <c:v>2025-05-27</c:v>
                </c:pt>
                <c:pt idx="106">
                  <c:v>2025-05-28</c:v>
                </c:pt>
                <c:pt idx="107">
                  <c:v>2025-05-29</c:v>
                </c:pt>
              </c:strCache>
            </c:strRef>
          </c:cat>
          <c:val>
            <c:numRef>
              <c:f>Sheet1!$E$247:$E$355</c:f>
              <c:numCache>
                <c:formatCode>General</c:formatCode>
                <c:ptCount val="108"/>
                <c:pt idx="1">
                  <c:v>1</c:v>
                </c:pt>
                <c:pt idx="2">
                  <c:v>1</c:v>
                </c:pt>
                <c:pt idx="3">
                  <c:v>1</c:v>
                </c:pt>
                <c:pt idx="4">
                  <c:v>1</c:v>
                </c:pt>
                <c:pt idx="5">
                  <c:v>1</c:v>
                </c:pt>
                <c:pt idx="6">
                  <c:v>1</c:v>
                </c:pt>
                <c:pt idx="10">
                  <c:v>1</c:v>
                </c:pt>
                <c:pt idx="11">
                  <c:v>1</c:v>
                </c:pt>
                <c:pt idx="13">
                  <c:v>1</c:v>
                </c:pt>
                <c:pt idx="15">
                  <c:v>1</c:v>
                </c:pt>
                <c:pt idx="16">
                  <c:v>1</c:v>
                </c:pt>
                <c:pt idx="17">
                  <c:v>1</c:v>
                </c:pt>
                <c:pt idx="20">
                  <c:v>2</c:v>
                </c:pt>
                <c:pt idx="21">
                  <c:v>1</c:v>
                </c:pt>
                <c:pt idx="22">
                  <c:v>2</c:v>
                </c:pt>
                <c:pt idx="23">
                  <c:v>1</c:v>
                </c:pt>
                <c:pt idx="24">
                  <c:v>1</c:v>
                </c:pt>
                <c:pt idx="25">
                  <c:v>1</c:v>
                </c:pt>
                <c:pt idx="26">
                  <c:v>1</c:v>
                </c:pt>
                <c:pt idx="29">
                  <c:v>1</c:v>
                </c:pt>
                <c:pt idx="35">
                  <c:v>1</c:v>
                </c:pt>
                <c:pt idx="36">
                  <c:v>2</c:v>
                </c:pt>
                <c:pt idx="37">
                  <c:v>2</c:v>
                </c:pt>
                <c:pt idx="38">
                  <c:v>1</c:v>
                </c:pt>
                <c:pt idx="40">
                  <c:v>2</c:v>
                </c:pt>
                <c:pt idx="42">
                  <c:v>1</c:v>
                </c:pt>
                <c:pt idx="44">
                  <c:v>1</c:v>
                </c:pt>
                <c:pt idx="45">
                  <c:v>1</c:v>
                </c:pt>
                <c:pt idx="46">
                  <c:v>1</c:v>
                </c:pt>
                <c:pt idx="47">
                  <c:v>1</c:v>
                </c:pt>
                <c:pt idx="48">
                  <c:v>1</c:v>
                </c:pt>
                <c:pt idx="49">
                  <c:v>1</c:v>
                </c:pt>
                <c:pt idx="52">
                  <c:v>1</c:v>
                </c:pt>
                <c:pt idx="53">
                  <c:v>1</c:v>
                </c:pt>
                <c:pt idx="54">
                  <c:v>1</c:v>
                </c:pt>
                <c:pt idx="55">
                  <c:v>1</c:v>
                </c:pt>
                <c:pt idx="58">
                  <c:v>1</c:v>
                </c:pt>
                <c:pt idx="59">
                  <c:v>1</c:v>
                </c:pt>
                <c:pt idx="61">
                  <c:v>1</c:v>
                </c:pt>
                <c:pt idx="63">
                  <c:v>2</c:v>
                </c:pt>
                <c:pt idx="64">
                  <c:v>1</c:v>
                </c:pt>
                <c:pt idx="65">
                  <c:v>1</c:v>
                </c:pt>
                <c:pt idx="69">
                  <c:v>1</c:v>
                </c:pt>
                <c:pt idx="70">
                  <c:v>1</c:v>
                </c:pt>
                <c:pt idx="77">
                  <c:v>1</c:v>
                </c:pt>
                <c:pt idx="78">
                  <c:v>1</c:v>
                </c:pt>
                <c:pt idx="79">
                  <c:v>1</c:v>
                </c:pt>
                <c:pt idx="80">
                  <c:v>1</c:v>
                </c:pt>
                <c:pt idx="81">
                  <c:v>2</c:v>
                </c:pt>
                <c:pt idx="82">
                  <c:v>1</c:v>
                </c:pt>
                <c:pt idx="86">
                  <c:v>1</c:v>
                </c:pt>
                <c:pt idx="87">
                  <c:v>3</c:v>
                </c:pt>
                <c:pt idx="88">
                  <c:v>1</c:v>
                </c:pt>
                <c:pt idx="89">
                  <c:v>1</c:v>
                </c:pt>
                <c:pt idx="90">
                  <c:v>1</c:v>
                </c:pt>
                <c:pt idx="94">
                  <c:v>1</c:v>
                </c:pt>
                <c:pt idx="97">
                  <c:v>2</c:v>
                </c:pt>
                <c:pt idx="98">
                  <c:v>1</c:v>
                </c:pt>
                <c:pt idx="99">
                  <c:v>3</c:v>
                </c:pt>
                <c:pt idx="101">
                  <c:v>1</c:v>
                </c:pt>
                <c:pt idx="102">
                  <c:v>1</c:v>
                </c:pt>
                <c:pt idx="103">
                  <c:v>1</c:v>
                </c:pt>
                <c:pt idx="106">
                  <c:v>1</c:v>
                </c:pt>
              </c:numCache>
            </c:numRef>
          </c:val>
          <c:extLst>
            <c:ext xmlns:c16="http://schemas.microsoft.com/office/drawing/2014/chart" uri="{C3380CC4-5D6E-409C-BE32-E72D297353CC}">
              <c16:uniqueId val="{00000000-DBCE-467B-99BE-71D1AD2052BC}"/>
            </c:ext>
          </c:extLst>
        </c:ser>
        <c:ser>
          <c:idx val="1"/>
          <c:order val="1"/>
          <c:tx>
            <c:strRef>
              <c:f>Sheet1!$F$245:$F$246</c:f>
              <c:strCache>
                <c:ptCount val="1"/>
                <c:pt idx="0">
                  <c:v>Returned</c:v>
                </c:pt>
              </c:strCache>
            </c:strRef>
          </c:tx>
          <c:spPr>
            <a:solidFill>
              <a:schemeClr val="accent2"/>
            </a:solidFill>
            <a:ln>
              <a:noFill/>
            </a:ln>
            <a:effectLst/>
          </c:spPr>
          <c:invertIfNegative val="0"/>
          <c:cat>
            <c:strRef>
              <c:f>Sheet1!$D$247:$D$355</c:f>
              <c:strCache>
                <c:ptCount val="108"/>
                <c:pt idx="0">
                  <c:v>2024-11-28</c:v>
                </c:pt>
                <c:pt idx="1">
                  <c:v>2024-12-01</c:v>
                </c:pt>
                <c:pt idx="2">
                  <c:v>2024-12-02</c:v>
                </c:pt>
                <c:pt idx="3">
                  <c:v>2024-12-03</c:v>
                </c:pt>
                <c:pt idx="4">
                  <c:v>2024-12-04</c:v>
                </c:pt>
                <c:pt idx="5">
                  <c:v>2024-12-05</c:v>
                </c:pt>
                <c:pt idx="6">
                  <c:v>2024-12-06</c:v>
                </c:pt>
                <c:pt idx="7">
                  <c:v>2024-12-09</c:v>
                </c:pt>
                <c:pt idx="8">
                  <c:v>2024-12-10</c:v>
                </c:pt>
                <c:pt idx="9">
                  <c:v>2024-12-12</c:v>
                </c:pt>
                <c:pt idx="10">
                  <c:v>2024-12-14</c:v>
                </c:pt>
                <c:pt idx="11">
                  <c:v>2024-12-15</c:v>
                </c:pt>
                <c:pt idx="12">
                  <c:v>2024-12-16</c:v>
                </c:pt>
                <c:pt idx="13">
                  <c:v>2024-12-18</c:v>
                </c:pt>
                <c:pt idx="14">
                  <c:v>2024-12-19</c:v>
                </c:pt>
                <c:pt idx="15">
                  <c:v>2024-12-20</c:v>
                </c:pt>
                <c:pt idx="16">
                  <c:v>2024-12-21</c:v>
                </c:pt>
                <c:pt idx="17">
                  <c:v>2024-12-22</c:v>
                </c:pt>
                <c:pt idx="18">
                  <c:v>2024-12-23</c:v>
                </c:pt>
                <c:pt idx="19">
                  <c:v>2024-12-24</c:v>
                </c:pt>
                <c:pt idx="20">
                  <c:v>2024-12-27</c:v>
                </c:pt>
                <c:pt idx="21">
                  <c:v>2024-12-28</c:v>
                </c:pt>
                <c:pt idx="22">
                  <c:v>2024-12-29</c:v>
                </c:pt>
                <c:pt idx="23">
                  <c:v>2024-12-30</c:v>
                </c:pt>
                <c:pt idx="24">
                  <c:v>2024-12-31</c:v>
                </c:pt>
                <c:pt idx="25">
                  <c:v>2025-01-02</c:v>
                </c:pt>
                <c:pt idx="26">
                  <c:v>2025-01-04</c:v>
                </c:pt>
                <c:pt idx="27">
                  <c:v>2025-01-06</c:v>
                </c:pt>
                <c:pt idx="28">
                  <c:v>2025-01-07</c:v>
                </c:pt>
                <c:pt idx="29">
                  <c:v>2025-01-08</c:v>
                </c:pt>
                <c:pt idx="30">
                  <c:v>2025-01-14</c:v>
                </c:pt>
                <c:pt idx="31">
                  <c:v>2025-01-16</c:v>
                </c:pt>
                <c:pt idx="32">
                  <c:v>2025-01-17</c:v>
                </c:pt>
                <c:pt idx="33">
                  <c:v>2025-01-18</c:v>
                </c:pt>
                <c:pt idx="34">
                  <c:v>2025-01-19</c:v>
                </c:pt>
                <c:pt idx="35">
                  <c:v>2025-01-20</c:v>
                </c:pt>
                <c:pt idx="36">
                  <c:v>2025-01-21</c:v>
                </c:pt>
                <c:pt idx="37">
                  <c:v>2025-01-22</c:v>
                </c:pt>
                <c:pt idx="38">
                  <c:v>2025-01-23</c:v>
                </c:pt>
                <c:pt idx="39">
                  <c:v>2025-01-25</c:v>
                </c:pt>
                <c:pt idx="40">
                  <c:v>2025-01-26</c:v>
                </c:pt>
                <c:pt idx="41">
                  <c:v>2025-01-27</c:v>
                </c:pt>
                <c:pt idx="42">
                  <c:v>2025-01-30</c:v>
                </c:pt>
                <c:pt idx="43">
                  <c:v>2025-01-31</c:v>
                </c:pt>
                <c:pt idx="44">
                  <c:v>2025-02-02</c:v>
                </c:pt>
                <c:pt idx="45">
                  <c:v>2025-02-04</c:v>
                </c:pt>
                <c:pt idx="46">
                  <c:v>2025-02-05</c:v>
                </c:pt>
                <c:pt idx="47">
                  <c:v>2025-02-08</c:v>
                </c:pt>
                <c:pt idx="48">
                  <c:v>2025-02-11</c:v>
                </c:pt>
                <c:pt idx="49">
                  <c:v>2025-02-12</c:v>
                </c:pt>
                <c:pt idx="50">
                  <c:v>2025-02-13</c:v>
                </c:pt>
                <c:pt idx="51">
                  <c:v>2025-02-15</c:v>
                </c:pt>
                <c:pt idx="52">
                  <c:v>2025-02-19</c:v>
                </c:pt>
                <c:pt idx="53">
                  <c:v>2025-02-23</c:v>
                </c:pt>
                <c:pt idx="54">
                  <c:v>2025-02-24</c:v>
                </c:pt>
                <c:pt idx="55">
                  <c:v>2025-02-25</c:v>
                </c:pt>
                <c:pt idx="56">
                  <c:v>2025-02-26</c:v>
                </c:pt>
                <c:pt idx="57">
                  <c:v>2025-02-28</c:v>
                </c:pt>
                <c:pt idx="58">
                  <c:v>2025-03-01</c:v>
                </c:pt>
                <c:pt idx="59">
                  <c:v>2025-03-02</c:v>
                </c:pt>
                <c:pt idx="60">
                  <c:v>2025-03-03</c:v>
                </c:pt>
                <c:pt idx="61">
                  <c:v>2025-03-05</c:v>
                </c:pt>
                <c:pt idx="62">
                  <c:v>2025-03-06</c:v>
                </c:pt>
                <c:pt idx="63">
                  <c:v>2025-03-07</c:v>
                </c:pt>
                <c:pt idx="64">
                  <c:v>2025-03-08</c:v>
                </c:pt>
                <c:pt idx="65">
                  <c:v>2025-03-09</c:v>
                </c:pt>
                <c:pt idx="66">
                  <c:v>2025-03-11</c:v>
                </c:pt>
                <c:pt idx="67">
                  <c:v>2025-03-12</c:v>
                </c:pt>
                <c:pt idx="68">
                  <c:v>2025-03-13</c:v>
                </c:pt>
                <c:pt idx="69">
                  <c:v>2025-03-15</c:v>
                </c:pt>
                <c:pt idx="70">
                  <c:v>2025-03-16</c:v>
                </c:pt>
                <c:pt idx="71">
                  <c:v>2025-03-17</c:v>
                </c:pt>
                <c:pt idx="72">
                  <c:v>2025-03-18</c:v>
                </c:pt>
                <c:pt idx="73">
                  <c:v>2025-03-21</c:v>
                </c:pt>
                <c:pt idx="74">
                  <c:v>2025-03-22</c:v>
                </c:pt>
                <c:pt idx="75">
                  <c:v>2025-03-23</c:v>
                </c:pt>
                <c:pt idx="76">
                  <c:v>2025-03-24</c:v>
                </c:pt>
                <c:pt idx="77">
                  <c:v>2025-03-26</c:v>
                </c:pt>
                <c:pt idx="78">
                  <c:v>2025-03-29</c:v>
                </c:pt>
                <c:pt idx="79">
                  <c:v>2025-04-02</c:v>
                </c:pt>
                <c:pt idx="80">
                  <c:v>2025-04-03</c:v>
                </c:pt>
                <c:pt idx="81">
                  <c:v>2025-04-05</c:v>
                </c:pt>
                <c:pt idx="82">
                  <c:v>2025-04-06</c:v>
                </c:pt>
                <c:pt idx="83">
                  <c:v>2025-04-08</c:v>
                </c:pt>
                <c:pt idx="84">
                  <c:v>2025-04-09</c:v>
                </c:pt>
                <c:pt idx="85">
                  <c:v>2025-04-10</c:v>
                </c:pt>
                <c:pt idx="86">
                  <c:v>2025-04-11</c:v>
                </c:pt>
                <c:pt idx="87">
                  <c:v>2025-04-13</c:v>
                </c:pt>
                <c:pt idx="88">
                  <c:v>2025-04-14</c:v>
                </c:pt>
                <c:pt idx="89">
                  <c:v>2025-04-15</c:v>
                </c:pt>
                <c:pt idx="90">
                  <c:v>2025-04-16</c:v>
                </c:pt>
                <c:pt idx="91">
                  <c:v>2025-04-23</c:v>
                </c:pt>
                <c:pt idx="92">
                  <c:v>2025-04-25</c:v>
                </c:pt>
                <c:pt idx="93">
                  <c:v>2025-04-27</c:v>
                </c:pt>
                <c:pt idx="94">
                  <c:v>2025-04-28</c:v>
                </c:pt>
                <c:pt idx="95">
                  <c:v>2025-05-02</c:v>
                </c:pt>
                <c:pt idx="96">
                  <c:v>2025-05-03</c:v>
                </c:pt>
                <c:pt idx="97">
                  <c:v>2025-05-06</c:v>
                </c:pt>
                <c:pt idx="98">
                  <c:v>2025-05-09</c:v>
                </c:pt>
                <c:pt idx="99">
                  <c:v>2025-05-10</c:v>
                </c:pt>
                <c:pt idx="100">
                  <c:v>2025-05-11</c:v>
                </c:pt>
                <c:pt idx="101">
                  <c:v>2025-05-12</c:v>
                </c:pt>
                <c:pt idx="102">
                  <c:v>2025-05-14</c:v>
                </c:pt>
                <c:pt idx="103">
                  <c:v>2025-05-17</c:v>
                </c:pt>
                <c:pt idx="104">
                  <c:v>2025-05-20</c:v>
                </c:pt>
                <c:pt idx="105">
                  <c:v>2025-05-27</c:v>
                </c:pt>
                <c:pt idx="106">
                  <c:v>2025-05-28</c:v>
                </c:pt>
                <c:pt idx="107">
                  <c:v>2025-05-29</c:v>
                </c:pt>
              </c:strCache>
            </c:strRef>
          </c:cat>
          <c:val>
            <c:numRef>
              <c:f>Sheet1!$F$247:$F$355</c:f>
              <c:numCache>
                <c:formatCode>General</c:formatCode>
                <c:ptCount val="108"/>
                <c:pt idx="0">
                  <c:v>1</c:v>
                </c:pt>
                <c:pt idx="1">
                  <c:v>2</c:v>
                </c:pt>
                <c:pt idx="4">
                  <c:v>1</c:v>
                </c:pt>
                <c:pt idx="7">
                  <c:v>1</c:v>
                </c:pt>
                <c:pt idx="8">
                  <c:v>1</c:v>
                </c:pt>
                <c:pt idx="9">
                  <c:v>1</c:v>
                </c:pt>
                <c:pt idx="12">
                  <c:v>2</c:v>
                </c:pt>
                <c:pt idx="13">
                  <c:v>1</c:v>
                </c:pt>
                <c:pt idx="14">
                  <c:v>1</c:v>
                </c:pt>
                <c:pt idx="15">
                  <c:v>1</c:v>
                </c:pt>
                <c:pt idx="17">
                  <c:v>1</c:v>
                </c:pt>
                <c:pt idx="18">
                  <c:v>1</c:v>
                </c:pt>
                <c:pt idx="19">
                  <c:v>1</c:v>
                </c:pt>
                <c:pt idx="22">
                  <c:v>1</c:v>
                </c:pt>
                <c:pt idx="25">
                  <c:v>1</c:v>
                </c:pt>
                <c:pt idx="27">
                  <c:v>1</c:v>
                </c:pt>
                <c:pt idx="28">
                  <c:v>1</c:v>
                </c:pt>
                <c:pt idx="30">
                  <c:v>1</c:v>
                </c:pt>
                <c:pt idx="31">
                  <c:v>1</c:v>
                </c:pt>
                <c:pt idx="32">
                  <c:v>1</c:v>
                </c:pt>
                <c:pt idx="33">
                  <c:v>1</c:v>
                </c:pt>
                <c:pt idx="34">
                  <c:v>1</c:v>
                </c:pt>
                <c:pt idx="36">
                  <c:v>1</c:v>
                </c:pt>
                <c:pt idx="39">
                  <c:v>2</c:v>
                </c:pt>
                <c:pt idx="41">
                  <c:v>1</c:v>
                </c:pt>
                <c:pt idx="43">
                  <c:v>1</c:v>
                </c:pt>
                <c:pt idx="44">
                  <c:v>1</c:v>
                </c:pt>
                <c:pt idx="49">
                  <c:v>2</c:v>
                </c:pt>
                <c:pt idx="50">
                  <c:v>1</c:v>
                </c:pt>
                <c:pt idx="51">
                  <c:v>1</c:v>
                </c:pt>
                <c:pt idx="53">
                  <c:v>2</c:v>
                </c:pt>
                <c:pt idx="56">
                  <c:v>1</c:v>
                </c:pt>
                <c:pt idx="57">
                  <c:v>2</c:v>
                </c:pt>
                <c:pt idx="60">
                  <c:v>1</c:v>
                </c:pt>
                <c:pt idx="61">
                  <c:v>1</c:v>
                </c:pt>
                <c:pt idx="62">
                  <c:v>1</c:v>
                </c:pt>
                <c:pt idx="63">
                  <c:v>1</c:v>
                </c:pt>
                <c:pt idx="66">
                  <c:v>1</c:v>
                </c:pt>
                <c:pt idx="67">
                  <c:v>2</c:v>
                </c:pt>
                <c:pt idx="68">
                  <c:v>1</c:v>
                </c:pt>
                <c:pt idx="69">
                  <c:v>1</c:v>
                </c:pt>
                <c:pt idx="71">
                  <c:v>1</c:v>
                </c:pt>
                <c:pt idx="72">
                  <c:v>1</c:v>
                </c:pt>
                <c:pt idx="73">
                  <c:v>1</c:v>
                </c:pt>
                <c:pt idx="74">
                  <c:v>1</c:v>
                </c:pt>
                <c:pt idx="75">
                  <c:v>1</c:v>
                </c:pt>
                <c:pt idx="76">
                  <c:v>2</c:v>
                </c:pt>
                <c:pt idx="78">
                  <c:v>1</c:v>
                </c:pt>
                <c:pt idx="81">
                  <c:v>1</c:v>
                </c:pt>
                <c:pt idx="83">
                  <c:v>1</c:v>
                </c:pt>
                <c:pt idx="84">
                  <c:v>1</c:v>
                </c:pt>
                <c:pt idx="85">
                  <c:v>1</c:v>
                </c:pt>
                <c:pt idx="86">
                  <c:v>1</c:v>
                </c:pt>
                <c:pt idx="90">
                  <c:v>1</c:v>
                </c:pt>
                <c:pt idx="91">
                  <c:v>1</c:v>
                </c:pt>
                <c:pt idx="92">
                  <c:v>1</c:v>
                </c:pt>
                <c:pt idx="93">
                  <c:v>1</c:v>
                </c:pt>
                <c:pt idx="95">
                  <c:v>2</c:v>
                </c:pt>
                <c:pt idx="96">
                  <c:v>1</c:v>
                </c:pt>
                <c:pt idx="98">
                  <c:v>2</c:v>
                </c:pt>
                <c:pt idx="99">
                  <c:v>1</c:v>
                </c:pt>
                <c:pt idx="100">
                  <c:v>1</c:v>
                </c:pt>
                <c:pt idx="101">
                  <c:v>1</c:v>
                </c:pt>
                <c:pt idx="104">
                  <c:v>2</c:v>
                </c:pt>
                <c:pt idx="105">
                  <c:v>2</c:v>
                </c:pt>
                <c:pt idx="107">
                  <c:v>1</c:v>
                </c:pt>
              </c:numCache>
            </c:numRef>
          </c:val>
          <c:extLst>
            <c:ext xmlns:c16="http://schemas.microsoft.com/office/drawing/2014/chart" uri="{C3380CC4-5D6E-409C-BE32-E72D297353CC}">
              <c16:uniqueId val="{00000003-DBCE-467B-99BE-71D1AD2052BC}"/>
            </c:ext>
          </c:extLst>
        </c:ser>
        <c:dLbls>
          <c:showLegendKey val="0"/>
          <c:showVal val="0"/>
          <c:showCatName val="0"/>
          <c:showSerName val="0"/>
          <c:showPercent val="0"/>
          <c:showBubbleSize val="0"/>
        </c:dLbls>
        <c:gapWidth val="150"/>
        <c:overlap val="100"/>
        <c:axId val="1934832655"/>
        <c:axId val="1934835055"/>
      </c:barChart>
      <c:catAx>
        <c:axId val="193483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835055"/>
        <c:crosses val="autoZero"/>
        <c:auto val="1"/>
        <c:lblAlgn val="ctr"/>
        <c:lblOffset val="100"/>
        <c:noMultiLvlLbl val="0"/>
      </c:catAx>
      <c:valAx>
        <c:axId val="193483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83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681808</xdr:colOff>
      <xdr:row>21</xdr:row>
      <xdr:rowOff>39441</xdr:rowOff>
    </xdr:from>
    <xdr:to>
      <xdr:col>15</xdr:col>
      <xdr:colOff>150990</xdr:colOff>
      <xdr:row>34</xdr:row>
      <xdr:rowOff>25156</xdr:rowOff>
    </xdr:to>
    <xdr:graphicFrame macro="">
      <xdr:nvGraphicFramePr>
        <xdr:cNvPr id="2" name="Chart 1">
          <a:extLst>
            <a:ext uri="{FF2B5EF4-FFF2-40B4-BE49-F238E27FC236}">
              <a16:creationId xmlns:a16="http://schemas.microsoft.com/office/drawing/2014/main" id="{81C0CD1E-F55E-A4D8-DB29-D103962F0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311944</xdr:colOff>
      <xdr:row>169</xdr:row>
      <xdr:rowOff>142875</xdr:rowOff>
    </xdr:from>
    <xdr:to>
      <xdr:col>12</xdr:col>
      <xdr:colOff>552451</xdr:colOff>
      <xdr:row>182</xdr:row>
      <xdr:rowOff>95250</xdr:rowOff>
    </xdr:to>
    <xdr:graphicFrame macro="">
      <xdr:nvGraphicFramePr>
        <xdr:cNvPr id="3" name="Chart 2">
          <a:extLst>
            <a:ext uri="{FF2B5EF4-FFF2-40B4-BE49-F238E27FC236}">
              <a16:creationId xmlns:a16="http://schemas.microsoft.com/office/drawing/2014/main" id="{748CADA4-222C-A22C-22E9-CCBFE9D4C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374207</xdr:colOff>
      <xdr:row>191</xdr:row>
      <xdr:rowOff>15458</xdr:rowOff>
    </xdr:from>
    <xdr:to>
      <xdr:col>8</xdr:col>
      <xdr:colOff>44619</xdr:colOff>
      <xdr:row>205</xdr:row>
      <xdr:rowOff>25608</xdr:rowOff>
    </xdr:to>
    <mc:AlternateContent xmlns:mc="http://schemas.openxmlformats.org/markup-compatibility/2006" xmlns:a14="http://schemas.microsoft.com/office/drawing/2010/main">
      <mc:Choice Requires="a14">
        <xdr:graphicFrame macro="">
          <xdr:nvGraphicFramePr>
            <xdr:cNvPr id="6" name="Sales_Rep">
              <a:extLst>
                <a:ext uri="{FF2B5EF4-FFF2-40B4-BE49-F238E27FC236}">
                  <a16:creationId xmlns:a16="http://schemas.microsoft.com/office/drawing/2014/main" id="{2C679907-BC0E-BE8C-663F-1BBEBB299A07}"/>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5829434" y="34471425"/>
              <a:ext cx="1835185" cy="25357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7259</xdr:colOff>
      <xdr:row>191</xdr:row>
      <xdr:rowOff>38880</xdr:rowOff>
    </xdr:from>
    <xdr:to>
      <xdr:col>4</xdr:col>
      <xdr:colOff>309016</xdr:colOff>
      <xdr:row>205</xdr:row>
      <xdr:rowOff>49030</xdr:rowOff>
    </xdr:to>
    <mc:AlternateContent xmlns:mc="http://schemas.openxmlformats.org/markup-compatibility/2006" xmlns:a14="http://schemas.microsoft.com/office/drawing/2010/main">
      <mc:Choice Requires="a14">
        <xdr:graphicFrame macro="">
          <xdr:nvGraphicFramePr>
            <xdr:cNvPr id="7" name="Status">
              <a:extLst>
                <a:ext uri="{FF2B5EF4-FFF2-40B4-BE49-F238E27FC236}">
                  <a16:creationId xmlns:a16="http://schemas.microsoft.com/office/drawing/2014/main" id="{77466EEF-22A2-37C4-250C-9E98E6CCA4E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850327" y="34494847"/>
              <a:ext cx="1809883" cy="25357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788323</xdr:colOff>
      <xdr:row>250</xdr:row>
      <xdr:rowOff>70379</xdr:rowOff>
    </xdr:from>
    <xdr:to>
      <xdr:col>19</xdr:col>
      <xdr:colOff>317499</xdr:colOff>
      <xdr:row>265</xdr:row>
      <xdr:rowOff>134673</xdr:rowOff>
    </xdr:to>
    <xdr:graphicFrame macro="">
      <xdr:nvGraphicFramePr>
        <xdr:cNvPr id="8" name="Chart 7">
          <a:extLst>
            <a:ext uri="{FF2B5EF4-FFF2-40B4-BE49-F238E27FC236}">
              <a16:creationId xmlns:a16="http://schemas.microsoft.com/office/drawing/2014/main" id="{81F81E51-2028-7189-A346-EE742CE69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Venky" refreshedDate="46062.473385185185" createdVersion="8" refreshedVersion="8" minRefreshableVersion="3" recordCount="300" xr:uid="{FD2D9AA1-8095-4ECB-B5F7-CEDB636315FF}">
  <cacheSource type="worksheet">
    <worksheetSource name="Table1"/>
  </cacheSource>
  <cacheFields count="14">
    <cacheField name="Order_ID" numFmtId="0">
      <sharedItems/>
    </cacheField>
    <cacheField name="Customer_Name" numFmtId="0">
      <sharedItems count="299">
        <s v="Colleen Brown"/>
        <s v="Randy Myers"/>
        <s v="Heidi Olson"/>
        <s v="Amanda Malone"/>
        <s v="Donna Aguilar"/>
        <s v="Justin Murphy"/>
        <s v="Megan Rodriguez"/>
        <s v="Adam Day"/>
        <s v="Jordan Irwin"/>
        <s v="Jason Hardin Jr."/>
        <s v="Jacob Hamilton"/>
        <s v="Christopher Green"/>
        <s v="Jane York"/>
        <s v="Thomas Ramirez"/>
        <s v="Dennis Burns"/>
        <s v="Theresa White"/>
        <s v="Jon Rivera"/>
        <s v="Brandy Long"/>
        <s v="Suzanne Wright"/>
        <s v="Dr. Jennifer Davis"/>
        <s v="William Cohen"/>
        <s v="Leslie Mcintyre"/>
        <s v="Johnny Morton"/>
        <s v="Molly Ortiz"/>
        <s v="Douglas Ford"/>
        <s v="Ryan Palmer"/>
        <s v="Krista Jones"/>
        <s v="Jodi Gordon"/>
        <s v="Shawn Garcia"/>
        <s v="Crystal Young"/>
        <s v="Ryan Bell DVM"/>
        <s v="Kaitlyn Walker"/>
        <s v="Kyle Graham"/>
        <s v="Robert Hernandez"/>
        <s v="Jeremiah Collins"/>
        <s v="Cathy Mcdonald"/>
        <s v="Teresa Evans"/>
        <s v="Jeremiah Johns"/>
        <s v="Ashley Jordan MD"/>
        <s v="Christopher Wheeler"/>
        <s v="Christine Branch"/>
        <s v="Michael Weber"/>
        <s v="David Anderson"/>
        <s v="Emily Bell"/>
        <s v="Mary Harmon"/>
        <s v="Mary Hayes"/>
        <s v="Robin King"/>
        <s v="Patrick Miller"/>
        <s v="Andrew Bailey"/>
        <s v="Christopher Dudley"/>
        <s v="John Henry"/>
        <s v="Lori Green"/>
        <s v="Leah Chen"/>
        <s v="Kimberly Villanueva"/>
        <s v="Donald Tucker DVM"/>
        <s v="Jonathan Porter"/>
        <s v="Dr. Nicholas Cooper"/>
        <s v="Michael Chapman"/>
        <s v="Emily Murphy"/>
        <s v="William Mitchell"/>
        <s v="Christine Thompson"/>
        <s v="Lori Goodwin"/>
        <s v="Sarah Rodriguez"/>
        <s v="Margaret Guerrero"/>
        <s v="Kimberly Steele"/>
        <s v="Rachel Miller"/>
        <s v="Rachel Williamson"/>
        <s v="William Kane"/>
        <s v="David Adams"/>
        <s v="Andrea Garza"/>
        <s v="Alisha Ibarra"/>
        <s v="Mr. Thomas Wilcox"/>
        <s v="Mr. John Gonzales"/>
        <s v="Ryan Rivera"/>
        <s v="Kenneth Vincent"/>
        <s v="Billy Sweeney"/>
        <s v="Michael Walker"/>
        <s v="Dawn Wolfe"/>
        <s v="Lindsey Pennington"/>
        <s v="Christina Long PhD"/>
        <s v="Michael White"/>
        <s v="Jeffrey Schneider"/>
        <s v="Karen Mclean"/>
        <s v="Terry Haley"/>
        <s v="Michael May"/>
        <s v="Nathan May"/>
        <s v="Andrea Lee"/>
        <s v="Stephanie Lee"/>
        <s v="James Harrison"/>
        <s v="Donald Carpenter"/>
        <s v="Ryan Franco"/>
        <s v="Michael Hernandez"/>
        <s v="Matthew Montgomery"/>
        <s v="Lauren Price"/>
        <s v="Sheila Coleman"/>
        <s v="Lori Hernandez"/>
        <s v="Michael Livingston"/>
        <s v="Kimberly Rivera MD"/>
        <s v="Curtis Hubbard"/>
        <s v="Melissa Peters"/>
        <s v="Melanie Reynolds"/>
        <s v="Christina Simpson"/>
        <s v="Cynthia Harvey"/>
        <s v="Elizabeth Watson"/>
        <s v="Ms. Julia Hines"/>
        <s v="Andrea Smith"/>
        <s v="Jordan Young"/>
        <s v="Katherine Lutz MD"/>
        <s v="Anthony Rice"/>
        <s v="Kathy Moss"/>
        <s v="William Clark"/>
        <s v="Michael Guerrero"/>
        <s v="Sarah Miller"/>
        <s v="Frank Chavez"/>
        <s v="Keith White"/>
        <s v="Maurice Harris"/>
        <s v="Michelle James DDS"/>
        <s v="Willie Hamilton"/>
        <s v="Sarah Ayala"/>
        <s v="Steven Sanders"/>
        <s v="Susan Hernandez"/>
        <s v="Ralph Rose"/>
        <s v="Lisa Johnson"/>
        <s v="Abigail Prince"/>
        <s v="Andrea Hunt"/>
        <s v="Kyle Rowe"/>
        <s v="Rhonda Taylor"/>
        <s v="Craig Ward"/>
        <s v="Lisa Davis"/>
        <s v="Jorge Johnson"/>
        <s v="Matthew Smith"/>
        <s v="Anna Smith"/>
        <s v="Nicholas Brown"/>
        <s v="Kenneth Rice"/>
        <s v="Mikayla Mayo"/>
        <s v="Allen Reeves"/>
        <s v="Jeffrey Hughes"/>
        <s v="Melissa Mcpherson"/>
        <s v="Morgan Taylor"/>
        <s v="Frederick Taylor"/>
        <s v="Kevin Peterson"/>
        <s v="Barbara Davis"/>
        <s v="Mallory Richmond"/>
        <s v="Kelly Robinson"/>
        <s v="Karen Gibson"/>
        <s v="Christopher Whitehead"/>
        <s v="Matthew Peters"/>
        <s v="Brandon Sanders"/>
        <s v="Adam Ward"/>
        <s v="Jill Moon"/>
        <s v="Austin Blair"/>
        <s v="Chelsea Ho"/>
        <s v="Michael Mckenzie"/>
        <s v="Randy Sanchez"/>
        <s v="Tyler Perez"/>
        <s v="Daniel Bruce"/>
        <s v="Sara Lane"/>
        <s v="Adam Sullivan"/>
        <s v="Sarah Burton"/>
        <s v="Eric Ortiz"/>
        <s v="Jessica Fox"/>
        <s v="Jesus Blankenship"/>
        <s v="Vanessa Stanley"/>
        <s v="Regina Acosta"/>
        <s v="Michael Lee"/>
        <s v="Alice Ortiz"/>
        <s v="Alex Nguyen MD"/>
        <s v="Karen Wade"/>
        <s v="Christy Garcia"/>
        <s v="Laura Blankenship"/>
        <s v="Ashley Robertson"/>
        <s v="Jeremy Tate"/>
        <s v="Peter Ramsey"/>
        <s v="Melissa White"/>
        <s v="James Butler"/>
        <s v="Patricia Solomon"/>
        <s v="Sierra Simon DDS"/>
        <s v="Joanna Scott"/>
        <s v="Thomas Johnson"/>
        <s v="Yolanda Li"/>
        <s v="Kristen Jones"/>
        <s v="Samantha Coleman"/>
        <s v="Susan Scott"/>
        <s v="Beth Lambert"/>
        <s v="Gary Schwartz"/>
        <s v="Jade Williams"/>
        <s v="Alicia Cummings"/>
        <s v="Lindsay Foster"/>
        <s v="Scott Harrington"/>
        <s v="Sydney Yoder"/>
        <s v="Duane Bishop"/>
        <s v="Amber Blake"/>
        <s v="Zachary Miller"/>
        <s v="Suzanne Hayes"/>
        <s v="Christian Lopez"/>
        <s v="Yolanda Shepard"/>
        <s v="Ryan Sanders"/>
        <s v="Robert Murray"/>
        <s v="Jonathan Valdez"/>
        <s v="Justin Lopez"/>
        <s v="Grace Warren"/>
        <s v="Stephanie Ramirez"/>
        <s v="Tiffany Kent"/>
        <s v="Chelsea Morton"/>
        <s v="Robert Gonzalez"/>
        <s v="Brett Bullock PhD"/>
        <s v="Amy Roth"/>
        <s v="Angel Murray"/>
        <s v="John Walls"/>
        <s v="Amanda Martinez"/>
        <s v="Edward Moore"/>
        <s v="Carl Lindsey"/>
        <s v="Elizabeth Cruz"/>
        <s v="Wendy Schaefer"/>
        <s v="Carla Bishop"/>
        <s v="Brent Ramirez"/>
        <s v="Brian Martinez"/>
        <s v="William Ruiz"/>
        <s v="Linda Beck"/>
        <s v="Amy Wolf"/>
        <s v="Amy Navarro"/>
        <s v="Craig Jones V"/>
        <s v="Eric Webster"/>
        <s v="Joseph Martin"/>
        <s v="Stacey Thornton"/>
        <s v="Daniel Ramos"/>
        <s v="Ryan Trevino"/>
        <s v="Charles Bautista"/>
        <s v="Bradley Powers"/>
        <s v="Gloria Fleming"/>
        <s v="Derek Weber"/>
        <s v="Gina White"/>
        <s v="John Ingram"/>
        <s v="Sabrina Ruiz MD"/>
        <s v="Robert Johnson"/>
        <s v="Rebecca Anderson"/>
        <s v="Samuel Graham"/>
        <s v="Michael Graham"/>
        <s v="Sandra Gallegos"/>
        <s v="Lori Vaughan"/>
        <s v="Edwin Williams"/>
        <s v="Matthew Blackburn"/>
        <s v="Anne Friedman"/>
        <s v="Kathy Flores"/>
        <s v="Wendy Valentine"/>
        <s v="Gerald Freeman"/>
        <s v="Spencer Davis"/>
        <s v="Dylan Jones"/>
        <s v="Jacob Brady"/>
        <s v="Connie James"/>
        <s v="Thomas Harrell"/>
        <s v="Samuel Lee"/>
        <s v="Mary Hall"/>
        <s v="Paul Smith"/>
        <s v="Raymond Hunter"/>
        <s v="Mr. Thomas Vargas"/>
        <s v="Deborah Mejia"/>
        <s v="Kelly Johns"/>
        <s v="Veronica Hernandez"/>
        <s v="Jay Smith"/>
        <s v="Meagan Parker"/>
        <s v="Brian Garcia"/>
        <s v="Wanda Barrett"/>
        <s v="Renee Rivers"/>
        <s v="Travis Wheeler"/>
        <s v="Jessica Mooney"/>
        <s v="Daniel Estrada"/>
        <s v="David Moore"/>
        <s v="Kathryn Khan"/>
        <s v="Ruth Harding"/>
        <s v="Christine Cannon"/>
        <s v="Cheryl Williams"/>
        <s v="Tommy Mills"/>
        <s v="Isabel Webster"/>
        <s v="Derek Perry"/>
        <s v="Brian Lang"/>
        <s v="Johnny Bowman"/>
        <s v="Michelle Medina"/>
        <s v="Jeffrey Allen"/>
        <s v="Brian Maxwell MD"/>
        <s v="James Russell"/>
        <s v="Michael Bowman"/>
        <s v="Joseph Walters"/>
        <s v="Christy Dixon"/>
        <s v="Blake Mitchell"/>
        <s v="Tina Gardner"/>
        <s v="Robert Smith"/>
        <s v="Dustin Brown"/>
        <s v="Jackson Graham"/>
        <s v="Kurt Black"/>
        <s v="Louis Villegas"/>
        <s v="Justin Powell Jr."/>
        <s v="Casey Flynn"/>
        <s v="Richard Stokes"/>
        <s v="Veronica Olson"/>
        <s v="William Hale"/>
        <s v="Rebecca Salazar"/>
        <s v="Lisa Smith"/>
        <s v="Jaime Harrison"/>
      </sharedItems>
    </cacheField>
    <cacheField name="Product" numFmtId="0">
      <sharedItems count="10">
        <s v="Laptop"/>
        <s v="Juice"/>
        <s v="Notebook"/>
        <s v="Book"/>
        <s v="Jeans"/>
        <s v="Milk"/>
        <s v="Shirt"/>
        <s v="Tablet"/>
        <s v="Desk"/>
        <s v="Chair"/>
      </sharedItems>
    </cacheField>
    <cacheField name="Category" numFmtId="0">
      <sharedItems count="5">
        <s v="Clothing"/>
        <s v="Furniture"/>
        <s v="Electronics"/>
        <s v="Grocery"/>
        <s v="Books"/>
      </sharedItems>
    </cacheField>
    <cacheField name="Units" numFmtId="0">
      <sharedItems containsSemiMixedTypes="0" containsString="0" containsNumber="1" containsInteger="1" minValue="1" maxValue="99"/>
    </cacheField>
    <cacheField name="Price_per_Unit" numFmtId="0">
      <sharedItems containsSemiMixedTypes="0" containsString="0" containsNumber="1" minValue="10.199999999999999" maxValue="199.57"/>
    </cacheField>
    <cacheField name="Order_Date" numFmtId="164">
      <sharedItems containsSemiMixedTypes="0" containsNonDate="0" containsDate="1" containsString="0" minDate="2024-11-28T00:00:00" maxDate="2025-05-30T00:00:00" count="150">
        <d v="2025-03-12T00:00:00"/>
        <d v="2025-04-28T00:00:00"/>
        <d v="2025-04-02T00:00:00"/>
        <d v="2025-04-25T00:00:00"/>
        <d v="2025-04-27T00:00:00"/>
        <d v="2025-01-19T00:00:00"/>
        <d v="2025-03-25T00:00:00"/>
        <d v="2024-12-11T00:00:00"/>
        <d v="2025-03-03T00:00:00"/>
        <d v="2025-04-03T00:00:00"/>
        <d v="2025-05-10T00:00:00"/>
        <d v="2024-12-28T00:00:00"/>
        <d v="2024-12-09T00:00:00"/>
        <d v="2025-02-04T00:00:00"/>
        <d v="2025-03-20T00:00:00"/>
        <d v="2025-05-26T00:00:00"/>
        <d v="2025-05-11T00:00:00"/>
        <d v="2025-01-21T00:00:00"/>
        <d v="2025-03-17T00:00:00"/>
        <d v="2025-01-18T00:00:00"/>
        <d v="2025-01-10T00:00:00"/>
        <d v="2025-03-22T00:00:00"/>
        <d v="2025-01-14T00:00:00"/>
        <d v="2025-05-17T00:00:00"/>
        <d v="2025-03-24T00:00:00"/>
        <d v="2025-03-07T00:00:00"/>
        <d v="2024-12-04T00:00:00"/>
        <d v="2025-03-13T00:00:00"/>
        <d v="2025-03-09T00:00:00"/>
        <d v="2024-12-01T00:00:00"/>
        <d v="2025-02-02T00:00:00"/>
        <d v="2025-01-27T00:00:00"/>
        <d v="2025-01-23T00:00:00"/>
        <d v="2024-12-23T00:00:00"/>
        <d v="2025-04-09T00:00:00"/>
        <d v="2025-02-28T00:00:00"/>
        <d v="2024-12-08T00:00:00"/>
        <d v="2025-03-08T00:00:00"/>
        <d v="2025-01-07T00:00:00"/>
        <d v="2025-02-12T00:00:00"/>
        <d v="2024-12-24T00:00:00"/>
        <d v="2025-05-09T00:00:00"/>
        <d v="2025-05-12T00:00:00"/>
        <d v="2025-03-05T00:00:00"/>
        <d v="2025-02-09T00:00:00"/>
        <d v="2025-03-29T00:00:00"/>
        <d v="2025-05-06T00:00:00"/>
        <d v="2025-03-06T00:00:00"/>
        <d v="2025-05-28T00:00:00"/>
        <d v="2025-05-20T00:00:00"/>
        <d v="2025-02-03T00:00:00"/>
        <d v="2024-12-19T00:00:00"/>
        <d v="2025-04-12T00:00:00"/>
        <d v="2025-03-18T00:00:00"/>
        <d v="2025-04-13T00:00:00"/>
        <d v="2025-01-08T00:00:00"/>
        <d v="2024-12-22T00:00:00"/>
        <d v="2025-05-29T00:00:00"/>
        <d v="2025-04-14T00:00:00"/>
        <d v="2024-12-17T00:00:00"/>
        <d v="2025-02-24T00:00:00"/>
        <d v="2025-02-19T00:00:00"/>
        <d v="2025-04-20T00:00:00"/>
        <d v="2025-04-10T00:00:00"/>
        <d v="2025-02-26T00:00:00"/>
        <d v="2025-02-16T00:00:00"/>
        <d v="2025-02-13T00:00:00"/>
        <d v="2025-04-29T00:00:00"/>
        <d v="2025-02-17T00:00:00"/>
        <d v="2025-02-15T00:00:00"/>
        <d v="2025-04-16T00:00:00"/>
        <d v="2024-12-05T00:00:00"/>
        <d v="2025-01-25T00:00:00"/>
        <d v="2025-01-30T00:00:00"/>
        <d v="2025-02-21T00:00:00"/>
        <d v="2025-04-05T00:00:00"/>
        <d v="2024-12-31T00:00:00"/>
        <d v="2025-05-14T00:00:00"/>
        <d v="2024-12-18T00:00:00"/>
        <d v="2025-01-31T00:00:00"/>
        <d v="2024-12-03T00:00:00"/>
        <d v="2025-05-08T00:00:00"/>
        <d v="2024-11-28T00:00:00"/>
        <d v="2025-04-21T00:00:00"/>
        <d v="2025-02-22T00:00:00"/>
        <d v="2024-12-30T00:00:00"/>
        <d v="2025-02-05T00:00:00"/>
        <d v="2025-01-26T00:00:00"/>
        <d v="2024-12-20T00:00:00"/>
        <d v="2024-12-27T00:00:00"/>
        <d v="2024-12-10T00:00:00"/>
        <d v="2024-12-16T00:00:00"/>
        <d v="2025-05-02T00:00:00"/>
        <d v="2025-04-23T00:00:00"/>
        <d v="2025-04-15T00:00:00"/>
        <d v="2025-01-20T00:00:00"/>
        <d v="2025-01-04T00:00:00"/>
        <d v="2025-03-11T00:00:00"/>
        <d v="2025-04-26T00:00:00"/>
        <d v="2025-05-15T00:00:00"/>
        <d v="2024-12-29T00:00:00"/>
        <d v="2024-12-14T00:00:00"/>
        <d v="2025-01-06T00:00:00"/>
        <d v="2025-03-02T00:00:00"/>
        <d v="2025-01-16T00:00:00"/>
        <d v="2025-05-23T00:00:00"/>
        <d v="2024-12-06T00:00:00"/>
        <d v="2025-05-25T00:00:00"/>
        <d v="2025-04-18T00:00:00"/>
        <d v="2025-01-02T00:00:00"/>
        <d v="2024-12-02T00:00:00"/>
        <d v="2025-05-27T00:00:00"/>
        <d v="2025-02-11T00:00:00"/>
        <d v="2025-01-22T00:00:00"/>
        <d v="2025-01-17T00:00:00"/>
        <d v="2025-02-23T00:00:00"/>
        <d v="2025-02-08T00:00:00"/>
        <d v="2025-04-08T00:00:00"/>
        <d v="2025-05-03T00:00:00"/>
        <d v="2025-05-19T00:00:00"/>
        <d v="2025-04-07T00:00:00"/>
        <d v="2025-02-25T00:00:00"/>
        <d v="2025-04-06T00:00:00"/>
        <d v="2025-04-30T00:00:00"/>
        <d v="2025-03-26T00:00:00"/>
        <d v="2025-03-19T00:00:00"/>
        <d v="2024-12-26T00:00:00"/>
        <d v="2025-03-16T00:00:00"/>
        <d v="2025-01-28T00:00:00"/>
        <d v="2025-02-18T00:00:00"/>
        <d v="2025-03-28T00:00:00"/>
        <d v="2025-01-03T00:00:00"/>
        <d v="2025-02-14T00:00:00"/>
        <d v="2025-04-11T00:00:00"/>
        <d v="2024-12-21T00:00:00"/>
        <d v="2024-12-15T00:00:00"/>
        <d v="2025-05-16T00:00:00"/>
        <d v="2025-05-21T00:00:00"/>
        <d v="2024-11-30T00:00:00"/>
        <d v="2025-01-15T00:00:00"/>
        <d v="2025-05-18T00:00:00"/>
        <d v="2025-03-21T00:00:00"/>
        <d v="2024-12-25T00:00:00"/>
        <d v="2025-01-13T00:00:00"/>
        <d v="2025-03-01T00:00:00"/>
        <d v="2024-12-12T00:00:00"/>
        <d v="2025-03-15T00:00:00"/>
        <d v="2025-01-11T00:00:00"/>
        <d v="2025-03-23T00:00:00"/>
        <d v="2025-03-04T00:00:00"/>
      </sharedItems>
      <fieldGroup par="13"/>
    </cacheField>
    <cacheField name="Region" numFmtId="0">
      <sharedItems count="4">
        <s v="North"/>
        <s v="West"/>
        <s v="South"/>
        <s v="East"/>
      </sharedItems>
    </cacheField>
    <cacheField name="Sales_Rep" numFmtId="0">
      <sharedItems count="298">
        <s v="Cody Anderson"/>
        <s v="Jeffery Hudson"/>
        <s v="Sarah Collier"/>
        <s v="Mrs. Sarah Espinoza"/>
        <s v="Madison Bradley"/>
        <s v="Samuel Evans"/>
        <s v="Jeremy Allen"/>
        <s v="Ryan Allen"/>
        <s v="Nathan Casey"/>
        <s v="Ashley Winters"/>
        <s v="David Middleton"/>
        <s v="Larry Wilson"/>
        <s v="Jennifer Walker"/>
        <s v="Matthew Parker"/>
        <s v="Tiffany Black"/>
        <s v="Julia Mitchell"/>
        <s v="Abigail Mason"/>
        <s v="Kimberly Jacobs"/>
        <s v="Carmen Jackson"/>
        <s v="Jennifer Johnson"/>
        <s v="James Baker"/>
        <s v="Daniel Esparza"/>
        <s v="Yolanda Carrillo"/>
        <s v="Ann Graham"/>
        <s v="Robert Scott"/>
        <s v="Tyler Hunter"/>
        <s v="Tammie Cherry"/>
        <s v="Derek Wright"/>
        <s v="Raymond Robertson"/>
        <s v="Paul Young"/>
        <s v="Raven Davis"/>
        <s v="Morgan Smith"/>
        <s v="Samuel Brown"/>
        <s v="Christopher Cook"/>
        <s v="Cindy Oliver"/>
        <s v="Jessica Dodson"/>
        <s v="James Martinez"/>
        <s v="Tina Thomas"/>
        <s v="Marcus Singh"/>
        <s v="William Walsh"/>
        <s v="Zachary Adams"/>
        <s v="Ricky Gilmore"/>
        <s v="Robert West"/>
        <s v="Ryan Barnes"/>
        <s v="Melissa Wheeler"/>
        <s v="Paul Patton"/>
        <s v="Mark Lynch"/>
        <s v="Christian Wade"/>
        <s v="Sarah Jones"/>
        <s v="Daniel Porter"/>
        <s v="Aaron Bautista"/>
        <s v="Jeffrey Rogers"/>
        <s v="Danielle Kim"/>
        <s v="Victoria Rodriguez"/>
        <s v="Lauren George"/>
        <s v="Patrick Kane"/>
        <s v="Donald Hammond"/>
        <s v="Julie Shelton"/>
        <s v="Caroline Martinez"/>
        <s v="Stephanie Martinez"/>
        <s v="Ian Ryan"/>
        <s v="Stacey Johnson"/>
        <s v="Tracy Garner"/>
        <s v="David Rodriguez"/>
        <s v="Gail Owens"/>
        <s v="Heather Houston"/>
        <s v="Steven Johnson"/>
        <s v="Destiny Hernandez"/>
        <s v="Laura Mosley"/>
        <s v="Samuel Padilla Jr."/>
        <s v="Debra Williams"/>
        <s v="Lee Evans"/>
        <s v="Jacqueline Harvey"/>
        <s v="Kimberly Murphy"/>
        <s v="Shelly Carroll"/>
        <s v="Virginia Buckley"/>
        <s v="Veronica Thompson"/>
        <s v="Steven Schroeder"/>
        <s v="Joanne Collier"/>
        <s v="Michael Jones"/>
        <s v="Shirley Monroe"/>
        <s v="Daniel Weber"/>
        <s v="William Cook"/>
        <s v="Carmen Duncan"/>
        <s v="Robert Tucker"/>
        <s v="Sarah Moore"/>
        <s v="Traci Wright"/>
        <s v="Jeffrey Camacho"/>
        <s v="Danielle Matthews"/>
        <s v="Gregory Andrews"/>
        <s v="Charles Oliver"/>
        <s v="Michelle Reyes"/>
        <s v="Carolyn Dickerson"/>
        <s v="Susan Gentry"/>
        <s v="Jessica Sheppard"/>
        <s v="Jake Cummings"/>
        <s v="Jacob Smith DDS"/>
        <s v="Carlos Williams"/>
        <s v="Jamie Cline"/>
        <s v="Eric Newman"/>
        <s v="Craig Fisher DDS"/>
        <s v="Albert Simpson"/>
        <s v="Jack Brown"/>
        <s v="Paul Williams"/>
        <s v="Jeremiah Mills"/>
        <s v="Rachel Mann"/>
        <s v="Daniel Jones"/>
        <s v="Michael Pham"/>
        <s v="James Deleon"/>
        <s v="Carl Wallace"/>
        <s v="Robert Lyons"/>
        <s v="Shawn Perry"/>
        <s v="Stephen Patrick"/>
        <s v="Brett Zimmerman"/>
        <s v="David Simpson"/>
        <s v="Jennifer Deleon"/>
        <s v="Alexis Quinn"/>
        <s v="Sara Hall"/>
        <s v="Monica Ferguson"/>
        <s v="Jordan Thomas"/>
        <s v="Donna Montgomery"/>
        <s v="Michael Doyle"/>
        <s v="Elijah Guzman"/>
        <s v="Jamie Gay"/>
        <s v="David Evans"/>
        <s v="Michael Wiggins"/>
        <s v="Summer Martin"/>
        <s v="Alyssa Thomas"/>
        <s v="Nathan Harmon"/>
        <s v="Tammy Jones"/>
        <s v="Linda Jones"/>
        <s v="Nicole Zamora"/>
        <s v="Jim Gross"/>
        <s v="David Ryan"/>
        <s v="Jasmine Brown"/>
        <s v="Devin Torres"/>
        <s v="Greg Holland"/>
        <s v="Ronald Woods"/>
        <s v="Casey Wright"/>
        <s v="Michael Castro"/>
        <s v="Jonathan Pruitt"/>
        <s v="Lisa Webb"/>
        <s v="Mr. Carl Fitzpatrick"/>
        <s v="James Klein"/>
        <s v="Michael Hansen"/>
        <s v="Caroline Stone"/>
        <s v="Corey Davis"/>
        <s v="Richard Edwards Jr."/>
        <s v="Thomas Norman"/>
        <s v="Jennifer Morris"/>
        <s v="Maria Booth"/>
        <s v="Melanie Newman"/>
        <s v="Eric Nelson"/>
        <s v="James Stuart"/>
        <s v="Brandon Rich"/>
        <s v="Joshua Anderson"/>
        <s v="Taylor Moon"/>
        <s v="Lori Perez"/>
        <s v="Lisa Johnson"/>
        <s v="Edward Griffith"/>
        <s v="Jennifer Rubio"/>
        <s v="Juan Marsh"/>
        <s v="Donald Black"/>
        <s v="Anthony Simmons"/>
        <s v="Jason Montgomery"/>
        <s v="Jesse Mejia"/>
        <s v="Benjamin Davidson"/>
        <s v="Stacy Anderson"/>
        <s v="Ronald Matthews"/>
        <s v="Joshua Wilson"/>
        <s v="Dominique Wheeler"/>
        <s v="Rebecca Sims"/>
        <s v="Carlos Weiss"/>
        <s v="Sheena Gibson"/>
        <s v="Katherine Johnson"/>
        <s v="Holly Ingram"/>
        <s v="John Ryan"/>
        <s v="Sean Andrews"/>
        <s v="Brianna Young PhD"/>
        <s v="Vincent Ray"/>
        <s v="Marcus Glover"/>
        <s v="Jared Martin"/>
        <s v="Sonya Miles"/>
        <s v="Brian Bush"/>
        <s v="Stanley Hart"/>
        <s v="Mrs. Tracy Jensen MD"/>
        <s v="Ashley Blackwell"/>
        <s v="Matthew Henderson"/>
        <s v="David Browning"/>
        <s v="Jennifer Edwards"/>
        <s v="Adam Martinez"/>
        <s v="Nicole Estrada"/>
        <s v="Chad Frank"/>
        <s v="Dana Morales"/>
        <s v="Michele Garcia"/>
        <s v="Kirsten Woods"/>
        <s v="Oscar Watson"/>
        <s v="Tara Weaver"/>
        <s v="Kyle Williams"/>
        <s v="Shelley Kirk"/>
        <s v="Joshua Padilla"/>
        <s v="Thomas Lowe"/>
        <s v="Johnny Sanchez"/>
        <s v="Miguel Parks"/>
        <s v="Dwayne Burke"/>
        <s v="Mark Hale"/>
        <s v="Alexander Smith"/>
        <s v="Jamie Hodges"/>
        <s v="Garrett Morrison"/>
        <s v="Marilyn Kline DVM"/>
        <s v="Nicholas Davies"/>
        <s v="Melissa Barry"/>
        <s v="Courtney Lee"/>
        <s v="Henry Cruz"/>
        <s v="James Roberts"/>
        <s v="Janet Norris"/>
        <s v="Erin Haas"/>
        <s v="Kimberly Garza"/>
        <s v="Tiffany Francis"/>
        <s v="Laura Harrison"/>
        <s v="Kayla Cowan"/>
        <s v="Adriana Miller DDS"/>
        <s v="Ms. Sandy Stewart"/>
        <s v="Dean Parsons"/>
        <s v="Curtis Bryant"/>
        <s v="Warren Montgomery"/>
        <s v="Joshua Hood"/>
        <s v="Chad Andrade"/>
        <s v="Edward Leonard"/>
        <s v="John Murillo"/>
        <s v="Robert Little"/>
        <s v="Robert Smith"/>
        <s v="Bryan Carroll"/>
        <s v="Jose Davis"/>
        <s v="Nicholas Murphy"/>
        <s v="Justin Smith"/>
        <s v="Patricia Manning"/>
        <s v="Andrew Blanchard"/>
        <s v="Lisa Jackson"/>
        <s v="Matthew Price"/>
        <s v="Denise Knight"/>
        <s v="James Krause"/>
        <s v="Wesley Kim"/>
        <s v="Stephanie Murray"/>
        <s v="Troy West"/>
        <s v="Cynthia Cohen"/>
        <s v="Brenda Butler"/>
        <s v="Gregg Smith"/>
        <s v="Curtis Price"/>
        <s v="Carol Weaver"/>
        <s v="Timothy Carr"/>
        <s v="Evelyn Burns"/>
        <s v="Hailey Murphy"/>
        <s v="Anna Thompson"/>
        <s v="Michael Lopez"/>
        <s v="Amanda Garcia"/>
        <s v="Cody Kelly"/>
        <s v="Brian Schmidt"/>
        <s v="Jean Pitts"/>
        <s v="Jerry Johnson"/>
        <s v="David Newman"/>
        <s v="Heather Espinoza"/>
        <s v="Mrs. Jessica Martinez MD"/>
        <s v="Michael Martinez"/>
        <s v="Amanda Rodriguez"/>
        <s v="Melissa Brooks"/>
        <s v="Suzanne Webster"/>
        <s v="Craig Harper"/>
        <s v="Brandon Lee"/>
        <s v="Elizabeth Tran"/>
        <s v="Dr. Jimmy Ingram"/>
        <s v="Katie Nelson"/>
        <s v="Michael Davis"/>
        <s v="Eric Chavez"/>
        <s v="Kayla West"/>
        <s v="Kevin Walker"/>
        <s v="Brian Brown"/>
        <s v="Kenneth Young"/>
        <s v="Jennifer Clarke"/>
        <s v="Michael Smith"/>
        <s v="Samantha Hobbs"/>
        <s v="Elizabeth Nash"/>
        <s v="Darlene Ellis"/>
        <s v="John Scott"/>
        <s v="Jacob Odom"/>
        <s v="John Bruce"/>
        <s v="Jonathan Lopez"/>
        <s v="Chelsea Smith"/>
        <s v="Craig Barry"/>
        <s v="Gina Carter"/>
        <s v="David Smith"/>
        <s v="Rita Greene"/>
        <s v="Teresa Hodges"/>
        <s v="Melissa Barber"/>
        <s v="Amy Barry"/>
        <s v="Yvette Fields"/>
        <s v="Cindy Turner"/>
        <s v="Blake Rojas"/>
      </sharedItems>
    </cacheField>
    <cacheField name="Status" numFmtId="0">
      <sharedItems count="4">
        <s v="Returned"/>
        <s v="Delivered"/>
        <s v="Pending"/>
        <s v="Cancelled"/>
      </sharedItems>
    </cacheField>
    <cacheField name="Total_Amount" numFmtId="0">
      <sharedItems containsSemiMixedTypes="0" containsString="0" containsNumber="1" minValue="37.9" maxValue="18267.55"/>
    </cacheField>
    <cacheField name="Months (Order_Date)" numFmtId="0" databaseField="0">
      <fieldGroup base="6">
        <rangePr groupBy="months" startDate="2024-11-28T00:00:00" endDate="2025-05-30T00:00:00"/>
        <groupItems count="14">
          <s v="&lt;28-11-2024"/>
          <s v="Jan"/>
          <s v="Feb"/>
          <s v="Mar"/>
          <s v="Apr"/>
          <s v="May"/>
          <s v="Jun"/>
          <s v="Jul"/>
          <s v="Aug"/>
          <s v="Sep"/>
          <s v="Oct"/>
          <s v="Nov"/>
          <s v="Dec"/>
          <s v="&gt;30-05-2025"/>
        </groupItems>
      </fieldGroup>
    </cacheField>
    <cacheField name="Quarters (Order_Date)" numFmtId="0" databaseField="0">
      <fieldGroup base="6">
        <rangePr groupBy="quarters" startDate="2024-11-28T00:00:00" endDate="2025-05-30T00:00:00"/>
        <groupItems count="6">
          <s v="&lt;28-11-2024"/>
          <s v="Qtr1"/>
          <s v="Qtr2"/>
          <s v="Qtr3"/>
          <s v="Qtr4"/>
          <s v="&gt;30-05-2025"/>
        </groupItems>
      </fieldGroup>
    </cacheField>
    <cacheField name="Years (Order_Date)" numFmtId="0" databaseField="0">
      <fieldGroup base="6">
        <rangePr groupBy="years" startDate="2024-11-28T00:00:00" endDate="2025-05-30T00:00:00"/>
        <groupItems count="4">
          <s v="&lt;28-11-2024"/>
          <s v="2024"/>
          <s v="2025"/>
          <s v="&gt;30-05-2025"/>
        </groupItems>
      </fieldGroup>
    </cacheField>
  </cacheFields>
  <extLst>
    <ext xmlns:x14="http://schemas.microsoft.com/office/spreadsheetml/2009/9/main" uri="{725AE2AE-9491-48be-B2B4-4EB974FC3084}">
      <x14:pivotCacheDefinition pivotCacheId="1639169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10c2276b-b6fc-4c11-9f1d-774ae82ba2b6"/>
    <x v="0"/>
    <x v="0"/>
    <x v="0"/>
    <n v="62"/>
    <n v="54.96"/>
    <x v="0"/>
    <x v="0"/>
    <x v="0"/>
    <x v="0"/>
    <n v="3407.52"/>
  </r>
  <r>
    <s v="2868d827-422e-4257-8e62-cb2546843183"/>
    <x v="1"/>
    <x v="1"/>
    <x v="1"/>
    <n v="80"/>
    <n v="156.41"/>
    <x v="1"/>
    <x v="1"/>
    <x v="1"/>
    <x v="1"/>
    <n v="12512.8"/>
  </r>
  <r>
    <s v="4dd611fb-3c4f-4c66-90a5-68c8cd1d7088"/>
    <x v="2"/>
    <x v="2"/>
    <x v="2"/>
    <n v="55"/>
    <n v="11.36"/>
    <x v="2"/>
    <x v="1"/>
    <x v="2"/>
    <x v="2"/>
    <n v="624.79999999999995"/>
  </r>
  <r>
    <s v="e023a447-8d93-44d2-8e91-ad65bda79c2f"/>
    <x v="3"/>
    <x v="1"/>
    <x v="3"/>
    <n v="94"/>
    <n v="132.78"/>
    <x v="3"/>
    <x v="2"/>
    <x v="3"/>
    <x v="0"/>
    <n v="12481.32"/>
  </r>
  <r>
    <s v="4b27a8c2-afe6-4254-a5d1-62e4501c267d"/>
    <x v="4"/>
    <x v="3"/>
    <x v="0"/>
    <n v="88"/>
    <n v="49.39"/>
    <x v="4"/>
    <x v="1"/>
    <x v="4"/>
    <x v="0"/>
    <n v="4346.32"/>
  </r>
  <r>
    <s v="4dfab251-595b-46fd-bbc0-b5ce47eafa0c"/>
    <x v="5"/>
    <x v="4"/>
    <x v="0"/>
    <n v="96"/>
    <n v="94.49"/>
    <x v="5"/>
    <x v="1"/>
    <x v="5"/>
    <x v="3"/>
    <n v="9071.0400000000009"/>
  </r>
  <r>
    <s v="62bca224-c9e2-49bc-809e-045c4e92c430"/>
    <x v="6"/>
    <x v="3"/>
    <x v="2"/>
    <n v="83"/>
    <n v="14.76"/>
    <x v="6"/>
    <x v="0"/>
    <x v="6"/>
    <x v="2"/>
    <n v="1225.08"/>
  </r>
  <r>
    <s v="8a99ede4-9917-456d-aa12-c7f20faa583f"/>
    <x v="7"/>
    <x v="5"/>
    <x v="2"/>
    <n v="72"/>
    <n v="138.43"/>
    <x v="7"/>
    <x v="3"/>
    <x v="7"/>
    <x v="2"/>
    <n v="9966.9599999999991"/>
  </r>
  <r>
    <s v="6e5cde2c-e2da-41cd-8554-8093cbadc070"/>
    <x v="8"/>
    <x v="3"/>
    <x v="3"/>
    <n v="47"/>
    <n v="32.700000000000003"/>
    <x v="8"/>
    <x v="0"/>
    <x v="8"/>
    <x v="2"/>
    <n v="1536.9"/>
  </r>
  <r>
    <s v="2b0f765f-0aac-4194-91db-82e0db9e5dff"/>
    <x v="9"/>
    <x v="5"/>
    <x v="0"/>
    <n v="3"/>
    <n v="112.94"/>
    <x v="9"/>
    <x v="3"/>
    <x v="9"/>
    <x v="3"/>
    <n v="338.82"/>
  </r>
  <r>
    <s v="891093eb-fba6-41dc-a58f-3280aa61d66a"/>
    <x v="10"/>
    <x v="6"/>
    <x v="2"/>
    <n v="81"/>
    <n v="117.04"/>
    <x v="2"/>
    <x v="3"/>
    <x v="10"/>
    <x v="1"/>
    <n v="9480.24"/>
  </r>
  <r>
    <s v="6357564d-6ca5-4ac2-87a5-d5ef093ade1e"/>
    <x v="11"/>
    <x v="2"/>
    <x v="3"/>
    <n v="20"/>
    <n v="155.12"/>
    <x v="10"/>
    <x v="0"/>
    <x v="11"/>
    <x v="3"/>
    <n v="3102.4"/>
  </r>
  <r>
    <s v="47ab31d0-05ad-4557-acbc-758db1ec602a"/>
    <x v="12"/>
    <x v="3"/>
    <x v="1"/>
    <n v="28"/>
    <n v="76.069999999999993"/>
    <x v="11"/>
    <x v="2"/>
    <x v="12"/>
    <x v="1"/>
    <n v="2129.96"/>
  </r>
  <r>
    <s v="18bea42f-3c9d-43cc-bfb6-a7e7e1b932b4"/>
    <x v="13"/>
    <x v="0"/>
    <x v="0"/>
    <n v="77"/>
    <n v="39.869999999999997"/>
    <x v="12"/>
    <x v="3"/>
    <x v="13"/>
    <x v="0"/>
    <n v="3069.99"/>
  </r>
  <r>
    <s v="531461b3-0a86-4f75-88e8-8f5cfae77fa4"/>
    <x v="14"/>
    <x v="2"/>
    <x v="1"/>
    <n v="36"/>
    <n v="99.66"/>
    <x v="13"/>
    <x v="1"/>
    <x v="14"/>
    <x v="1"/>
    <n v="3587.76"/>
  </r>
  <r>
    <s v="90bdd7c7-0dbf-49fa-9b9e-d5c2ac162ea4"/>
    <x v="15"/>
    <x v="7"/>
    <x v="0"/>
    <n v="77"/>
    <n v="107.64"/>
    <x v="14"/>
    <x v="0"/>
    <x v="15"/>
    <x v="3"/>
    <n v="8288.2800000000007"/>
  </r>
  <r>
    <s v="c31b0338-606c-4709-94ea-36792a9dc1b3"/>
    <x v="16"/>
    <x v="2"/>
    <x v="3"/>
    <n v="69"/>
    <n v="164.77"/>
    <x v="15"/>
    <x v="0"/>
    <x v="16"/>
    <x v="2"/>
    <n v="11369.13"/>
  </r>
  <r>
    <s v="28393f29-86c6-468d-86d9-74f70ed46645"/>
    <x v="17"/>
    <x v="5"/>
    <x v="0"/>
    <n v="83"/>
    <n v="60.19"/>
    <x v="16"/>
    <x v="3"/>
    <x v="17"/>
    <x v="3"/>
    <n v="4995.7700000000004"/>
  </r>
  <r>
    <s v="36d06fcd-1aae-4c1a-8c95-13f3527b7916"/>
    <x v="18"/>
    <x v="2"/>
    <x v="2"/>
    <n v="94"/>
    <n v="40.92"/>
    <x v="17"/>
    <x v="1"/>
    <x v="18"/>
    <x v="0"/>
    <n v="3846.48"/>
  </r>
  <r>
    <s v="36440e5c-4b70-4788-85ee-ec927a9f71c8"/>
    <x v="19"/>
    <x v="0"/>
    <x v="2"/>
    <n v="5"/>
    <n v="199.57"/>
    <x v="18"/>
    <x v="0"/>
    <x v="19"/>
    <x v="0"/>
    <n v="997.85"/>
  </r>
  <r>
    <s v="b0d99d2f-4f80-458d-b895-dcf6d31b66c6"/>
    <x v="20"/>
    <x v="2"/>
    <x v="4"/>
    <n v="95"/>
    <n v="192.29"/>
    <x v="19"/>
    <x v="1"/>
    <x v="20"/>
    <x v="2"/>
    <n v="18267.55"/>
  </r>
  <r>
    <s v="bc8b6775-9308-423b-be81-d5866fc71988"/>
    <x v="21"/>
    <x v="8"/>
    <x v="4"/>
    <n v="75"/>
    <n v="156.91999999999999"/>
    <x v="7"/>
    <x v="1"/>
    <x v="21"/>
    <x v="3"/>
    <n v="11769"/>
  </r>
  <r>
    <s v="2adfe5c9-9e47-4e04-b0ac-407dceaa5e45"/>
    <x v="22"/>
    <x v="0"/>
    <x v="4"/>
    <n v="53"/>
    <n v="143.36000000000001"/>
    <x v="20"/>
    <x v="0"/>
    <x v="22"/>
    <x v="2"/>
    <n v="7598.08"/>
  </r>
  <r>
    <s v="42a9198a-ca86-48af-a46e-7f46752806fe"/>
    <x v="23"/>
    <x v="1"/>
    <x v="2"/>
    <n v="25"/>
    <n v="83.11"/>
    <x v="21"/>
    <x v="0"/>
    <x v="23"/>
    <x v="0"/>
    <n v="2077.75"/>
  </r>
  <r>
    <s v="1ae8ca4f-5a43-4fb2-bd43-1e299ed9eb3d"/>
    <x v="24"/>
    <x v="4"/>
    <x v="1"/>
    <n v="98"/>
    <n v="117.04"/>
    <x v="22"/>
    <x v="3"/>
    <x v="24"/>
    <x v="0"/>
    <n v="11469.92"/>
  </r>
  <r>
    <s v="64922014-8880-418f-9e00-def78838e087"/>
    <x v="25"/>
    <x v="7"/>
    <x v="2"/>
    <n v="9"/>
    <n v="97.43"/>
    <x v="23"/>
    <x v="0"/>
    <x v="25"/>
    <x v="2"/>
    <n v="876.87"/>
  </r>
  <r>
    <s v="a33de640-cbc2-4e59-a049-88e1dbbf0f93"/>
    <x v="26"/>
    <x v="8"/>
    <x v="0"/>
    <n v="79"/>
    <n v="81.13"/>
    <x v="24"/>
    <x v="2"/>
    <x v="26"/>
    <x v="2"/>
    <n v="6409.27"/>
  </r>
  <r>
    <s v="6e98a17d-e743-4106-b19f-36040dec8b8d"/>
    <x v="27"/>
    <x v="6"/>
    <x v="2"/>
    <n v="1"/>
    <n v="37.9"/>
    <x v="25"/>
    <x v="0"/>
    <x v="27"/>
    <x v="1"/>
    <n v="37.9"/>
  </r>
  <r>
    <s v="05866109-62c7-46c4-8496-47e6dd79150b"/>
    <x v="28"/>
    <x v="1"/>
    <x v="1"/>
    <n v="52"/>
    <n v="131.31"/>
    <x v="26"/>
    <x v="2"/>
    <x v="28"/>
    <x v="0"/>
    <n v="6828.12"/>
  </r>
  <r>
    <s v="07176983-496d-40fe-9db2-5237e0cfed9e"/>
    <x v="29"/>
    <x v="0"/>
    <x v="1"/>
    <n v="43"/>
    <n v="130.37"/>
    <x v="27"/>
    <x v="1"/>
    <x v="29"/>
    <x v="0"/>
    <n v="5605.91"/>
  </r>
  <r>
    <s v="58b1ad06-4690-493f-811e-222a9c2921a0"/>
    <x v="30"/>
    <x v="1"/>
    <x v="0"/>
    <n v="90"/>
    <n v="20.92"/>
    <x v="28"/>
    <x v="0"/>
    <x v="30"/>
    <x v="3"/>
    <n v="1882.8"/>
  </r>
  <r>
    <s v="e72b81f8-58a4-422e-a1dd-60f1f8d3d331"/>
    <x v="31"/>
    <x v="3"/>
    <x v="2"/>
    <n v="79"/>
    <n v="24.25"/>
    <x v="29"/>
    <x v="1"/>
    <x v="31"/>
    <x v="0"/>
    <n v="1915.75"/>
  </r>
  <r>
    <s v="fd595e33-d617-4fb4-b600-925d027d8993"/>
    <x v="32"/>
    <x v="8"/>
    <x v="1"/>
    <n v="75"/>
    <n v="108.54"/>
    <x v="28"/>
    <x v="3"/>
    <x v="32"/>
    <x v="3"/>
    <n v="8140.5"/>
  </r>
  <r>
    <s v="d3bf5c20-c34d-4fc0-81cf-71be5cb7f80d"/>
    <x v="33"/>
    <x v="1"/>
    <x v="3"/>
    <n v="55"/>
    <n v="58.98"/>
    <x v="30"/>
    <x v="1"/>
    <x v="33"/>
    <x v="1"/>
    <n v="3243.9"/>
  </r>
  <r>
    <s v="a7307f6c-841f-4f4c-a9f4-278b1385f4b1"/>
    <x v="34"/>
    <x v="9"/>
    <x v="3"/>
    <n v="26"/>
    <n v="113.2"/>
    <x v="31"/>
    <x v="1"/>
    <x v="34"/>
    <x v="0"/>
    <n v="2943.2"/>
  </r>
  <r>
    <s v="ad2f85d3-2391-4683-8760-4f39cf4eade1"/>
    <x v="35"/>
    <x v="4"/>
    <x v="2"/>
    <n v="2"/>
    <n v="91.91"/>
    <x v="32"/>
    <x v="3"/>
    <x v="35"/>
    <x v="2"/>
    <n v="183.82"/>
  </r>
  <r>
    <s v="7f4abe87-cef2-4338-b479-36c7d22d0955"/>
    <x v="36"/>
    <x v="9"/>
    <x v="3"/>
    <n v="29"/>
    <n v="151.72"/>
    <x v="33"/>
    <x v="2"/>
    <x v="36"/>
    <x v="0"/>
    <n v="4399.88"/>
  </r>
  <r>
    <s v="36dcb321-c26a-440e-8055-28a2a9d60075"/>
    <x v="37"/>
    <x v="6"/>
    <x v="0"/>
    <n v="53"/>
    <n v="144.34"/>
    <x v="34"/>
    <x v="3"/>
    <x v="37"/>
    <x v="0"/>
    <n v="7650.02"/>
  </r>
  <r>
    <s v="a60fcde8-0038-4e2c-bb15-5a4e209b8b26"/>
    <x v="38"/>
    <x v="0"/>
    <x v="4"/>
    <n v="13"/>
    <n v="82.61"/>
    <x v="35"/>
    <x v="0"/>
    <x v="38"/>
    <x v="3"/>
    <n v="1073.93"/>
  </r>
  <r>
    <s v="78956d16-1dc0-4ffc-8fc8-e5240512752a"/>
    <x v="39"/>
    <x v="8"/>
    <x v="4"/>
    <n v="84"/>
    <n v="25.26"/>
    <x v="17"/>
    <x v="1"/>
    <x v="39"/>
    <x v="1"/>
    <n v="2121.84"/>
  </r>
  <r>
    <s v="483ed201-50b2-4a39-8fac-e4299b8b2acc"/>
    <x v="40"/>
    <x v="9"/>
    <x v="3"/>
    <n v="2"/>
    <n v="128.83000000000001"/>
    <x v="36"/>
    <x v="2"/>
    <x v="40"/>
    <x v="2"/>
    <n v="257.66000000000003"/>
  </r>
  <r>
    <s v="f56e4949-19f4-4070-a5ef-63a384794fd5"/>
    <x v="41"/>
    <x v="9"/>
    <x v="2"/>
    <n v="66"/>
    <n v="149.41"/>
    <x v="37"/>
    <x v="3"/>
    <x v="41"/>
    <x v="2"/>
    <n v="9861.06"/>
  </r>
  <r>
    <s v="734fe76f-3584-4b49-87d5-6af1bb454d52"/>
    <x v="42"/>
    <x v="9"/>
    <x v="3"/>
    <n v="31"/>
    <n v="116.26"/>
    <x v="38"/>
    <x v="0"/>
    <x v="42"/>
    <x v="0"/>
    <n v="3604.06"/>
  </r>
  <r>
    <s v="e4366d0d-b1e2-4c1b-87dd-9591d25d2de5"/>
    <x v="43"/>
    <x v="7"/>
    <x v="4"/>
    <n v="56"/>
    <n v="28.5"/>
    <x v="39"/>
    <x v="0"/>
    <x v="43"/>
    <x v="1"/>
    <n v="1596"/>
  </r>
  <r>
    <s v="33d3f641-8d53-49da-b378-fca7fd7d48c3"/>
    <x v="44"/>
    <x v="5"/>
    <x v="2"/>
    <n v="77"/>
    <n v="107.01"/>
    <x v="40"/>
    <x v="3"/>
    <x v="44"/>
    <x v="0"/>
    <n v="8239.77"/>
  </r>
  <r>
    <s v="15ca77a2-897e-4345-bf90-7d3d18785beb"/>
    <x v="45"/>
    <x v="6"/>
    <x v="0"/>
    <n v="47"/>
    <n v="84.09"/>
    <x v="41"/>
    <x v="1"/>
    <x v="45"/>
    <x v="0"/>
    <n v="3952.23"/>
  </r>
  <r>
    <s v="a4ed8d59-e02c-4d07-9ec8-77b0105f67ea"/>
    <x v="46"/>
    <x v="8"/>
    <x v="4"/>
    <n v="41"/>
    <n v="132.53"/>
    <x v="42"/>
    <x v="1"/>
    <x v="46"/>
    <x v="1"/>
    <n v="5433.73"/>
  </r>
  <r>
    <s v="4ff52d6e-87bf-4e46-a79f-2b2888c05ef9"/>
    <x v="47"/>
    <x v="5"/>
    <x v="0"/>
    <n v="48"/>
    <n v="127.05"/>
    <x v="26"/>
    <x v="1"/>
    <x v="47"/>
    <x v="1"/>
    <n v="6098.4"/>
  </r>
  <r>
    <s v="99811195-fc16-4bd5-b39e-d33969c9f4e2"/>
    <x v="48"/>
    <x v="8"/>
    <x v="4"/>
    <n v="63"/>
    <n v="174.68"/>
    <x v="43"/>
    <x v="0"/>
    <x v="48"/>
    <x v="0"/>
    <n v="11004.84"/>
  </r>
  <r>
    <s v="c62145ea-c3a5-4397-884b-bc9c739ab19d"/>
    <x v="49"/>
    <x v="4"/>
    <x v="2"/>
    <n v="75"/>
    <n v="44.42"/>
    <x v="44"/>
    <x v="2"/>
    <x v="49"/>
    <x v="3"/>
    <n v="3331.5"/>
  </r>
  <r>
    <s v="b524bd95-85ae-4b3a-bfbf-d6c7b998e8ae"/>
    <x v="50"/>
    <x v="1"/>
    <x v="4"/>
    <n v="95"/>
    <n v="134.71"/>
    <x v="45"/>
    <x v="2"/>
    <x v="50"/>
    <x v="0"/>
    <n v="12797.45"/>
  </r>
  <r>
    <s v="2b1e4a32-70d6-41a4-af66-bf785dbbd323"/>
    <x v="51"/>
    <x v="7"/>
    <x v="4"/>
    <n v="60"/>
    <n v="77"/>
    <x v="46"/>
    <x v="0"/>
    <x v="51"/>
    <x v="1"/>
    <n v="4620"/>
  </r>
  <r>
    <s v="6b4c9c05-9649-47b5-97a8-ccf4fcab748e"/>
    <x v="52"/>
    <x v="3"/>
    <x v="3"/>
    <n v="5"/>
    <n v="24.37"/>
    <x v="47"/>
    <x v="0"/>
    <x v="52"/>
    <x v="0"/>
    <n v="121.85"/>
  </r>
  <r>
    <s v="8aef7717-b15d-4157-bf76-8ec2b0d1a59b"/>
    <x v="53"/>
    <x v="0"/>
    <x v="1"/>
    <n v="60"/>
    <n v="34.82"/>
    <x v="48"/>
    <x v="1"/>
    <x v="53"/>
    <x v="2"/>
    <n v="2089.1999999999998"/>
  </r>
  <r>
    <s v="50636a63-f4a4-439e-8224-9657ed342c7f"/>
    <x v="54"/>
    <x v="0"/>
    <x v="4"/>
    <n v="97"/>
    <n v="95.29"/>
    <x v="49"/>
    <x v="1"/>
    <x v="54"/>
    <x v="0"/>
    <n v="9243.1299999999992"/>
  </r>
  <r>
    <s v="c2c8918e-12ec-48ad-a5b5-e61b339b2245"/>
    <x v="55"/>
    <x v="5"/>
    <x v="3"/>
    <n v="20"/>
    <n v="107.18"/>
    <x v="43"/>
    <x v="2"/>
    <x v="55"/>
    <x v="1"/>
    <n v="2143.6"/>
  </r>
  <r>
    <s v="3aebf2e0-83bc-45c8-9fc1-5885ff260181"/>
    <x v="56"/>
    <x v="7"/>
    <x v="1"/>
    <n v="39"/>
    <n v="105.68"/>
    <x v="50"/>
    <x v="2"/>
    <x v="56"/>
    <x v="3"/>
    <n v="4121.5200000000004"/>
  </r>
  <r>
    <s v="164a3b90-b1a7-4097-931c-445f82ea9b13"/>
    <x v="57"/>
    <x v="3"/>
    <x v="4"/>
    <n v="95"/>
    <n v="147.1"/>
    <x v="51"/>
    <x v="2"/>
    <x v="57"/>
    <x v="0"/>
    <n v="13974.5"/>
  </r>
  <r>
    <s v="8e0ba376-6904-42c3-b79d-f877eda19feb"/>
    <x v="58"/>
    <x v="3"/>
    <x v="0"/>
    <n v="94"/>
    <n v="50.49"/>
    <x v="52"/>
    <x v="3"/>
    <x v="58"/>
    <x v="2"/>
    <n v="4746.0600000000004"/>
  </r>
  <r>
    <s v="17a80aba-5552-4e4f-97f6-8fcafaa08b7d"/>
    <x v="59"/>
    <x v="5"/>
    <x v="3"/>
    <n v="14"/>
    <n v="161.18"/>
    <x v="53"/>
    <x v="3"/>
    <x v="59"/>
    <x v="0"/>
    <n v="2256.52"/>
  </r>
  <r>
    <s v="302b91e8-8932-4f61-a275-eda1e7ef1e93"/>
    <x v="60"/>
    <x v="6"/>
    <x v="4"/>
    <n v="48"/>
    <n v="166.72"/>
    <x v="54"/>
    <x v="0"/>
    <x v="60"/>
    <x v="1"/>
    <n v="8002.56"/>
  </r>
  <r>
    <s v="0f557253-bf50-482f-a4fb-869616e70b3d"/>
    <x v="61"/>
    <x v="5"/>
    <x v="3"/>
    <n v="47"/>
    <n v="83.46"/>
    <x v="35"/>
    <x v="3"/>
    <x v="61"/>
    <x v="0"/>
    <n v="3922.62"/>
  </r>
  <r>
    <s v="7b249c1c-6916-4ba6-b17c-e2d53191f68f"/>
    <x v="62"/>
    <x v="8"/>
    <x v="0"/>
    <n v="36"/>
    <n v="98.53"/>
    <x v="18"/>
    <x v="0"/>
    <x v="62"/>
    <x v="2"/>
    <n v="3547.08"/>
  </r>
  <r>
    <s v="eb705fff-75fe-453f-b45c-f629496db3aa"/>
    <x v="63"/>
    <x v="1"/>
    <x v="2"/>
    <n v="85"/>
    <n v="192.88"/>
    <x v="54"/>
    <x v="3"/>
    <x v="63"/>
    <x v="1"/>
    <n v="16394.8"/>
  </r>
  <r>
    <s v="aa7d365a-77a4-42b3-9cbf-c2bb67aec93b"/>
    <x v="64"/>
    <x v="8"/>
    <x v="3"/>
    <n v="37"/>
    <n v="22.16"/>
    <x v="55"/>
    <x v="1"/>
    <x v="64"/>
    <x v="2"/>
    <n v="819.92"/>
  </r>
  <r>
    <s v="71caabe3-eadc-4d43-b740-7e08a033774e"/>
    <x v="65"/>
    <x v="9"/>
    <x v="2"/>
    <n v="71"/>
    <n v="84.37"/>
    <x v="56"/>
    <x v="0"/>
    <x v="65"/>
    <x v="2"/>
    <n v="5990.27"/>
  </r>
  <r>
    <s v="85c69776-b023-47d9-9635-44ec6f438d55"/>
    <x v="66"/>
    <x v="2"/>
    <x v="4"/>
    <n v="90"/>
    <n v="41.64"/>
    <x v="57"/>
    <x v="1"/>
    <x v="66"/>
    <x v="0"/>
    <n v="3747.6"/>
  </r>
  <r>
    <s v="47ee495e-3055-41bc-ac91-978dd4851370"/>
    <x v="67"/>
    <x v="7"/>
    <x v="3"/>
    <n v="8"/>
    <n v="42.01"/>
    <x v="58"/>
    <x v="2"/>
    <x v="67"/>
    <x v="1"/>
    <n v="336.08"/>
  </r>
  <r>
    <s v="01733e88-e689-4546-a65f-9d641568bf10"/>
    <x v="68"/>
    <x v="8"/>
    <x v="2"/>
    <n v="99"/>
    <n v="144.76"/>
    <x v="59"/>
    <x v="0"/>
    <x v="68"/>
    <x v="2"/>
    <n v="14331.24"/>
  </r>
  <r>
    <s v="31eb5afa-d2c7-4f17-ad6b-6ae5edafa504"/>
    <x v="69"/>
    <x v="1"/>
    <x v="0"/>
    <n v="80"/>
    <n v="97.19"/>
    <x v="60"/>
    <x v="3"/>
    <x v="69"/>
    <x v="1"/>
    <n v="7775.2"/>
  </r>
  <r>
    <s v="81f8f089-0347-4694-b19b-43d2daeca245"/>
    <x v="70"/>
    <x v="8"/>
    <x v="3"/>
    <n v="84"/>
    <n v="57.09"/>
    <x v="61"/>
    <x v="0"/>
    <x v="70"/>
    <x v="3"/>
    <n v="4795.5600000000004"/>
  </r>
  <r>
    <s v="6347fb6e-8121-46c8-bdd6-7202bbe130ea"/>
    <x v="71"/>
    <x v="0"/>
    <x v="3"/>
    <n v="21"/>
    <n v="166.57"/>
    <x v="62"/>
    <x v="2"/>
    <x v="71"/>
    <x v="3"/>
    <n v="3497.97"/>
  </r>
  <r>
    <s v="57bb231f-528a-440d-93da-4cd2d84f3e09"/>
    <x v="72"/>
    <x v="1"/>
    <x v="3"/>
    <n v="2"/>
    <n v="191.48"/>
    <x v="54"/>
    <x v="0"/>
    <x v="72"/>
    <x v="1"/>
    <n v="382.96"/>
  </r>
  <r>
    <s v="65985220-7783-430e-9070-ada79a4dd6cc"/>
    <x v="73"/>
    <x v="4"/>
    <x v="3"/>
    <n v="44"/>
    <n v="83.28"/>
    <x v="63"/>
    <x v="1"/>
    <x v="73"/>
    <x v="0"/>
    <n v="3664.32"/>
  </r>
  <r>
    <s v="556ebb72-1211-4b4f-a2b7-d30934d0374a"/>
    <x v="74"/>
    <x v="5"/>
    <x v="1"/>
    <n v="9"/>
    <n v="32.1"/>
    <x v="15"/>
    <x v="2"/>
    <x v="61"/>
    <x v="3"/>
    <n v="288.89999999999998"/>
  </r>
  <r>
    <s v="3964f1a0-1026-418e-9492-7f997634b218"/>
    <x v="75"/>
    <x v="6"/>
    <x v="1"/>
    <n v="85"/>
    <n v="141.59"/>
    <x v="64"/>
    <x v="0"/>
    <x v="74"/>
    <x v="3"/>
    <n v="12035.15"/>
  </r>
  <r>
    <s v="c090fa18-638f-4429-8a61-f6c5a1c639e1"/>
    <x v="76"/>
    <x v="6"/>
    <x v="0"/>
    <n v="64"/>
    <n v="38.28"/>
    <x v="65"/>
    <x v="1"/>
    <x v="75"/>
    <x v="2"/>
    <n v="2449.92"/>
  </r>
  <r>
    <s v="f327e3a3-89dc-4bdc-909b-c53bc759f4e7"/>
    <x v="77"/>
    <x v="2"/>
    <x v="2"/>
    <n v="23"/>
    <n v="101.57"/>
    <x v="19"/>
    <x v="2"/>
    <x v="76"/>
    <x v="0"/>
    <n v="2336.11"/>
  </r>
  <r>
    <s v="c593d4de-61cb-4d88-84f5-05082b031b2a"/>
    <x v="78"/>
    <x v="7"/>
    <x v="1"/>
    <n v="10"/>
    <n v="16.45"/>
    <x v="66"/>
    <x v="1"/>
    <x v="77"/>
    <x v="2"/>
    <n v="164.5"/>
  </r>
  <r>
    <s v="d9138edf-c972-4fb7-a129-0fc98c64b149"/>
    <x v="79"/>
    <x v="2"/>
    <x v="3"/>
    <n v="97"/>
    <n v="142.36000000000001"/>
    <x v="17"/>
    <x v="3"/>
    <x v="78"/>
    <x v="3"/>
    <n v="13808.92"/>
  </r>
  <r>
    <s v="fe7ac53d-f42d-4192-99b1-313f18595c5e"/>
    <x v="80"/>
    <x v="6"/>
    <x v="2"/>
    <n v="10"/>
    <n v="52.03"/>
    <x v="67"/>
    <x v="2"/>
    <x v="79"/>
    <x v="2"/>
    <n v="520.29999999999995"/>
  </r>
  <r>
    <s v="982d3dd5-5aa2-4b09-a84e-40df157cafe3"/>
    <x v="81"/>
    <x v="6"/>
    <x v="1"/>
    <n v="56"/>
    <n v="178.76"/>
    <x v="68"/>
    <x v="0"/>
    <x v="80"/>
    <x v="3"/>
    <n v="10010.56"/>
  </r>
  <r>
    <s v="9452dad9-2c18-4424-90a4-727728563c71"/>
    <x v="82"/>
    <x v="8"/>
    <x v="2"/>
    <n v="8"/>
    <n v="20.38"/>
    <x v="69"/>
    <x v="0"/>
    <x v="81"/>
    <x v="0"/>
    <n v="163.04"/>
  </r>
  <r>
    <s v="8a5ace4e-014c-449e-89dd-1029dfd52371"/>
    <x v="83"/>
    <x v="6"/>
    <x v="4"/>
    <n v="81"/>
    <n v="55.47"/>
    <x v="8"/>
    <x v="0"/>
    <x v="82"/>
    <x v="0"/>
    <n v="4493.07"/>
  </r>
  <r>
    <s v="3f3c8204-4e35-4786-84e2-195f1596bed4"/>
    <x v="84"/>
    <x v="2"/>
    <x v="3"/>
    <n v="73"/>
    <n v="63.35"/>
    <x v="70"/>
    <x v="1"/>
    <x v="83"/>
    <x v="0"/>
    <n v="4624.55"/>
  </r>
  <r>
    <s v="c4f95d40-ad8e-4f4d-9b48-447f3b0d79f0"/>
    <x v="85"/>
    <x v="2"/>
    <x v="2"/>
    <n v="74"/>
    <n v="153.09"/>
    <x v="71"/>
    <x v="3"/>
    <x v="84"/>
    <x v="3"/>
    <n v="11328.66"/>
  </r>
  <r>
    <s v="e71cba54-6af3-401a-949f-73a42fd6df0a"/>
    <x v="86"/>
    <x v="2"/>
    <x v="2"/>
    <n v="1"/>
    <n v="188.87"/>
    <x v="72"/>
    <x v="0"/>
    <x v="85"/>
    <x v="0"/>
    <n v="188.87"/>
  </r>
  <r>
    <s v="7f0af025-c782-445b-9e96-7832698b2df1"/>
    <x v="87"/>
    <x v="8"/>
    <x v="4"/>
    <n v="67"/>
    <n v="106.57"/>
    <x v="73"/>
    <x v="0"/>
    <x v="86"/>
    <x v="1"/>
    <n v="7140.19"/>
  </r>
  <r>
    <s v="de31ea78-efc1-4219-9698-540e112c4663"/>
    <x v="88"/>
    <x v="5"/>
    <x v="4"/>
    <n v="88"/>
    <n v="129.12"/>
    <x v="74"/>
    <x v="0"/>
    <x v="87"/>
    <x v="2"/>
    <n v="11362.56"/>
  </r>
  <r>
    <s v="d4463e16-c6ef-40c6-80d5-aac2b94317b9"/>
    <x v="89"/>
    <x v="8"/>
    <x v="0"/>
    <n v="48"/>
    <n v="114.29"/>
    <x v="75"/>
    <x v="0"/>
    <x v="88"/>
    <x v="1"/>
    <n v="5485.92"/>
  </r>
  <r>
    <s v="1b6b7fae-9a8a-4329-b72d-ca0840b4d45d"/>
    <x v="90"/>
    <x v="0"/>
    <x v="1"/>
    <n v="50"/>
    <n v="79.510000000000005"/>
    <x v="37"/>
    <x v="2"/>
    <x v="89"/>
    <x v="1"/>
    <n v="3975.5"/>
  </r>
  <r>
    <s v="aad0bd23-7cee-4b5a-a98c-3748273970e9"/>
    <x v="91"/>
    <x v="5"/>
    <x v="0"/>
    <n v="74"/>
    <n v="75.63"/>
    <x v="22"/>
    <x v="1"/>
    <x v="90"/>
    <x v="3"/>
    <n v="5596.62"/>
  </r>
  <r>
    <s v="48d785b4-b861-4479-ba68-42f5fd4c7554"/>
    <x v="92"/>
    <x v="5"/>
    <x v="4"/>
    <n v="96"/>
    <n v="10.199999999999999"/>
    <x v="76"/>
    <x v="2"/>
    <x v="91"/>
    <x v="1"/>
    <n v="979.2"/>
  </r>
  <r>
    <s v="f93250c7-85bf-4d9f-ba94-a97de1ec2117"/>
    <x v="93"/>
    <x v="7"/>
    <x v="3"/>
    <n v="26"/>
    <n v="174.5"/>
    <x v="75"/>
    <x v="0"/>
    <x v="92"/>
    <x v="1"/>
    <n v="4537"/>
  </r>
  <r>
    <s v="ebb234c3-e339-4118-98d1-8b187429699f"/>
    <x v="94"/>
    <x v="3"/>
    <x v="3"/>
    <n v="61"/>
    <n v="158.31"/>
    <x v="71"/>
    <x v="2"/>
    <x v="93"/>
    <x v="3"/>
    <n v="9656.91"/>
  </r>
  <r>
    <s v="015a0cb7-ae62-4ec2-9eec-5b9de1bc458c"/>
    <x v="95"/>
    <x v="0"/>
    <x v="3"/>
    <n v="11"/>
    <n v="84.67"/>
    <x v="77"/>
    <x v="0"/>
    <x v="94"/>
    <x v="3"/>
    <n v="931.37"/>
  </r>
  <r>
    <s v="8d3654c8-5515-40a0-b118-69a33ad3cb2c"/>
    <x v="96"/>
    <x v="5"/>
    <x v="4"/>
    <n v="27"/>
    <n v="68.84"/>
    <x v="49"/>
    <x v="3"/>
    <x v="95"/>
    <x v="2"/>
    <n v="1858.68"/>
  </r>
  <r>
    <s v="ec440f08-322f-4a61-a62f-0066571d8ae0"/>
    <x v="97"/>
    <x v="8"/>
    <x v="4"/>
    <n v="37"/>
    <n v="38.31"/>
    <x v="78"/>
    <x v="2"/>
    <x v="96"/>
    <x v="0"/>
    <n v="1417.47"/>
  </r>
  <r>
    <s v="c84d6b35-14de-4b78-a475-a2001e515b8c"/>
    <x v="98"/>
    <x v="9"/>
    <x v="3"/>
    <n v="77"/>
    <n v="131.47"/>
    <x v="79"/>
    <x v="0"/>
    <x v="97"/>
    <x v="0"/>
    <n v="10123.19"/>
  </r>
  <r>
    <s v="20973e49-83ab-4bf1-942d-a4249577099b"/>
    <x v="99"/>
    <x v="4"/>
    <x v="3"/>
    <n v="64"/>
    <n v="182.84"/>
    <x v="80"/>
    <x v="0"/>
    <x v="98"/>
    <x v="1"/>
    <n v="11701.76"/>
  </r>
  <r>
    <s v="0e9bf042-74f0-4ddb-b41e-20cf27b0b67d"/>
    <x v="100"/>
    <x v="7"/>
    <x v="4"/>
    <n v="4"/>
    <n v="197.91"/>
    <x v="3"/>
    <x v="2"/>
    <x v="99"/>
    <x v="3"/>
    <n v="791.64"/>
  </r>
  <r>
    <s v="8a204236-7353-4f1d-888f-633e44dd3cc7"/>
    <x v="101"/>
    <x v="5"/>
    <x v="3"/>
    <n v="74"/>
    <n v="169.26"/>
    <x v="81"/>
    <x v="3"/>
    <x v="100"/>
    <x v="3"/>
    <n v="12525.24"/>
  </r>
  <r>
    <s v="02143cbb-0c58-47eb-90bb-a6f69e72d76d"/>
    <x v="102"/>
    <x v="9"/>
    <x v="3"/>
    <n v="24"/>
    <n v="137.28"/>
    <x v="82"/>
    <x v="0"/>
    <x v="101"/>
    <x v="0"/>
    <n v="3294.72"/>
  </r>
  <r>
    <s v="15f85245-156e-4787-99e7-9ed7c2d3d6c9"/>
    <x v="103"/>
    <x v="3"/>
    <x v="3"/>
    <n v="27"/>
    <n v="89.28"/>
    <x v="83"/>
    <x v="2"/>
    <x v="102"/>
    <x v="3"/>
    <n v="2410.56"/>
  </r>
  <r>
    <s v="90f19885-24df-4794-97eb-7080d870c3f5"/>
    <x v="104"/>
    <x v="9"/>
    <x v="3"/>
    <n v="88"/>
    <n v="138.26"/>
    <x v="84"/>
    <x v="0"/>
    <x v="103"/>
    <x v="3"/>
    <n v="12166.88"/>
  </r>
  <r>
    <s v="be190f93-980c-47eb-988d-fa06b24d2f83"/>
    <x v="105"/>
    <x v="0"/>
    <x v="4"/>
    <n v="23"/>
    <n v="153.46"/>
    <x v="85"/>
    <x v="1"/>
    <x v="104"/>
    <x v="1"/>
    <n v="3529.58"/>
  </r>
  <r>
    <s v="82efa489-72ca-4f37-b973-053dd31b6bcf"/>
    <x v="106"/>
    <x v="4"/>
    <x v="1"/>
    <n v="5"/>
    <n v="86.33"/>
    <x v="86"/>
    <x v="3"/>
    <x v="105"/>
    <x v="3"/>
    <n v="431.65"/>
  </r>
  <r>
    <s v="141e709e-8f78-4c20-aa6b-0f22c359253e"/>
    <x v="107"/>
    <x v="6"/>
    <x v="4"/>
    <n v="28"/>
    <n v="199.47"/>
    <x v="86"/>
    <x v="2"/>
    <x v="106"/>
    <x v="1"/>
    <n v="5585.16"/>
  </r>
  <r>
    <s v="b6abb67d-b958-4d43-af7d-cac0cf204019"/>
    <x v="108"/>
    <x v="2"/>
    <x v="3"/>
    <n v="43"/>
    <n v="23.27"/>
    <x v="87"/>
    <x v="2"/>
    <x v="107"/>
    <x v="2"/>
    <n v="1000.61"/>
  </r>
  <r>
    <s v="6a0bc01a-1bf0-4f8f-bc18-15c59c143887"/>
    <x v="109"/>
    <x v="9"/>
    <x v="0"/>
    <n v="42"/>
    <n v="195.09"/>
    <x v="88"/>
    <x v="0"/>
    <x v="108"/>
    <x v="1"/>
    <n v="8193.7800000000007"/>
  </r>
  <r>
    <s v="b6a0c82a-9a58-4d44-b72e-f1a4745d22b3"/>
    <x v="110"/>
    <x v="5"/>
    <x v="4"/>
    <n v="3"/>
    <n v="69.17"/>
    <x v="52"/>
    <x v="1"/>
    <x v="109"/>
    <x v="2"/>
    <n v="207.51"/>
  </r>
  <r>
    <s v="5589a92d-0b83-417c-bb01-373351b2a0ff"/>
    <x v="111"/>
    <x v="7"/>
    <x v="3"/>
    <n v="96"/>
    <n v="51.61"/>
    <x v="87"/>
    <x v="3"/>
    <x v="110"/>
    <x v="1"/>
    <n v="4954.5600000000004"/>
  </r>
  <r>
    <s v="51cb8dee-118e-4618-96ab-b1469f5d1b1e"/>
    <x v="112"/>
    <x v="7"/>
    <x v="4"/>
    <n v="26"/>
    <n v="61.44"/>
    <x v="89"/>
    <x v="3"/>
    <x v="111"/>
    <x v="3"/>
    <n v="1597.44"/>
  </r>
  <r>
    <s v="e74cf1c6-3644-4924-ad86-e04d103e0dec"/>
    <x v="113"/>
    <x v="1"/>
    <x v="1"/>
    <n v="47"/>
    <n v="46.33"/>
    <x v="90"/>
    <x v="3"/>
    <x v="112"/>
    <x v="2"/>
    <n v="2177.5100000000002"/>
  </r>
  <r>
    <s v="28514076-ed9d-4676-80bf-c75f3a11a0be"/>
    <x v="114"/>
    <x v="7"/>
    <x v="1"/>
    <n v="23"/>
    <n v="136.19999999999999"/>
    <x v="32"/>
    <x v="2"/>
    <x v="113"/>
    <x v="1"/>
    <n v="3132.6"/>
  </r>
  <r>
    <s v="a71b4082-7db6-4506-a4b2-56a65cb78f38"/>
    <x v="115"/>
    <x v="4"/>
    <x v="3"/>
    <n v="52"/>
    <n v="58.56"/>
    <x v="91"/>
    <x v="1"/>
    <x v="114"/>
    <x v="0"/>
    <n v="3045.12"/>
  </r>
  <r>
    <s v="a7956baf-fab4-4435-95a1-309dc8a18fee"/>
    <x v="116"/>
    <x v="1"/>
    <x v="4"/>
    <n v="26"/>
    <n v="115.82"/>
    <x v="89"/>
    <x v="2"/>
    <x v="115"/>
    <x v="2"/>
    <n v="3011.32"/>
  </r>
  <r>
    <s v="fbf2d973-d857-4b61-bcd0-e15ea15cadbd"/>
    <x v="117"/>
    <x v="8"/>
    <x v="2"/>
    <n v="29"/>
    <n v="94.47"/>
    <x v="92"/>
    <x v="3"/>
    <x v="116"/>
    <x v="0"/>
    <n v="2739.63"/>
  </r>
  <r>
    <s v="7622c231-c057-4118-abc2-74f880237946"/>
    <x v="118"/>
    <x v="2"/>
    <x v="1"/>
    <n v="77"/>
    <n v="149.77000000000001"/>
    <x v="48"/>
    <x v="1"/>
    <x v="117"/>
    <x v="3"/>
    <n v="11532.29"/>
  </r>
  <r>
    <s v="cf114320-34c5-484d-996e-aa78d023d24d"/>
    <x v="119"/>
    <x v="9"/>
    <x v="4"/>
    <n v="40"/>
    <n v="54.91"/>
    <x v="19"/>
    <x v="2"/>
    <x v="118"/>
    <x v="3"/>
    <n v="2196.4"/>
  </r>
  <r>
    <s v="f4ba933d-3cee-49c6-8429-0a3b52f36a53"/>
    <x v="120"/>
    <x v="1"/>
    <x v="1"/>
    <n v="7"/>
    <n v="31.46"/>
    <x v="93"/>
    <x v="2"/>
    <x v="119"/>
    <x v="0"/>
    <n v="220.22"/>
  </r>
  <r>
    <s v="8800d6d6-1114-46fd-84d2-8ac59c6cead2"/>
    <x v="121"/>
    <x v="5"/>
    <x v="4"/>
    <n v="82"/>
    <n v="46.71"/>
    <x v="94"/>
    <x v="1"/>
    <x v="120"/>
    <x v="3"/>
    <n v="3830.22"/>
  </r>
  <r>
    <s v="c285e45e-f384-4941-a411-b81359fba067"/>
    <x v="122"/>
    <x v="1"/>
    <x v="0"/>
    <n v="4"/>
    <n v="136.74"/>
    <x v="90"/>
    <x v="3"/>
    <x v="121"/>
    <x v="0"/>
    <n v="546.96"/>
  </r>
  <r>
    <s v="f5580a6c-0f00-451f-bb31-484e8c126ddd"/>
    <x v="123"/>
    <x v="2"/>
    <x v="3"/>
    <n v="3"/>
    <n v="136.76"/>
    <x v="95"/>
    <x v="1"/>
    <x v="122"/>
    <x v="3"/>
    <n v="410.28"/>
  </r>
  <r>
    <s v="d6dca180-2060-41de-8301-3ac6070bccc6"/>
    <x v="124"/>
    <x v="6"/>
    <x v="4"/>
    <n v="37"/>
    <n v="190.33"/>
    <x v="96"/>
    <x v="3"/>
    <x v="123"/>
    <x v="1"/>
    <n v="7042.21"/>
  </r>
  <r>
    <s v="c3aa0c15-bdae-41b2-ad81-82ca30fd74ba"/>
    <x v="125"/>
    <x v="0"/>
    <x v="4"/>
    <n v="13"/>
    <n v="97.4"/>
    <x v="48"/>
    <x v="3"/>
    <x v="124"/>
    <x v="1"/>
    <n v="1266.2"/>
  </r>
  <r>
    <s v="d0e7b46d-7111-4c8e-b64b-0c90ff91a882"/>
    <x v="126"/>
    <x v="2"/>
    <x v="2"/>
    <n v="33"/>
    <n v="133.57"/>
    <x v="97"/>
    <x v="2"/>
    <x v="125"/>
    <x v="3"/>
    <n v="4407.8100000000004"/>
  </r>
  <r>
    <s v="5c0775cb-27a1-471a-82c4-3ba8e7fef4b6"/>
    <x v="127"/>
    <x v="5"/>
    <x v="4"/>
    <n v="46"/>
    <n v="153.91999999999999"/>
    <x v="30"/>
    <x v="0"/>
    <x v="126"/>
    <x v="0"/>
    <n v="7080.32"/>
  </r>
  <r>
    <s v="65055177-7192-4d38-bd24-166f3facba4f"/>
    <x v="128"/>
    <x v="8"/>
    <x v="2"/>
    <n v="74"/>
    <n v="24.16"/>
    <x v="98"/>
    <x v="0"/>
    <x v="127"/>
    <x v="2"/>
    <n v="1787.84"/>
  </r>
  <r>
    <s v="01facff5-ef15-4902-8284-2736dd4773bc"/>
    <x v="129"/>
    <x v="8"/>
    <x v="1"/>
    <n v="49"/>
    <n v="37.06"/>
    <x v="61"/>
    <x v="1"/>
    <x v="128"/>
    <x v="1"/>
    <n v="1815.94"/>
  </r>
  <r>
    <s v="5876c3f2-b96b-46f7-9009-fe551b4d3791"/>
    <x v="130"/>
    <x v="9"/>
    <x v="0"/>
    <n v="27"/>
    <n v="10.45"/>
    <x v="76"/>
    <x v="0"/>
    <x v="129"/>
    <x v="3"/>
    <n v="282.14999999999998"/>
  </r>
  <r>
    <s v="4f41083f-6ea5-4298-9735-337e0a38958d"/>
    <x v="131"/>
    <x v="7"/>
    <x v="1"/>
    <n v="85"/>
    <n v="36.72"/>
    <x v="17"/>
    <x v="0"/>
    <x v="130"/>
    <x v="1"/>
    <n v="3121.2"/>
  </r>
  <r>
    <s v="21d3c03f-c927-4c82-a641-3896152ee78a"/>
    <x v="132"/>
    <x v="6"/>
    <x v="3"/>
    <n v="94"/>
    <n v="48.89"/>
    <x v="99"/>
    <x v="3"/>
    <x v="131"/>
    <x v="3"/>
    <n v="4595.66"/>
  </r>
  <r>
    <s v="85fedc7d-10f5-485e-98fc-b51d087f1e53"/>
    <x v="133"/>
    <x v="3"/>
    <x v="4"/>
    <n v="23"/>
    <n v="134.38"/>
    <x v="100"/>
    <x v="1"/>
    <x v="132"/>
    <x v="1"/>
    <n v="3090.74"/>
  </r>
  <r>
    <s v="4d51d8aa-b458-4b69-824e-626f3bc34e97"/>
    <x v="134"/>
    <x v="0"/>
    <x v="1"/>
    <n v="52"/>
    <n v="193.81"/>
    <x v="25"/>
    <x v="0"/>
    <x v="133"/>
    <x v="0"/>
    <n v="10078.120000000001"/>
  </r>
  <r>
    <s v="55897b4d-36f2-4168-bb38-845b9b1f9fc3"/>
    <x v="135"/>
    <x v="4"/>
    <x v="0"/>
    <n v="93"/>
    <n v="62.82"/>
    <x v="66"/>
    <x v="0"/>
    <x v="134"/>
    <x v="3"/>
    <n v="5842.26"/>
  </r>
  <r>
    <s v="55bcd40d-0caa-436d-b1ca-9ce52ac683a4"/>
    <x v="136"/>
    <x v="4"/>
    <x v="2"/>
    <n v="5"/>
    <n v="29.18"/>
    <x v="75"/>
    <x v="3"/>
    <x v="135"/>
    <x v="3"/>
    <n v="145.9"/>
  </r>
  <r>
    <s v="665c4fe2-523e-4bb7-a23c-c6d8a553fcd9"/>
    <x v="137"/>
    <x v="4"/>
    <x v="4"/>
    <n v="84"/>
    <n v="174.39"/>
    <x v="29"/>
    <x v="2"/>
    <x v="136"/>
    <x v="2"/>
    <n v="14648.76"/>
  </r>
  <r>
    <s v="904d39cd-13ec-4986-858c-81467012e011"/>
    <x v="138"/>
    <x v="4"/>
    <x v="2"/>
    <n v="6"/>
    <n v="63.66"/>
    <x v="43"/>
    <x v="1"/>
    <x v="137"/>
    <x v="3"/>
    <n v="381.96"/>
  </r>
  <r>
    <s v="cd089d37-bcf0-45a3-9870-323c1ffefeda"/>
    <x v="139"/>
    <x v="1"/>
    <x v="0"/>
    <n v="58"/>
    <n v="43.2"/>
    <x v="83"/>
    <x v="0"/>
    <x v="138"/>
    <x v="3"/>
    <n v="2505.6"/>
  </r>
  <r>
    <s v="db8ca6fe-819b-4b0f-9f65-afaa29656a5f"/>
    <x v="140"/>
    <x v="8"/>
    <x v="3"/>
    <n v="31"/>
    <n v="36.29"/>
    <x v="101"/>
    <x v="0"/>
    <x v="139"/>
    <x v="3"/>
    <n v="1124.99"/>
  </r>
  <r>
    <s v="f08adacb-448c-4044-a439-a083b8161684"/>
    <x v="141"/>
    <x v="9"/>
    <x v="3"/>
    <n v="29"/>
    <n v="192.48"/>
    <x v="8"/>
    <x v="0"/>
    <x v="140"/>
    <x v="3"/>
    <n v="5581.92"/>
  </r>
  <r>
    <s v="43f0d8c7-e1cd-4ec1-934b-ab29ed9ba4bc"/>
    <x v="142"/>
    <x v="6"/>
    <x v="0"/>
    <n v="16"/>
    <n v="167.31"/>
    <x v="102"/>
    <x v="0"/>
    <x v="141"/>
    <x v="0"/>
    <n v="2676.96"/>
  </r>
  <r>
    <s v="ed1c3479-465e-48b8-a64b-5237f35b5272"/>
    <x v="143"/>
    <x v="4"/>
    <x v="4"/>
    <n v="47"/>
    <n v="189.99"/>
    <x v="93"/>
    <x v="2"/>
    <x v="142"/>
    <x v="2"/>
    <n v="8929.5300000000007"/>
  </r>
  <r>
    <s v="a36862e5-9d74-4ba4-8769-ccd6202f1534"/>
    <x v="144"/>
    <x v="8"/>
    <x v="2"/>
    <n v="76"/>
    <n v="185.66"/>
    <x v="28"/>
    <x v="0"/>
    <x v="143"/>
    <x v="1"/>
    <n v="14110.16"/>
  </r>
  <r>
    <s v="e18a27ea-24a6-4b7d-8478-0b768ec8ccea"/>
    <x v="145"/>
    <x v="8"/>
    <x v="1"/>
    <n v="20"/>
    <n v="198.75"/>
    <x v="0"/>
    <x v="0"/>
    <x v="144"/>
    <x v="0"/>
    <n v="3975"/>
  </r>
  <r>
    <s v="8e906644-a989-4279-b78a-a64ec0fec9d1"/>
    <x v="146"/>
    <x v="6"/>
    <x v="2"/>
    <n v="55"/>
    <n v="92.51"/>
    <x v="89"/>
    <x v="2"/>
    <x v="145"/>
    <x v="1"/>
    <n v="5088.05"/>
  </r>
  <r>
    <s v="2f7a52ed-450e-49b9-b171-566c67b281ac"/>
    <x v="147"/>
    <x v="4"/>
    <x v="0"/>
    <n v="96"/>
    <n v="18.100000000000001"/>
    <x v="15"/>
    <x v="0"/>
    <x v="146"/>
    <x v="3"/>
    <n v="1737.6"/>
  </r>
  <r>
    <s v="98e9d944-3de7-4294-baa5-7a48088b139c"/>
    <x v="148"/>
    <x v="7"/>
    <x v="2"/>
    <n v="76"/>
    <n v="13.85"/>
    <x v="41"/>
    <x v="1"/>
    <x v="147"/>
    <x v="1"/>
    <n v="1052.5999999999999"/>
  </r>
  <r>
    <s v="b3a47bcb-8045-4cb3-893b-7bf46a3285a5"/>
    <x v="149"/>
    <x v="6"/>
    <x v="0"/>
    <n v="75"/>
    <n v="140.44"/>
    <x v="100"/>
    <x v="1"/>
    <x v="148"/>
    <x v="0"/>
    <n v="10533"/>
  </r>
  <r>
    <s v="c15fbbda-a83a-4bcb-8832-2e6a0d677d0c"/>
    <x v="150"/>
    <x v="6"/>
    <x v="0"/>
    <n v="25"/>
    <n v="23.39"/>
    <x v="103"/>
    <x v="1"/>
    <x v="149"/>
    <x v="1"/>
    <n v="584.75"/>
  </r>
  <r>
    <s v="3411e36c-8926-49eb-ae79-4829e67bae7b"/>
    <x v="151"/>
    <x v="0"/>
    <x v="0"/>
    <n v="6"/>
    <n v="179.41"/>
    <x v="104"/>
    <x v="3"/>
    <x v="150"/>
    <x v="0"/>
    <n v="1076.46"/>
  </r>
  <r>
    <s v="ab2ec891-e3a6-4839-8ebc-8b0f9892bab4"/>
    <x v="152"/>
    <x v="7"/>
    <x v="1"/>
    <n v="30"/>
    <n v="132.97999999999999"/>
    <x v="105"/>
    <x v="3"/>
    <x v="151"/>
    <x v="2"/>
    <n v="3989.4"/>
  </r>
  <r>
    <s v="0bc1f90c-41de-483f-8d35-6ead23fc375a"/>
    <x v="153"/>
    <x v="3"/>
    <x v="0"/>
    <n v="52"/>
    <n v="117.26"/>
    <x v="56"/>
    <x v="3"/>
    <x v="152"/>
    <x v="2"/>
    <n v="6097.52"/>
  </r>
  <r>
    <s v="ce44c837-6c81-4fb7-991f-5402e0950b6c"/>
    <x v="154"/>
    <x v="8"/>
    <x v="1"/>
    <n v="56"/>
    <n v="128.68"/>
    <x v="39"/>
    <x v="3"/>
    <x v="153"/>
    <x v="0"/>
    <n v="7206.08"/>
  </r>
  <r>
    <s v="b1fde1e7-1d6a-4a31-9d2a-380eb2b02e00"/>
    <x v="155"/>
    <x v="4"/>
    <x v="0"/>
    <n v="60"/>
    <n v="113.63"/>
    <x v="106"/>
    <x v="3"/>
    <x v="154"/>
    <x v="1"/>
    <n v="6817.8"/>
  </r>
  <r>
    <s v="8bba85ee-9b2a-45cb-aa9c-c0ebd7920dcd"/>
    <x v="156"/>
    <x v="7"/>
    <x v="2"/>
    <n v="30"/>
    <n v="117.52"/>
    <x v="104"/>
    <x v="0"/>
    <x v="155"/>
    <x v="2"/>
    <n v="3525.6"/>
  </r>
  <r>
    <s v="8c2afedd-db82-415a-add5-f2b585b86db8"/>
    <x v="157"/>
    <x v="4"/>
    <x v="2"/>
    <n v="89"/>
    <n v="110.84"/>
    <x v="85"/>
    <x v="0"/>
    <x v="156"/>
    <x v="3"/>
    <n v="9864.76"/>
  </r>
  <r>
    <s v="e3484000-ac3a-4b77-8ed1-dc87f8700478"/>
    <x v="158"/>
    <x v="9"/>
    <x v="1"/>
    <n v="37"/>
    <n v="126.85"/>
    <x v="107"/>
    <x v="0"/>
    <x v="157"/>
    <x v="2"/>
    <n v="4693.45"/>
  </r>
  <r>
    <s v="ea99d966-f8f6-4de4-84db-4ed9566e8d2a"/>
    <x v="159"/>
    <x v="5"/>
    <x v="3"/>
    <n v="50"/>
    <n v="69.63"/>
    <x v="53"/>
    <x v="3"/>
    <x v="158"/>
    <x v="2"/>
    <n v="3481.5"/>
  </r>
  <r>
    <s v="b2dd046c-7b91-441a-ad16-640f60b6bc02"/>
    <x v="160"/>
    <x v="4"/>
    <x v="3"/>
    <n v="14"/>
    <n v="65.11"/>
    <x v="55"/>
    <x v="2"/>
    <x v="159"/>
    <x v="1"/>
    <n v="911.54"/>
  </r>
  <r>
    <s v="0b16da56-cbf5-4713-a53d-62307c6c7a7e"/>
    <x v="161"/>
    <x v="2"/>
    <x v="2"/>
    <n v="95"/>
    <n v="190.46"/>
    <x v="22"/>
    <x v="0"/>
    <x v="160"/>
    <x v="3"/>
    <n v="18093.7"/>
  </r>
  <r>
    <s v="c5e6c393-a89a-42ff-b5c9-5531e4812eb1"/>
    <x v="162"/>
    <x v="5"/>
    <x v="4"/>
    <n v="5"/>
    <n v="108.53"/>
    <x v="108"/>
    <x v="2"/>
    <x v="161"/>
    <x v="3"/>
    <n v="542.65"/>
  </r>
  <r>
    <s v="68dbf253-4246-46cb-92c9-36a3a31acdd5"/>
    <x v="163"/>
    <x v="2"/>
    <x v="0"/>
    <n v="54"/>
    <n v="39.94"/>
    <x v="66"/>
    <x v="3"/>
    <x v="162"/>
    <x v="2"/>
    <n v="2156.7600000000002"/>
  </r>
  <r>
    <s v="25e6de6d-ebf3-4431-ae44-695bc19014bf"/>
    <x v="164"/>
    <x v="1"/>
    <x v="2"/>
    <n v="90"/>
    <n v="102.81"/>
    <x v="105"/>
    <x v="0"/>
    <x v="163"/>
    <x v="2"/>
    <n v="9252.9"/>
  </r>
  <r>
    <s v="20fd000d-e883-4ab9-b0d4-d636814d1f87"/>
    <x v="165"/>
    <x v="0"/>
    <x v="0"/>
    <n v="39"/>
    <n v="77.39"/>
    <x v="64"/>
    <x v="2"/>
    <x v="164"/>
    <x v="0"/>
    <n v="3018.21"/>
  </r>
  <r>
    <s v="d1e9a4bf-93ca-4f7d-8c94-288c84a20393"/>
    <x v="166"/>
    <x v="3"/>
    <x v="0"/>
    <n v="32"/>
    <n v="55.68"/>
    <x v="95"/>
    <x v="3"/>
    <x v="165"/>
    <x v="1"/>
    <n v="1781.76"/>
  </r>
  <r>
    <s v="3fd57c47-ee32-480b-807a-7bf9c1852f8d"/>
    <x v="167"/>
    <x v="8"/>
    <x v="3"/>
    <n v="36"/>
    <n v="90.72"/>
    <x v="109"/>
    <x v="2"/>
    <x v="166"/>
    <x v="0"/>
    <n v="3265.92"/>
  </r>
  <r>
    <s v="b3ffa1db-7990-4eb6-8758-4d54273d07ed"/>
    <x v="168"/>
    <x v="2"/>
    <x v="1"/>
    <n v="48"/>
    <n v="18.399999999999999"/>
    <x v="46"/>
    <x v="1"/>
    <x v="167"/>
    <x v="1"/>
    <n v="883.2"/>
  </r>
  <r>
    <s v="cfc8ffdf-9234-4c11-a43d-3088b20d19a3"/>
    <x v="169"/>
    <x v="2"/>
    <x v="2"/>
    <n v="48"/>
    <n v="71.790000000000006"/>
    <x v="110"/>
    <x v="2"/>
    <x v="168"/>
    <x v="1"/>
    <n v="3445.92"/>
  </r>
  <r>
    <s v="1bbae244-799b-4148-9780-4abf7299f0b9"/>
    <x v="170"/>
    <x v="2"/>
    <x v="1"/>
    <n v="96"/>
    <n v="148.22999999999999"/>
    <x v="111"/>
    <x v="3"/>
    <x v="169"/>
    <x v="0"/>
    <n v="14230.08"/>
  </r>
  <r>
    <s v="8759cc00-f890-40fb-9962-7e0a6646037a"/>
    <x v="171"/>
    <x v="6"/>
    <x v="2"/>
    <n v="83"/>
    <n v="57.97"/>
    <x v="23"/>
    <x v="2"/>
    <x v="170"/>
    <x v="1"/>
    <n v="4811.51"/>
  </r>
  <r>
    <s v="fae7cd87-c9f4-4a0f-b5ce-c4111617136e"/>
    <x v="172"/>
    <x v="9"/>
    <x v="1"/>
    <n v="40"/>
    <n v="140.9"/>
    <x v="78"/>
    <x v="2"/>
    <x v="171"/>
    <x v="1"/>
    <n v="5636"/>
  </r>
  <r>
    <s v="8c5ca570-2347-4c81-a5fd-103072cde3a6"/>
    <x v="173"/>
    <x v="8"/>
    <x v="4"/>
    <n v="74"/>
    <n v="183.79"/>
    <x v="112"/>
    <x v="1"/>
    <x v="172"/>
    <x v="1"/>
    <n v="13600.46"/>
  </r>
  <r>
    <s v="8cafb412-619e-4294-bf11-b6e1bf788116"/>
    <x v="174"/>
    <x v="4"/>
    <x v="3"/>
    <n v="95"/>
    <n v="105"/>
    <x v="104"/>
    <x v="2"/>
    <x v="173"/>
    <x v="2"/>
    <n v="9975"/>
  </r>
  <r>
    <s v="ad366408-bbb6-44bb-b565-4eb7d0af4497"/>
    <x v="175"/>
    <x v="9"/>
    <x v="4"/>
    <n v="93"/>
    <n v="172.14"/>
    <x v="35"/>
    <x v="3"/>
    <x v="174"/>
    <x v="0"/>
    <n v="16009.02"/>
  </r>
  <r>
    <s v="3984cdf2-e849-463a-ac83-f963c8785394"/>
    <x v="176"/>
    <x v="4"/>
    <x v="3"/>
    <n v="90"/>
    <n v="88.8"/>
    <x v="37"/>
    <x v="2"/>
    <x v="175"/>
    <x v="2"/>
    <n v="7992"/>
  </r>
  <r>
    <s v="655d6ee0-f730-4234-b85e-2fd61685174a"/>
    <x v="177"/>
    <x v="4"/>
    <x v="2"/>
    <n v="36"/>
    <n v="136.68"/>
    <x v="6"/>
    <x v="2"/>
    <x v="176"/>
    <x v="3"/>
    <n v="4920.4799999999996"/>
  </r>
  <r>
    <s v="d250e257-fa90-404d-b8b8-2d1cd8444302"/>
    <x v="178"/>
    <x v="3"/>
    <x v="2"/>
    <n v="25"/>
    <n v="114.05"/>
    <x v="25"/>
    <x v="2"/>
    <x v="177"/>
    <x v="2"/>
    <n v="2851.25"/>
  </r>
  <r>
    <s v="95248d15-fc4c-4235-a39b-14889aab91d3"/>
    <x v="179"/>
    <x v="1"/>
    <x v="4"/>
    <n v="89"/>
    <n v="83.26"/>
    <x v="92"/>
    <x v="2"/>
    <x v="178"/>
    <x v="0"/>
    <n v="7410.14"/>
  </r>
  <r>
    <s v="440fbd03-6333-44cc-8ddb-39b8b00c967d"/>
    <x v="180"/>
    <x v="0"/>
    <x v="4"/>
    <n v="2"/>
    <n v="61.45"/>
    <x v="87"/>
    <x v="0"/>
    <x v="179"/>
    <x v="1"/>
    <n v="122.9"/>
  </r>
  <r>
    <s v="463a7dfc-f58c-4c85-8f51-8205996e3526"/>
    <x v="181"/>
    <x v="9"/>
    <x v="0"/>
    <n v="5"/>
    <n v="44.87"/>
    <x v="113"/>
    <x v="3"/>
    <x v="180"/>
    <x v="1"/>
    <n v="224.35"/>
  </r>
  <r>
    <s v="cdaf08bf-aff0-44cd-8edd-337a0d76b307"/>
    <x v="182"/>
    <x v="3"/>
    <x v="0"/>
    <n v="98"/>
    <n v="42.15"/>
    <x v="74"/>
    <x v="3"/>
    <x v="181"/>
    <x v="2"/>
    <n v="4130.7"/>
  </r>
  <r>
    <s v="595f7f74-cb72-4e6c-a7e0-9d90c65e8d64"/>
    <x v="183"/>
    <x v="1"/>
    <x v="3"/>
    <n v="15"/>
    <n v="12.49"/>
    <x v="114"/>
    <x v="1"/>
    <x v="182"/>
    <x v="0"/>
    <n v="187.35"/>
  </r>
  <r>
    <s v="07cdc288-c85c-48e9-a0fa-89ffc17708e5"/>
    <x v="184"/>
    <x v="3"/>
    <x v="4"/>
    <n v="29"/>
    <n v="111.39"/>
    <x v="101"/>
    <x v="3"/>
    <x v="183"/>
    <x v="1"/>
    <n v="3230.31"/>
  </r>
  <r>
    <s v="fcbc055e-48c2-4aec-a0b2-4c2bf8aebc29"/>
    <x v="185"/>
    <x v="9"/>
    <x v="4"/>
    <n v="62"/>
    <n v="36.86"/>
    <x v="115"/>
    <x v="0"/>
    <x v="184"/>
    <x v="1"/>
    <n v="2285.3200000000002"/>
  </r>
  <r>
    <s v="30187fcf-bf5f-4000-bab4-91aede0df52b"/>
    <x v="186"/>
    <x v="5"/>
    <x v="3"/>
    <n v="44"/>
    <n v="118.54"/>
    <x v="116"/>
    <x v="3"/>
    <x v="185"/>
    <x v="1"/>
    <n v="5215.76"/>
  </r>
  <r>
    <s v="78250c8c-9c92-471b-a0d7-5e12c213b259"/>
    <x v="187"/>
    <x v="3"/>
    <x v="1"/>
    <n v="73"/>
    <n v="156.4"/>
    <x v="100"/>
    <x v="2"/>
    <x v="186"/>
    <x v="3"/>
    <n v="11417.2"/>
  </r>
  <r>
    <s v="bf50a7cc-95e4-4764-8d18-c32fe4a5f87d"/>
    <x v="188"/>
    <x v="2"/>
    <x v="0"/>
    <n v="8"/>
    <n v="118.78"/>
    <x v="117"/>
    <x v="2"/>
    <x v="187"/>
    <x v="3"/>
    <n v="950.24"/>
  </r>
  <r>
    <s v="9489d546-3168-44ff-a460-f9d34e803649"/>
    <x v="189"/>
    <x v="9"/>
    <x v="1"/>
    <n v="67"/>
    <n v="31.33"/>
    <x v="118"/>
    <x v="2"/>
    <x v="188"/>
    <x v="0"/>
    <n v="2099.11"/>
  </r>
  <r>
    <s v="cc8a30dc-68d9-412d-9d20-dccef8ee2b2b"/>
    <x v="190"/>
    <x v="8"/>
    <x v="0"/>
    <n v="2"/>
    <n v="65.62"/>
    <x v="44"/>
    <x v="0"/>
    <x v="189"/>
    <x v="2"/>
    <n v="131.24"/>
  </r>
  <r>
    <s v="01765236-0650-4926-b4d3-6db8b0cc49ff"/>
    <x v="191"/>
    <x v="2"/>
    <x v="3"/>
    <n v="87"/>
    <n v="152.22999999999999"/>
    <x v="10"/>
    <x v="3"/>
    <x v="190"/>
    <x v="0"/>
    <n v="13244.01"/>
  </r>
  <r>
    <s v="e2afa4be-9a91-4d61-9532-38da25224271"/>
    <x v="192"/>
    <x v="3"/>
    <x v="4"/>
    <n v="21"/>
    <n v="172.08"/>
    <x v="42"/>
    <x v="1"/>
    <x v="191"/>
    <x v="0"/>
    <n v="3613.68"/>
  </r>
  <r>
    <s v="53b640e0-7e12-4164-a10a-bf4f3d8f366f"/>
    <x v="193"/>
    <x v="3"/>
    <x v="0"/>
    <n v="14"/>
    <n v="132.41999999999999"/>
    <x v="29"/>
    <x v="3"/>
    <x v="192"/>
    <x v="0"/>
    <n v="1853.88"/>
  </r>
  <r>
    <s v="a742f672-1f24-4e00-b1cf-499317ce7921"/>
    <x v="194"/>
    <x v="2"/>
    <x v="2"/>
    <n v="8"/>
    <n v="109.64"/>
    <x v="119"/>
    <x v="1"/>
    <x v="193"/>
    <x v="2"/>
    <n v="877.12"/>
  </r>
  <r>
    <s v="ac6788e2-2ddc-46b9-bbb0-839efc25e1c7"/>
    <x v="195"/>
    <x v="8"/>
    <x v="0"/>
    <n v="19"/>
    <n v="153.08000000000001"/>
    <x v="120"/>
    <x v="3"/>
    <x v="194"/>
    <x v="3"/>
    <n v="2908.52"/>
  </r>
  <r>
    <s v="fd2bf8e9-bfee-4009-872e-391ea871d014"/>
    <x v="196"/>
    <x v="8"/>
    <x v="2"/>
    <n v="98"/>
    <n v="38.82"/>
    <x v="121"/>
    <x v="2"/>
    <x v="195"/>
    <x v="1"/>
    <n v="3804.36"/>
  </r>
  <r>
    <s v="e653255d-5470-4ec1-9d50-3e7b88a3f67e"/>
    <x v="197"/>
    <x v="7"/>
    <x v="1"/>
    <n v="48"/>
    <n v="176.4"/>
    <x v="122"/>
    <x v="3"/>
    <x v="196"/>
    <x v="1"/>
    <n v="8467.2000000000007"/>
  </r>
  <r>
    <s v="7cfb50dd-ce3d-40f1-8c56-f966c3c85dfd"/>
    <x v="198"/>
    <x v="3"/>
    <x v="0"/>
    <n v="54"/>
    <n v="29.43"/>
    <x v="123"/>
    <x v="3"/>
    <x v="197"/>
    <x v="2"/>
    <n v="1589.22"/>
  </r>
  <r>
    <s v="b3c09c9a-2673-4ba7-b1f4-fa3ef95bb757"/>
    <x v="199"/>
    <x v="8"/>
    <x v="2"/>
    <n v="78"/>
    <n v="19.82"/>
    <x v="16"/>
    <x v="3"/>
    <x v="198"/>
    <x v="0"/>
    <n v="1545.96"/>
  </r>
  <r>
    <s v="51247acc-2f62-44fc-a4ab-298b14db32ef"/>
    <x v="200"/>
    <x v="8"/>
    <x v="1"/>
    <n v="96"/>
    <n v="123.88"/>
    <x v="77"/>
    <x v="2"/>
    <x v="199"/>
    <x v="1"/>
    <n v="11892.48"/>
  </r>
  <r>
    <s v="4ac5c41e-7b21-499f-8da0-66d55195c445"/>
    <x v="201"/>
    <x v="1"/>
    <x v="2"/>
    <n v="6"/>
    <n v="142.75"/>
    <x v="27"/>
    <x v="1"/>
    <x v="200"/>
    <x v="2"/>
    <n v="856.5"/>
  </r>
  <r>
    <s v="52acc361-d803-4670-b891-a7f653d3eb54"/>
    <x v="202"/>
    <x v="2"/>
    <x v="4"/>
    <n v="46"/>
    <n v="24.39"/>
    <x v="124"/>
    <x v="1"/>
    <x v="201"/>
    <x v="3"/>
    <n v="1121.94"/>
  </r>
  <r>
    <s v="34cf9372-a104-4628-bb5b-d410d4ac0620"/>
    <x v="203"/>
    <x v="9"/>
    <x v="4"/>
    <n v="89"/>
    <n v="76.88"/>
    <x v="23"/>
    <x v="2"/>
    <x v="202"/>
    <x v="2"/>
    <n v="6842.32"/>
  </r>
  <r>
    <s v="d3b00f2f-519f-4bee-960e-ee58c7715183"/>
    <x v="204"/>
    <x v="2"/>
    <x v="0"/>
    <n v="20"/>
    <n v="102.36"/>
    <x v="125"/>
    <x v="0"/>
    <x v="203"/>
    <x v="2"/>
    <n v="2047.2"/>
  </r>
  <r>
    <s v="076118dc-aba9-4725-aa68-5348c4cc4e5c"/>
    <x v="205"/>
    <x v="4"/>
    <x v="2"/>
    <n v="22"/>
    <n v="192.68"/>
    <x v="80"/>
    <x v="0"/>
    <x v="204"/>
    <x v="3"/>
    <n v="4238.96"/>
  </r>
  <r>
    <s v="428468db-cbbc-4dea-9634-f8475fc13f97"/>
    <x v="206"/>
    <x v="2"/>
    <x v="4"/>
    <n v="81"/>
    <n v="23.76"/>
    <x v="126"/>
    <x v="0"/>
    <x v="205"/>
    <x v="3"/>
    <n v="1924.56"/>
  </r>
  <r>
    <s v="fd8d6454-1b65-406e-a0c7-737c609ea318"/>
    <x v="207"/>
    <x v="1"/>
    <x v="4"/>
    <n v="89"/>
    <n v="176.39"/>
    <x v="124"/>
    <x v="1"/>
    <x v="206"/>
    <x v="1"/>
    <n v="15698.71"/>
  </r>
  <r>
    <s v="26b91829-8cea-4bb9-9453-ae65ef459c20"/>
    <x v="208"/>
    <x v="8"/>
    <x v="3"/>
    <n v="31"/>
    <n v="188.91"/>
    <x v="115"/>
    <x v="0"/>
    <x v="207"/>
    <x v="0"/>
    <n v="5856.21"/>
  </r>
  <r>
    <s v="b62a5536-9cf0-46b0-973a-0b9ecdf28693"/>
    <x v="209"/>
    <x v="3"/>
    <x v="2"/>
    <n v="48"/>
    <n v="154.08000000000001"/>
    <x v="127"/>
    <x v="2"/>
    <x v="208"/>
    <x v="1"/>
    <n v="7395.84"/>
  </r>
  <r>
    <s v="9e2d5e1a-dba9-4ba2-917c-93c562eddefd"/>
    <x v="210"/>
    <x v="6"/>
    <x v="2"/>
    <n v="47"/>
    <n v="11.83"/>
    <x v="128"/>
    <x v="1"/>
    <x v="209"/>
    <x v="3"/>
    <n v="556.01"/>
  </r>
  <r>
    <s v="f03ee4ce-6a92-49d5-bbb0-b1f0632d0dfc"/>
    <x v="211"/>
    <x v="5"/>
    <x v="0"/>
    <n v="92"/>
    <n v="27.65"/>
    <x v="36"/>
    <x v="2"/>
    <x v="210"/>
    <x v="2"/>
    <n v="2543.8000000000002"/>
  </r>
  <r>
    <s v="fc6512a4-2a7e-4daa-9942-6d21435a3821"/>
    <x v="212"/>
    <x v="1"/>
    <x v="1"/>
    <n v="86"/>
    <n v="65.62"/>
    <x v="10"/>
    <x v="3"/>
    <x v="211"/>
    <x v="1"/>
    <n v="5643.32"/>
  </r>
  <r>
    <s v="6f28859d-5d5d-4fd6-9806-f6fff3a10fa1"/>
    <x v="213"/>
    <x v="3"/>
    <x v="1"/>
    <n v="39"/>
    <n v="176.58"/>
    <x v="129"/>
    <x v="1"/>
    <x v="212"/>
    <x v="3"/>
    <n v="6886.62"/>
  </r>
  <r>
    <s v="752d2885-ef25-4e2d-b152-f72fe7888ba3"/>
    <x v="214"/>
    <x v="9"/>
    <x v="3"/>
    <n v="63"/>
    <n v="150.36000000000001"/>
    <x v="96"/>
    <x v="1"/>
    <x v="213"/>
    <x v="3"/>
    <n v="9472.68"/>
  </r>
  <r>
    <s v="6b8e9caf-7b05-40f2-8af2-96c1014a6af3"/>
    <x v="215"/>
    <x v="3"/>
    <x v="3"/>
    <n v="76"/>
    <n v="66.55"/>
    <x v="130"/>
    <x v="3"/>
    <x v="214"/>
    <x v="3"/>
    <n v="5057.8"/>
  </r>
  <r>
    <s v="d5e1e25c-8d5e-46e6-9cd4-e33a0f4326e8"/>
    <x v="216"/>
    <x v="7"/>
    <x v="4"/>
    <n v="81"/>
    <n v="166.36"/>
    <x v="102"/>
    <x v="3"/>
    <x v="215"/>
    <x v="3"/>
    <n v="13475.16"/>
  </r>
  <r>
    <s v="9e697203-8e1e-421f-b9ca-16f80f662e0e"/>
    <x v="217"/>
    <x v="8"/>
    <x v="4"/>
    <n v="35"/>
    <n v="194.7"/>
    <x v="25"/>
    <x v="2"/>
    <x v="216"/>
    <x v="1"/>
    <n v="6814.5"/>
  </r>
  <r>
    <s v="1da44909-2989-46db-86b6-94721056fde6"/>
    <x v="218"/>
    <x v="8"/>
    <x v="0"/>
    <n v="90"/>
    <n v="152.94999999999999"/>
    <x v="131"/>
    <x v="3"/>
    <x v="217"/>
    <x v="2"/>
    <n v="13765.5"/>
  </r>
  <r>
    <s v="65de7545-de16-4f3e-96f7-9144ce985bfa"/>
    <x v="219"/>
    <x v="4"/>
    <x v="3"/>
    <n v="97"/>
    <n v="90.45"/>
    <x v="132"/>
    <x v="3"/>
    <x v="218"/>
    <x v="3"/>
    <n v="8773.65"/>
  </r>
  <r>
    <s v="10c40a82-b1ce-4b34-a64d-51ade98c72f1"/>
    <x v="220"/>
    <x v="5"/>
    <x v="3"/>
    <n v="76"/>
    <n v="172.67"/>
    <x v="89"/>
    <x v="0"/>
    <x v="219"/>
    <x v="1"/>
    <n v="13122.92"/>
  </r>
  <r>
    <s v="4afa3221-8918-4f93-a790-81d3c4c80e14"/>
    <x v="221"/>
    <x v="6"/>
    <x v="3"/>
    <n v="67"/>
    <n v="127.86"/>
    <x v="5"/>
    <x v="1"/>
    <x v="220"/>
    <x v="0"/>
    <n v="8566.6200000000008"/>
  </r>
  <r>
    <s v="d36b6440-bdef-4d8a-bb83-72985859c9ac"/>
    <x v="222"/>
    <x v="5"/>
    <x v="4"/>
    <n v="12"/>
    <n v="24.42"/>
    <x v="39"/>
    <x v="1"/>
    <x v="221"/>
    <x v="0"/>
    <n v="293.04000000000002"/>
  </r>
  <r>
    <s v="9f53759d-24ad-4cfc-b6fa-70a5704924e6"/>
    <x v="223"/>
    <x v="4"/>
    <x v="4"/>
    <n v="83"/>
    <n v="141.97999999999999"/>
    <x v="45"/>
    <x v="1"/>
    <x v="222"/>
    <x v="1"/>
    <n v="11784.34"/>
  </r>
  <r>
    <s v="9a11de51-4044-4c80-965d-216282067096"/>
    <x v="224"/>
    <x v="9"/>
    <x v="1"/>
    <n v="26"/>
    <n v="16.329999999999998"/>
    <x v="23"/>
    <x v="0"/>
    <x v="223"/>
    <x v="2"/>
    <n v="424.58"/>
  </r>
  <r>
    <s v="132e4614-bfa2-498c-928f-256bbe875375"/>
    <x v="225"/>
    <x v="1"/>
    <x v="2"/>
    <n v="32"/>
    <n v="80.42"/>
    <x v="113"/>
    <x v="0"/>
    <x v="224"/>
    <x v="2"/>
    <n v="2573.44"/>
  </r>
  <r>
    <s v="7a27791f-edf6-47a2-921e-6e799f5fc48a"/>
    <x v="226"/>
    <x v="7"/>
    <x v="3"/>
    <n v="9"/>
    <n v="196.18"/>
    <x v="66"/>
    <x v="3"/>
    <x v="225"/>
    <x v="0"/>
    <n v="1765.62"/>
  </r>
  <r>
    <s v="dba7ac8f-2c5b-46ea-95ac-c44c3b3bdfa3"/>
    <x v="227"/>
    <x v="6"/>
    <x v="4"/>
    <n v="41"/>
    <n v="84.53"/>
    <x v="0"/>
    <x v="1"/>
    <x v="226"/>
    <x v="3"/>
    <n v="3465.73"/>
  </r>
  <r>
    <s v="5d54cc51-7828-44e4-823c-1fc7951c6007"/>
    <x v="228"/>
    <x v="0"/>
    <x v="3"/>
    <n v="77"/>
    <n v="191.47"/>
    <x v="127"/>
    <x v="1"/>
    <x v="227"/>
    <x v="2"/>
    <n v="14743.19"/>
  </r>
  <r>
    <s v="bae2d112-cdef-412f-a6ee-873efbb0d793"/>
    <x v="229"/>
    <x v="5"/>
    <x v="3"/>
    <n v="92"/>
    <n v="47.92"/>
    <x v="15"/>
    <x v="3"/>
    <x v="228"/>
    <x v="3"/>
    <n v="4408.6400000000003"/>
  </r>
  <r>
    <s v="84f24837-41ce-4c09-aeba-45929025a994"/>
    <x v="230"/>
    <x v="3"/>
    <x v="1"/>
    <n v="30"/>
    <n v="39.25"/>
    <x v="119"/>
    <x v="0"/>
    <x v="229"/>
    <x v="2"/>
    <n v="1177.5"/>
  </r>
  <r>
    <s v="65f00508-2703-4d45-9c44-cee1e3786cac"/>
    <x v="231"/>
    <x v="9"/>
    <x v="0"/>
    <n v="50"/>
    <n v="89.67"/>
    <x v="120"/>
    <x v="2"/>
    <x v="230"/>
    <x v="2"/>
    <n v="4483.5"/>
  </r>
  <r>
    <s v="cdf0dc2e-a7de-4be5-9bab-b2597970b2dc"/>
    <x v="232"/>
    <x v="3"/>
    <x v="0"/>
    <n v="41"/>
    <n v="139.16"/>
    <x v="133"/>
    <x v="1"/>
    <x v="231"/>
    <x v="0"/>
    <n v="5705.56"/>
  </r>
  <r>
    <s v="c06307cf-077a-4031-83ed-e8c6a7fc8b3b"/>
    <x v="233"/>
    <x v="6"/>
    <x v="3"/>
    <n v="91"/>
    <n v="145.08000000000001"/>
    <x v="10"/>
    <x v="2"/>
    <x v="232"/>
    <x v="1"/>
    <n v="13202.28"/>
  </r>
  <r>
    <s v="39c5f303-90c7-4892-b831-df8967399755"/>
    <x v="234"/>
    <x v="8"/>
    <x v="4"/>
    <n v="60"/>
    <n v="69.459999999999994"/>
    <x v="105"/>
    <x v="1"/>
    <x v="233"/>
    <x v="3"/>
    <n v="4167.6000000000004"/>
  </r>
  <r>
    <s v="de953df8-9c88-4c25-a4d3-19e85244c4a2"/>
    <x v="235"/>
    <x v="2"/>
    <x v="1"/>
    <n v="37"/>
    <n v="131.88999999999999"/>
    <x v="134"/>
    <x v="1"/>
    <x v="234"/>
    <x v="1"/>
    <n v="4879.93"/>
  </r>
  <r>
    <s v="8b3a35a7-b1cb-41bf-a1c3-f2139b8038ae"/>
    <x v="236"/>
    <x v="7"/>
    <x v="4"/>
    <n v="75"/>
    <n v="137.09"/>
    <x v="42"/>
    <x v="3"/>
    <x v="235"/>
    <x v="3"/>
    <n v="10281.75"/>
  </r>
  <r>
    <s v="e253fc92-f766-49b6-934f-f30ad2c8c753"/>
    <x v="237"/>
    <x v="2"/>
    <x v="2"/>
    <n v="99"/>
    <n v="125.76"/>
    <x v="87"/>
    <x v="3"/>
    <x v="236"/>
    <x v="2"/>
    <n v="12450.24"/>
  </r>
  <r>
    <s v="e1ad2373-ba80-4c74-b875-f5a3df56a8ab"/>
    <x v="238"/>
    <x v="4"/>
    <x v="4"/>
    <n v="11"/>
    <n v="19.93"/>
    <x v="88"/>
    <x v="3"/>
    <x v="237"/>
    <x v="0"/>
    <n v="219.23"/>
  </r>
  <r>
    <s v="88845a03-a69b-4557-81d8-a1286ee17293"/>
    <x v="239"/>
    <x v="3"/>
    <x v="0"/>
    <n v="82"/>
    <n v="87.12"/>
    <x v="135"/>
    <x v="0"/>
    <x v="238"/>
    <x v="1"/>
    <n v="7143.84"/>
  </r>
  <r>
    <s v="1f2a3d62-c314-4a8a-928f-2f9f8edd4765"/>
    <x v="240"/>
    <x v="8"/>
    <x v="2"/>
    <n v="64"/>
    <n v="115.84"/>
    <x v="136"/>
    <x v="2"/>
    <x v="239"/>
    <x v="3"/>
    <n v="7413.76"/>
  </r>
  <r>
    <s v="4f073335-67e6-413d-8e62-22f164f85da0"/>
    <x v="204"/>
    <x v="6"/>
    <x v="0"/>
    <n v="93"/>
    <n v="44.62"/>
    <x v="41"/>
    <x v="2"/>
    <x v="240"/>
    <x v="0"/>
    <n v="4149.66"/>
  </r>
  <r>
    <s v="d42c28aa-7a7e-41e7-82f7-09fb0105f7c7"/>
    <x v="241"/>
    <x v="9"/>
    <x v="0"/>
    <n v="62"/>
    <n v="91.5"/>
    <x v="50"/>
    <x v="1"/>
    <x v="241"/>
    <x v="2"/>
    <n v="5673"/>
  </r>
  <r>
    <s v="de959c6c-90d9-4c85-a95a-9b9c679f09a6"/>
    <x v="242"/>
    <x v="0"/>
    <x v="2"/>
    <n v="90"/>
    <n v="136.91"/>
    <x v="137"/>
    <x v="2"/>
    <x v="242"/>
    <x v="2"/>
    <n v="12321.9"/>
  </r>
  <r>
    <s v="58a613c9-f83a-4f71-9540-29db5c2cccb1"/>
    <x v="243"/>
    <x v="8"/>
    <x v="1"/>
    <n v="30"/>
    <n v="46.75"/>
    <x v="138"/>
    <x v="2"/>
    <x v="243"/>
    <x v="3"/>
    <n v="1402.5"/>
  </r>
  <r>
    <s v="f3ee672a-5b37-4fdf-8406-3ee2af353b1f"/>
    <x v="244"/>
    <x v="1"/>
    <x v="4"/>
    <n v="65"/>
    <n v="150.13999999999999"/>
    <x v="139"/>
    <x v="0"/>
    <x v="244"/>
    <x v="2"/>
    <n v="9759.1"/>
  </r>
  <r>
    <s v="9031e44f-7ca3-4ef6-83cd-da5310ae57c1"/>
    <x v="245"/>
    <x v="7"/>
    <x v="2"/>
    <n v="56"/>
    <n v="37.31"/>
    <x v="140"/>
    <x v="2"/>
    <x v="245"/>
    <x v="3"/>
    <n v="2089.36"/>
  </r>
  <r>
    <s v="b6b699eb-c730-4970-8d36-0a26c8bc87fc"/>
    <x v="246"/>
    <x v="0"/>
    <x v="1"/>
    <n v="2"/>
    <n v="112.55"/>
    <x v="114"/>
    <x v="1"/>
    <x v="246"/>
    <x v="2"/>
    <n v="225.1"/>
  </r>
  <r>
    <s v="ead7243a-f80a-42a0-a9f5-42f67d3bbd7c"/>
    <x v="247"/>
    <x v="9"/>
    <x v="1"/>
    <n v="32"/>
    <n v="22.82"/>
    <x v="16"/>
    <x v="3"/>
    <x v="247"/>
    <x v="2"/>
    <n v="730.24"/>
  </r>
  <r>
    <s v="4da6956f-285b-44cf-98e8-ef8704f3ee0f"/>
    <x v="248"/>
    <x v="8"/>
    <x v="1"/>
    <n v="94"/>
    <n v="142.35"/>
    <x v="71"/>
    <x v="1"/>
    <x v="248"/>
    <x v="1"/>
    <n v="13380.9"/>
  </r>
  <r>
    <s v="3bf5c157-64b4-43f7-a8c9-fdb957413d4b"/>
    <x v="249"/>
    <x v="9"/>
    <x v="0"/>
    <n v="45"/>
    <n v="64.17"/>
    <x v="141"/>
    <x v="2"/>
    <x v="249"/>
    <x v="0"/>
    <n v="2887.65"/>
  </r>
  <r>
    <s v="12c85cb0-aa4d-4b01-8366-9274dee24dcb"/>
    <x v="250"/>
    <x v="3"/>
    <x v="3"/>
    <n v="61"/>
    <n v="165.97"/>
    <x v="56"/>
    <x v="3"/>
    <x v="250"/>
    <x v="1"/>
    <n v="10124.17"/>
  </r>
  <r>
    <s v="2184543a-4145-4928-ba77-c0e16905f481"/>
    <x v="251"/>
    <x v="7"/>
    <x v="4"/>
    <n v="37"/>
    <n v="132.9"/>
    <x v="100"/>
    <x v="0"/>
    <x v="251"/>
    <x v="1"/>
    <n v="4917.3"/>
  </r>
  <r>
    <s v="879d5fbd-1315-4d2a-9e86-aeef530534eb"/>
    <x v="252"/>
    <x v="0"/>
    <x v="3"/>
    <n v="36"/>
    <n v="148.80000000000001"/>
    <x v="58"/>
    <x v="2"/>
    <x v="252"/>
    <x v="2"/>
    <n v="5356.8"/>
  </r>
  <r>
    <s v="b71f3262-6426-40d3-b55b-8d25a4c25d98"/>
    <x v="253"/>
    <x v="7"/>
    <x v="4"/>
    <n v="70"/>
    <n v="170.84"/>
    <x v="115"/>
    <x v="3"/>
    <x v="253"/>
    <x v="0"/>
    <n v="11958.8"/>
  </r>
  <r>
    <s v="2d1a4c86-ec31-46d9-b506-0772dca69144"/>
    <x v="254"/>
    <x v="8"/>
    <x v="4"/>
    <n v="27"/>
    <n v="124.18"/>
    <x v="142"/>
    <x v="3"/>
    <x v="254"/>
    <x v="2"/>
    <n v="3352.86"/>
  </r>
  <r>
    <s v="2a1402ed-e89b-4ff7-a4f5-37fc5c4997b5"/>
    <x v="255"/>
    <x v="8"/>
    <x v="2"/>
    <n v="92"/>
    <n v="169.52"/>
    <x v="38"/>
    <x v="1"/>
    <x v="255"/>
    <x v="3"/>
    <n v="15595.84"/>
  </r>
  <r>
    <s v="b6a74cf8-a7ce-4fe0-91ec-ffb22af60a9b"/>
    <x v="256"/>
    <x v="3"/>
    <x v="0"/>
    <n v="44"/>
    <n v="161.87"/>
    <x v="97"/>
    <x v="2"/>
    <x v="256"/>
    <x v="0"/>
    <n v="7122.28"/>
  </r>
  <r>
    <s v="77172c1b-7a17-4efc-80bf-bd0f80fe4da7"/>
    <x v="257"/>
    <x v="5"/>
    <x v="2"/>
    <n v="78"/>
    <n v="61.11"/>
    <x v="45"/>
    <x v="0"/>
    <x v="257"/>
    <x v="3"/>
    <n v="4766.58"/>
  </r>
  <r>
    <s v="b713e932-fd14-4fd2-8c19-3f18872eb887"/>
    <x v="258"/>
    <x v="6"/>
    <x v="3"/>
    <n v="25"/>
    <n v="109.22"/>
    <x v="68"/>
    <x v="3"/>
    <x v="258"/>
    <x v="3"/>
    <n v="2730.5"/>
  </r>
  <r>
    <s v="d5cc45ed-b6b1-41f1-a599-509e89e5f3cb"/>
    <x v="259"/>
    <x v="1"/>
    <x v="4"/>
    <n v="86"/>
    <n v="174.12"/>
    <x v="113"/>
    <x v="1"/>
    <x v="259"/>
    <x v="3"/>
    <n v="14974.32"/>
  </r>
  <r>
    <s v="5dc3a7db-3a36-454d-8906-7875a26b3c13"/>
    <x v="260"/>
    <x v="7"/>
    <x v="1"/>
    <n v="59"/>
    <n v="82.72"/>
    <x v="113"/>
    <x v="2"/>
    <x v="260"/>
    <x v="3"/>
    <n v="4880.4799999999996"/>
  </r>
  <r>
    <s v="515dcec4-6f65-490d-98c2-963451dc6d1c"/>
    <x v="261"/>
    <x v="7"/>
    <x v="0"/>
    <n v="75"/>
    <n v="196.23"/>
    <x v="24"/>
    <x v="3"/>
    <x v="261"/>
    <x v="0"/>
    <n v="14717.25"/>
  </r>
  <r>
    <s v="a732ff5b-663f-4f79-86d8-0985c2bd3bb9"/>
    <x v="262"/>
    <x v="4"/>
    <x v="1"/>
    <n v="50"/>
    <n v="82.21"/>
    <x v="53"/>
    <x v="1"/>
    <x v="262"/>
    <x v="3"/>
    <n v="4110.5"/>
  </r>
  <r>
    <s v="1735cd7d-e780-4fb5-a3c4-ca8cf51cfb45"/>
    <x v="263"/>
    <x v="4"/>
    <x v="1"/>
    <n v="84"/>
    <n v="120.99"/>
    <x v="24"/>
    <x v="1"/>
    <x v="263"/>
    <x v="0"/>
    <n v="10163.16"/>
  </r>
  <r>
    <s v="27709fa8-113a-4c85-84db-0c8525a24af1"/>
    <x v="264"/>
    <x v="6"/>
    <x v="2"/>
    <n v="37"/>
    <n v="61.94"/>
    <x v="72"/>
    <x v="1"/>
    <x v="264"/>
    <x v="0"/>
    <n v="2291.7800000000002"/>
  </r>
  <r>
    <s v="16f09d73-7fad-405f-8a1d-f72b5b465f76"/>
    <x v="265"/>
    <x v="5"/>
    <x v="0"/>
    <n v="79"/>
    <n v="157.79"/>
    <x v="143"/>
    <x v="1"/>
    <x v="265"/>
    <x v="2"/>
    <n v="12465.41"/>
  </r>
  <r>
    <s v="6da98079-b492-4b52-817a-d491c90590ab"/>
    <x v="266"/>
    <x v="3"/>
    <x v="1"/>
    <n v="46"/>
    <n v="34.049999999999997"/>
    <x v="117"/>
    <x v="2"/>
    <x v="266"/>
    <x v="0"/>
    <n v="1566.3"/>
  </r>
  <r>
    <s v="0d38a2c1-00d3-4472-880e-f1c63bebbfd9"/>
    <x v="267"/>
    <x v="6"/>
    <x v="4"/>
    <n v="11"/>
    <n v="147.11000000000001"/>
    <x v="144"/>
    <x v="2"/>
    <x v="267"/>
    <x v="1"/>
    <n v="1618.21"/>
  </r>
  <r>
    <s v="18583b8b-7173-45e2-9cf6-c25be8a5a087"/>
    <x v="268"/>
    <x v="3"/>
    <x v="2"/>
    <n v="45"/>
    <n v="191.82"/>
    <x v="140"/>
    <x v="0"/>
    <x v="268"/>
    <x v="3"/>
    <n v="8631.9"/>
  </r>
  <r>
    <s v="8d6c7850-705a-4ff0-8b85-68a823e557bf"/>
    <x v="269"/>
    <x v="3"/>
    <x v="2"/>
    <n v="21"/>
    <n v="85.07"/>
    <x v="5"/>
    <x v="0"/>
    <x v="269"/>
    <x v="3"/>
    <n v="1786.47"/>
  </r>
  <r>
    <s v="1641c052-2bac-4fce-9404-9510abe1b6c6"/>
    <x v="270"/>
    <x v="4"/>
    <x v="4"/>
    <n v="63"/>
    <n v="82.81"/>
    <x v="145"/>
    <x v="2"/>
    <x v="270"/>
    <x v="0"/>
    <n v="5217.03"/>
  </r>
  <r>
    <s v="b3bd33a2-a014-4fec-8b59-85a9b60f5e44"/>
    <x v="271"/>
    <x v="7"/>
    <x v="4"/>
    <n v="18"/>
    <n v="52.72"/>
    <x v="70"/>
    <x v="2"/>
    <x v="271"/>
    <x v="1"/>
    <n v="948.96"/>
  </r>
  <r>
    <s v="cf3b3677-2b5e-4abd-95fa-8b758cceb889"/>
    <x v="272"/>
    <x v="6"/>
    <x v="4"/>
    <n v="87"/>
    <n v="191.59"/>
    <x v="50"/>
    <x v="2"/>
    <x v="272"/>
    <x v="2"/>
    <n v="16668.330000000002"/>
  </r>
  <r>
    <s v="1271ea44-fd79-4c12-8c94-4b7b0cb91ca0"/>
    <x v="273"/>
    <x v="6"/>
    <x v="3"/>
    <n v="22"/>
    <n v="163.04"/>
    <x v="29"/>
    <x v="0"/>
    <x v="273"/>
    <x v="1"/>
    <n v="3586.88"/>
  </r>
  <r>
    <s v="b31ae22d-8092-4a7f-b771-b392826406de"/>
    <x v="274"/>
    <x v="9"/>
    <x v="2"/>
    <n v="18"/>
    <n v="157.72"/>
    <x v="146"/>
    <x v="2"/>
    <x v="274"/>
    <x v="1"/>
    <n v="2838.96"/>
  </r>
  <r>
    <s v="1ca8791c-167d-4a64-b053-5fd83ff572dc"/>
    <x v="275"/>
    <x v="2"/>
    <x v="4"/>
    <n v="10"/>
    <n v="147.35"/>
    <x v="147"/>
    <x v="3"/>
    <x v="275"/>
    <x v="3"/>
    <n v="1473.5"/>
  </r>
  <r>
    <s v="b389ec88-ea1e-4e96-93c7-dba36faa726c"/>
    <x v="276"/>
    <x v="4"/>
    <x v="3"/>
    <n v="21"/>
    <n v="98.33"/>
    <x v="148"/>
    <x v="1"/>
    <x v="276"/>
    <x v="0"/>
    <n v="2064.9299999999998"/>
  </r>
  <r>
    <s v="ea710343-a1e5-4f59-a345-c29d4172e869"/>
    <x v="277"/>
    <x v="1"/>
    <x v="2"/>
    <n v="54"/>
    <n v="154.37"/>
    <x v="146"/>
    <x v="1"/>
    <x v="277"/>
    <x v="0"/>
    <n v="8335.98"/>
  </r>
  <r>
    <s v="bae06487-ea1c-4849-a32a-34947aec1c4b"/>
    <x v="278"/>
    <x v="2"/>
    <x v="0"/>
    <n v="17"/>
    <n v="171.28"/>
    <x v="125"/>
    <x v="3"/>
    <x v="278"/>
    <x v="2"/>
    <n v="2911.76"/>
  </r>
  <r>
    <s v="4243fd85-6540-4cc2-b149-71af8ea60778"/>
    <x v="279"/>
    <x v="1"/>
    <x v="2"/>
    <n v="8"/>
    <n v="73.09"/>
    <x v="34"/>
    <x v="3"/>
    <x v="279"/>
    <x v="3"/>
    <n v="584.72"/>
  </r>
  <r>
    <s v="6926f4ae-51bc-4a4c-adba-d19a58cf8693"/>
    <x v="280"/>
    <x v="3"/>
    <x v="1"/>
    <n v="98"/>
    <n v="37.75"/>
    <x v="58"/>
    <x v="1"/>
    <x v="280"/>
    <x v="3"/>
    <n v="3699.5"/>
  </r>
  <r>
    <s v="fd9d1f97-9e6f-4527-a2ed-2373c1f504fd"/>
    <x v="281"/>
    <x v="6"/>
    <x v="1"/>
    <n v="2"/>
    <n v="41.55"/>
    <x v="56"/>
    <x v="1"/>
    <x v="281"/>
    <x v="0"/>
    <n v="83.1"/>
  </r>
  <r>
    <s v="216b3fac-2a5b-49ac-ad70-a47a98f5d046"/>
    <x v="282"/>
    <x v="7"/>
    <x v="3"/>
    <n v="53"/>
    <n v="125.79"/>
    <x v="111"/>
    <x v="3"/>
    <x v="282"/>
    <x v="0"/>
    <n v="6666.87"/>
  </r>
  <r>
    <s v="db991dd9-83e5-464d-ab0f-f29111ea4507"/>
    <x v="283"/>
    <x v="2"/>
    <x v="2"/>
    <n v="74"/>
    <n v="10.23"/>
    <x v="81"/>
    <x v="0"/>
    <x v="283"/>
    <x v="3"/>
    <n v="757.02"/>
  </r>
  <r>
    <s v="bdc1db67-2f7b-47df-80db-d27bde1b76c5"/>
    <x v="284"/>
    <x v="9"/>
    <x v="2"/>
    <n v="95"/>
    <n v="101.21"/>
    <x v="116"/>
    <x v="2"/>
    <x v="284"/>
    <x v="3"/>
    <n v="9614.9500000000007"/>
  </r>
  <r>
    <s v="4fd66060-9097-4df1-8bc9-85b0178d6b8d"/>
    <x v="285"/>
    <x v="7"/>
    <x v="3"/>
    <n v="1"/>
    <n v="192.31"/>
    <x v="149"/>
    <x v="0"/>
    <x v="285"/>
    <x v="2"/>
    <n v="192.31"/>
  </r>
  <r>
    <s v="6e7f2ecd-8b39-4ff2-9e8a-f300b64cc436"/>
    <x v="286"/>
    <x v="9"/>
    <x v="2"/>
    <n v="72"/>
    <n v="160.08000000000001"/>
    <x v="94"/>
    <x v="0"/>
    <x v="286"/>
    <x v="1"/>
    <n v="11525.76"/>
  </r>
  <r>
    <s v="e4cc0a95-036c-4d03-a6c5-87d843b2e556"/>
    <x v="287"/>
    <x v="0"/>
    <x v="2"/>
    <n v="49"/>
    <n v="95.99"/>
    <x v="71"/>
    <x v="3"/>
    <x v="24"/>
    <x v="3"/>
    <n v="4703.51"/>
  </r>
  <r>
    <s v="30d43702-a7f5-48ae-9779-9c74962a5561"/>
    <x v="288"/>
    <x v="7"/>
    <x v="4"/>
    <n v="16"/>
    <n v="87.27"/>
    <x v="107"/>
    <x v="3"/>
    <x v="287"/>
    <x v="2"/>
    <n v="1396.32"/>
  </r>
  <r>
    <s v="7882d870-a013-42e5-9e33-e89c5c6fd358"/>
    <x v="289"/>
    <x v="6"/>
    <x v="0"/>
    <n v="54"/>
    <n v="154.56"/>
    <x v="91"/>
    <x v="1"/>
    <x v="288"/>
    <x v="0"/>
    <n v="8346.24"/>
  </r>
  <r>
    <s v="0b072671-4f4a-4077-b09e-cea74a3d6649"/>
    <x v="290"/>
    <x v="8"/>
    <x v="3"/>
    <n v="86"/>
    <n v="186.88"/>
    <x v="144"/>
    <x v="0"/>
    <x v="289"/>
    <x v="2"/>
    <n v="16071.68"/>
  </r>
  <r>
    <s v="c42f518a-cd33-4120-beab-40072a6caa85"/>
    <x v="291"/>
    <x v="6"/>
    <x v="1"/>
    <n v="76"/>
    <n v="177.77"/>
    <x v="9"/>
    <x v="0"/>
    <x v="290"/>
    <x v="1"/>
    <n v="13510.52"/>
  </r>
  <r>
    <s v="736eb470-3511-4c57-9bfd-0de72cb293a4"/>
    <x v="292"/>
    <x v="6"/>
    <x v="2"/>
    <n v="4"/>
    <n v="197.59"/>
    <x v="133"/>
    <x v="0"/>
    <x v="291"/>
    <x v="1"/>
    <n v="790.36"/>
  </r>
  <r>
    <s v="c0956fc0-7b9d-44c7-ad00-f9986a2f5149"/>
    <x v="293"/>
    <x v="7"/>
    <x v="4"/>
    <n v="41"/>
    <n v="125.25"/>
    <x v="49"/>
    <x v="1"/>
    <x v="292"/>
    <x v="0"/>
    <n v="5135.25"/>
  </r>
  <r>
    <s v="49951f84-841e-4065-aa9f-58fcd2da3851"/>
    <x v="294"/>
    <x v="4"/>
    <x v="4"/>
    <n v="46"/>
    <n v="176.13"/>
    <x v="75"/>
    <x v="3"/>
    <x v="293"/>
    <x v="0"/>
    <n v="8101.98"/>
  </r>
  <r>
    <s v="b2e38123-19e0-465d-92dc-65b20e8b974c"/>
    <x v="295"/>
    <x v="6"/>
    <x v="0"/>
    <n v="41"/>
    <n v="40.65"/>
    <x v="113"/>
    <x v="2"/>
    <x v="294"/>
    <x v="1"/>
    <n v="1666.65"/>
  </r>
  <r>
    <s v="68e3e5cb-62f7-4921-a8ac-445e080f79f0"/>
    <x v="296"/>
    <x v="7"/>
    <x v="2"/>
    <n v="23"/>
    <n v="103.78"/>
    <x v="10"/>
    <x v="2"/>
    <x v="295"/>
    <x v="1"/>
    <n v="2386.94"/>
  </r>
  <r>
    <s v="df9c8b7a-1006-4961-8e44-8c8c8b019094"/>
    <x v="297"/>
    <x v="9"/>
    <x v="4"/>
    <n v="44"/>
    <n v="173.96"/>
    <x v="129"/>
    <x v="2"/>
    <x v="296"/>
    <x v="3"/>
    <n v="7654.24"/>
  </r>
  <r>
    <s v="9657d68b-3b72-4c2b-941d-9a61c861c7cc"/>
    <x v="298"/>
    <x v="3"/>
    <x v="4"/>
    <n v="90"/>
    <n v="112.62"/>
    <x v="109"/>
    <x v="3"/>
    <x v="297"/>
    <x v="1"/>
    <n v="10135.7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A8C376-8542-4933-91AE-DBC9F638CE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72:E180" firstHeaderRow="1" firstDataRow="1" firstDataCol="1"/>
  <pivotFields count="14">
    <pivotField showAll="0"/>
    <pivotField showAll="0"/>
    <pivotField axis="axisRow" showAll="0">
      <items count="11">
        <item x="3"/>
        <item x="9"/>
        <item x="8"/>
        <item x="4"/>
        <item x="1"/>
        <item x="0"/>
        <item x="5"/>
        <item x="2"/>
        <item x="6"/>
        <item x="7"/>
        <item t="default"/>
      </items>
    </pivotField>
    <pivotField showAll="0">
      <items count="6">
        <item x="4"/>
        <item x="0"/>
        <item x="2"/>
        <item x="1"/>
        <item x="3"/>
        <item t="default"/>
      </items>
    </pivotField>
    <pivotField dataField="1" showAll="0"/>
    <pivotField showAll="0"/>
    <pivotField numFmtId="164" showAll="0">
      <items count="151">
        <item x="82"/>
        <item x="138"/>
        <item x="29"/>
        <item x="110"/>
        <item x="80"/>
        <item x="26"/>
        <item x="71"/>
        <item x="106"/>
        <item x="36"/>
        <item x="12"/>
        <item x="90"/>
        <item x="7"/>
        <item x="145"/>
        <item x="101"/>
        <item x="135"/>
        <item x="91"/>
        <item x="59"/>
        <item x="78"/>
        <item x="51"/>
        <item x="88"/>
        <item x="134"/>
        <item x="56"/>
        <item x="33"/>
        <item x="40"/>
        <item x="142"/>
        <item x="126"/>
        <item x="89"/>
        <item x="11"/>
        <item x="100"/>
        <item x="85"/>
        <item x="76"/>
        <item x="109"/>
        <item x="131"/>
        <item x="96"/>
        <item x="102"/>
        <item x="38"/>
        <item x="55"/>
        <item x="20"/>
        <item x="147"/>
        <item x="143"/>
        <item x="22"/>
        <item x="139"/>
        <item x="104"/>
        <item x="114"/>
        <item x="19"/>
        <item x="5"/>
        <item x="95"/>
        <item x="17"/>
        <item x="113"/>
        <item x="32"/>
        <item x="72"/>
        <item x="87"/>
        <item x="31"/>
        <item x="128"/>
        <item x="73"/>
        <item x="79"/>
        <item x="30"/>
        <item x="50"/>
        <item x="13"/>
        <item x="86"/>
        <item x="116"/>
        <item x="44"/>
        <item x="112"/>
        <item x="39"/>
        <item x="66"/>
        <item x="132"/>
        <item x="69"/>
        <item x="65"/>
        <item x="68"/>
        <item x="129"/>
        <item x="61"/>
        <item x="74"/>
        <item x="84"/>
        <item x="115"/>
        <item x="60"/>
        <item x="121"/>
        <item x="64"/>
        <item x="35"/>
        <item x="144"/>
        <item x="103"/>
        <item x="8"/>
        <item x="149"/>
        <item x="43"/>
        <item x="47"/>
        <item x="25"/>
        <item x="37"/>
        <item x="28"/>
        <item x="97"/>
        <item x="0"/>
        <item x="27"/>
        <item x="146"/>
        <item x="127"/>
        <item x="18"/>
        <item x="53"/>
        <item x="125"/>
        <item x="14"/>
        <item x="141"/>
        <item x="21"/>
        <item x="148"/>
        <item x="24"/>
        <item x="6"/>
        <item x="124"/>
        <item x="130"/>
        <item x="45"/>
        <item x="2"/>
        <item x="9"/>
        <item x="75"/>
        <item x="122"/>
        <item x="120"/>
        <item x="117"/>
        <item x="34"/>
        <item x="63"/>
        <item x="133"/>
        <item x="52"/>
        <item x="54"/>
        <item x="58"/>
        <item x="94"/>
        <item x="70"/>
        <item x="108"/>
        <item x="62"/>
        <item x="83"/>
        <item x="93"/>
        <item x="3"/>
        <item x="98"/>
        <item x="4"/>
        <item x="1"/>
        <item x="67"/>
        <item x="123"/>
        <item x="92"/>
        <item x="118"/>
        <item x="46"/>
        <item x="81"/>
        <item x="41"/>
        <item x="10"/>
        <item x="16"/>
        <item x="42"/>
        <item x="77"/>
        <item x="99"/>
        <item x="136"/>
        <item x="23"/>
        <item x="140"/>
        <item x="119"/>
        <item x="49"/>
        <item x="137"/>
        <item x="105"/>
        <item x="107"/>
        <item x="15"/>
        <item x="111"/>
        <item x="48"/>
        <item x="57"/>
        <item t="default"/>
      </items>
    </pivotField>
    <pivotField showAll="0"/>
    <pivotField showAll="0">
      <items count="299">
        <item h="1" x="50"/>
        <item x="16"/>
        <item x="190"/>
        <item h="1" x="221"/>
        <item x="101"/>
        <item x="206"/>
        <item h="1" x="116"/>
        <item x="127"/>
        <item x="255"/>
        <item h="1" x="264"/>
        <item x="294"/>
        <item h="1" x="237"/>
        <item h="1" x="23"/>
        <item h="1" x="253"/>
        <item h="1" x="163"/>
        <item x="186"/>
        <item x="9"/>
        <item h="1" x="166"/>
        <item h="1" x="297"/>
        <item h="1" x="268"/>
        <item h="1" x="154"/>
        <item h="1" x="246"/>
        <item h="1" x="113"/>
        <item h="1" x="276"/>
        <item h="1" x="183"/>
        <item h="1" x="257"/>
        <item h="1" x="178"/>
        <item h="1" x="232"/>
        <item h="1" x="109"/>
        <item h="1" x="172"/>
        <item h="1" x="97"/>
        <item h="1" x="83"/>
        <item h="1" x="18"/>
        <item h="1" x="249"/>
        <item h="1" x="58"/>
        <item h="1" x="145"/>
        <item h="1" x="92"/>
        <item h="1" x="138"/>
        <item h="1" x="227"/>
        <item h="1" x="192"/>
        <item h="1" x="90"/>
        <item h="1" x="287"/>
        <item h="1" x="47"/>
        <item h="1" x="33"/>
        <item h="1" x="34"/>
        <item h="1" x="296"/>
        <item h="1" x="0"/>
        <item h="1" x="256"/>
        <item h="1" x="146"/>
        <item h="1" x="212"/>
        <item h="1" x="288"/>
        <item h="1" x="100"/>
        <item h="1" x="267"/>
        <item h="1" x="224"/>
        <item h="1" x="248"/>
        <item h="1" x="245"/>
        <item h="1" x="193"/>
        <item h="1" x="21"/>
        <item h="1" x="106"/>
        <item h="1" x="49"/>
        <item h="1" x="81"/>
        <item h="1" x="52"/>
        <item h="1" x="88"/>
        <item h="1" x="282"/>
        <item h="1" x="188"/>
        <item h="1" x="124"/>
        <item h="1" x="10"/>
        <item h="1" x="260"/>
        <item h="1" x="63"/>
        <item h="1" x="133"/>
        <item h="1" x="114"/>
        <item h="1" x="290"/>
        <item h="1" x="223"/>
        <item h="1" x="70"/>
        <item h="1" x="240"/>
        <item h="1" x="27"/>
        <item h="1" x="67"/>
        <item h="1" x="135"/>
        <item h="1" x="170"/>
        <item h="1" x="162"/>
        <item h="1" x="56"/>
        <item h="1" x="120"/>
        <item h="1" x="270"/>
        <item h="1" x="204"/>
        <item h="1" x="159"/>
        <item h="1" x="228"/>
        <item h="1" x="122"/>
        <item h="1" x="281"/>
        <item h="1" x="269"/>
        <item h="1" x="273"/>
        <item h="1" x="152"/>
        <item h="1" x="99"/>
        <item h="1" x="216"/>
        <item h="1" x="251"/>
        <item h="1" x="64"/>
        <item h="1" x="208"/>
        <item h="1" x="289"/>
        <item h="1" x="136"/>
        <item h="1" x="247"/>
        <item h="1" x="89"/>
        <item h="1" x="252"/>
        <item h="1" x="261"/>
        <item h="1" x="65"/>
        <item h="1" x="213"/>
        <item h="1" x="175"/>
        <item h="1" x="60"/>
        <item h="1" x="102"/>
        <item h="1" x="284"/>
        <item h="1" x="96"/>
        <item h="1" x="72"/>
        <item h="1" x="95"/>
        <item h="1" x="20"/>
        <item h="1" x="108"/>
        <item h="1" x="143"/>
        <item h="1" x="241"/>
        <item h="1" x="36"/>
        <item h="1" x="214"/>
        <item h="1" x="153"/>
        <item h="1" x="98"/>
        <item h="1" x="123"/>
        <item h="1" x="207"/>
        <item h="1" x="215"/>
        <item h="1" x="181"/>
        <item h="1" x="134"/>
        <item h="1" x="164"/>
        <item h="1" x="258"/>
        <item h="1" x="1"/>
        <item h="1" x="87"/>
        <item h="1" x="51"/>
        <item h="1" x="278"/>
        <item h="1" x="115"/>
        <item h="1" x="189"/>
        <item h="1" x="19"/>
        <item h="1" x="149"/>
        <item h="1" x="160"/>
        <item h="1" x="12"/>
        <item h="1" x="104"/>
        <item h="1" x="6"/>
        <item h="1" x="259"/>
        <item h="1" x="165"/>
        <item h="1" x="35"/>
        <item h="1" x="94"/>
        <item h="1" x="132"/>
        <item h="1" x="78"/>
        <item h="1" x="285"/>
        <item h="1" x="229"/>
        <item h="1" x="176"/>
        <item h="1" x="283"/>
        <item h="1" x="202"/>
        <item h="1" x="286"/>
        <item h="1" x="140"/>
        <item h="1" x="119"/>
        <item h="1" x="233"/>
        <item h="1" x="155"/>
        <item h="1" x="226"/>
        <item h="1" x="200"/>
        <item h="1" x="169"/>
        <item h="1" x="161"/>
        <item h="1" x="15"/>
        <item h="1" x="57"/>
        <item h="1" x="235"/>
        <item h="1" x="174"/>
        <item h="1" x="271"/>
        <item h="1" x="220"/>
        <item h="1" x="274"/>
        <item h="1" x="277"/>
        <item h="1" x="275"/>
        <item h="1" x="217"/>
        <item h="1" x="17"/>
        <item h="1" x="73"/>
        <item h="1" x="195"/>
        <item h="1" x="198"/>
        <item h="1" x="11"/>
        <item h="1" x="219"/>
        <item h="1" x="68"/>
        <item h="1" x="54"/>
        <item h="1" x="71"/>
        <item h="1" x="130"/>
        <item h="1" x="238"/>
        <item h="1" x="158"/>
        <item h="1" x="141"/>
        <item h="1" x="157"/>
        <item h="1" x="4"/>
        <item h="1" x="180"/>
        <item h="1" x="38"/>
        <item h="1" x="150"/>
        <item h="1" x="209"/>
        <item h="1" x="205"/>
        <item h="1" x="46"/>
        <item h="1" x="187"/>
        <item h="1" x="13"/>
        <item h="1" x="239"/>
        <item h="1" x="151"/>
        <item h="1" x="293"/>
        <item h="1" x="211"/>
        <item h="1" x="265"/>
        <item h="1" x="44"/>
        <item h="1" x="139"/>
        <item h="1" x="272"/>
        <item h="1" x="121"/>
        <item h="1" x="144"/>
        <item h="1" x="79"/>
        <item h="1" x="254"/>
        <item h="1" x="263"/>
        <item h="1" x="107"/>
        <item h="1" x="279"/>
        <item h="1" x="125"/>
        <item h="1" x="194"/>
        <item h="1" x="91"/>
        <item h="1" x="203"/>
        <item h="1" x="118"/>
        <item h="1" x="31"/>
        <item h="1" x="142"/>
        <item h="1" x="262"/>
        <item h="1" x="3"/>
        <item h="1" x="185"/>
        <item h="1" x="222"/>
        <item h="1" x="8"/>
        <item h="1" x="128"/>
        <item h="1" x="210"/>
        <item h="1" x="234"/>
        <item h="1" x="191"/>
        <item h="1" x="131"/>
        <item h="1" x="196"/>
        <item h="1" x="236"/>
        <item h="1" x="55"/>
        <item h="1" x="45"/>
        <item h="1" x="103"/>
        <item h="1" x="29"/>
        <item h="1" x="105"/>
        <item h="1" x="30"/>
        <item h="1" x="28"/>
        <item h="1" x="171"/>
        <item h="1" x="147"/>
        <item h="1" x="41"/>
        <item h="1" x="291"/>
        <item h="1" x="230"/>
        <item h="1" x="110"/>
        <item h="1" x="24"/>
        <item h="1" x="231"/>
        <item h="1" x="84"/>
        <item h="1" x="42"/>
        <item h="1" x="168"/>
        <item h="1" x="137"/>
        <item h="1" x="7"/>
        <item h="1" x="43"/>
        <item h="1" x="280"/>
        <item h="1" x="32"/>
        <item h="1" x="5"/>
        <item h="1" x="69"/>
        <item h="1" x="117"/>
        <item h="1" x="2"/>
        <item h="1" x="48"/>
        <item h="1" x="85"/>
        <item h="1" x="177"/>
        <item h="1" x="111"/>
        <item h="1" x="173"/>
        <item h="1" x="199"/>
        <item h="1" x="74"/>
        <item h="1" x="80"/>
        <item h="1" x="182"/>
        <item h="1" x="61"/>
        <item h="1" x="167"/>
        <item h="1" x="184"/>
        <item h="1" x="59"/>
        <item h="1" x="243"/>
        <item h="1" x="112"/>
        <item h="1" x="66"/>
        <item h="1" x="77"/>
        <item h="1" x="126"/>
        <item h="1" x="93"/>
        <item h="1" x="266"/>
        <item h="1" x="26"/>
        <item h="1" x="129"/>
        <item h="1" x="197"/>
        <item h="1" x="156"/>
        <item h="1" x="292"/>
        <item h="1" x="201"/>
        <item h="1" x="148"/>
        <item h="1" x="14"/>
        <item h="1" x="218"/>
        <item h="1" x="250"/>
        <item h="1" x="37"/>
        <item h="1" x="86"/>
        <item h="1" x="62"/>
        <item h="1" x="244"/>
        <item h="1" x="25"/>
        <item h="1" x="76"/>
        <item h="1" x="53"/>
        <item h="1" x="179"/>
        <item h="1" x="75"/>
        <item h="1" x="225"/>
        <item h="1" x="242"/>
        <item h="1" x="82"/>
        <item h="1" x="39"/>
        <item h="1" x="22"/>
        <item h="1" x="295"/>
        <item h="1" x="40"/>
        <item t="default"/>
      </items>
    </pivotField>
    <pivotField showAll="0">
      <items count="5">
        <item x="3"/>
        <item x="1"/>
        <item x="2"/>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4"/>
    </i>
    <i>
      <x v="6"/>
    </i>
    <i>
      <x v="7"/>
    </i>
    <i>
      <x v="8"/>
    </i>
    <i t="grand">
      <x/>
    </i>
  </rowItems>
  <colItems count="1">
    <i/>
  </colItems>
  <dataFields count="1">
    <dataField name="Sum of Units" fld="4"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1BF603-E2DC-45FD-B414-7E33CBD2523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60:D366" firstHeaderRow="1" firstDataRow="1" firstDataCol="1"/>
  <pivotFields count="14">
    <pivotField showAll="0"/>
    <pivotField axis="axisRow" showAll="0" measureFilter="1">
      <items count="300">
        <item x="123"/>
        <item x="7"/>
        <item x="157"/>
        <item x="148"/>
        <item x="166"/>
        <item x="165"/>
        <item x="186"/>
        <item x="70"/>
        <item x="135"/>
        <item x="3"/>
        <item x="209"/>
        <item x="191"/>
        <item x="220"/>
        <item x="206"/>
        <item x="219"/>
        <item x="69"/>
        <item x="124"/>
        <item x="86"/>
        <item x="105"/>
        <item x="48"/>
        <item x="207"/>
        <item x="131"/>
        <item x="242"/>
        <item x="108"/>
        <item x="38"/>
        <item x="170"/>
        <item x="150"/>
        <item x="141"/>
        <item x="183"/>
        <item x="75"/>
        <item x="284"/>
        <item x="228"/>
        <item x="147"/>
        <item x="17"/>
        <item x="215"/>
        <item x="205"/>
        <item x="261"/>
        <item x="275"/>
        <item x="216"/>
        <item x="279"/>
        <item x="211"/>
        <item x="214"/>
        <item x="292"/>
        <item x="35"/>
        <item x="227"/>
        <item x="151"/>
        <item x="203"/>
        <item x="271"/>
        <item x="194"/>
        <item x="79"/>
        <item x="101"/>
        <item x="40"/>
        <item x="270"/>
        <item x="60"/>
        <item x="49"/>
        <item x="11"/>
        <item x="39"/>
        <item x="145"/>
        <item x="283"/>
        <item x="168"/>
        <item x="0"/>
        <item x="249"/>
        <item x="221"/>
        <item x="127"/>
        <item x="29"/>
        <item x="98"/>
        <item x="102"/>
        <item x="155"/>
        <item x="266"/>
        <item x="225"/>
        <item x="68"/>
        <item x="42"/>
        <item x="267"/>
        <item x="77"/>
        <item x="256"/>
        <item x="14"/>
        <item x="274"/>
        <item x="230"/>
        <item x="89"/>
        <item x="54"/>
        <item x="4"/>
        <item x="24"/>
        <item x="19"/>
        <item x="56"/>
        <item x="190"/>
        <item x="287"/>
        <item x="247"/>
        <item x="210"/>
        <item x="240"/>
        <item x="212"/>
        <item x="103"/>
        <item x="43"/>
        <item x="58"/>
        <item x="159"/>
        <item x="222"/>
        <item x="113"/>
        <item x="139"/>
        <item x="184"/>
        <item x="245"/>
        <item x="231"/>
        <item x="229"/>
        <item x="200"/>
        <item x="2"/>
        <item x="273"/>
        <item x="288"/>
        <item x="248"/>
        <item x="10"/>
        <item x="185"/>
        <item x="298"/>
        <item x="174"/>
        <item x="88"/>
        <item x="280"/>
        <item x="12"/>
        <item x="9"/>
        <item x="259"/>
        <item x="278"/>
        <item x="136"/>
        <item x="81"/>
        <item x="34"/>
        <item x="37"/>
        <item x="171"/>
        <item x="160"/>
        <item x="265"/>
        <item x="161"/>
        <item x="149"/>
        <item x="177"/>
        <item x="27"/>
        <item x="50"/>
        <item x="232"/>
        <item x="208"/>
        <item x="276"/>
        <item x="22"/>
        <item x="16"/>
        <item x="55"/>
        <item x="198"/>
        <item x="8"/>
        <item x="106"/>
        <item x="129"/>
        <item x="223"/>
        <item x="282"/>
        <item x="199"/>
        <item x="5"/>
        <item x="291"/>
        <item x="31"/>
        <item x="144"/>
        <item x="82"/>
        <item x="167"/>
        <item x="107"/>
        <item x="268"/>
        <item x="243"/>
        <item x="109"/>
        <item x="114"/>
        <item x="257"/>
        <item x="143"/>
        <item x="133"/>
        <item x="74"/>
        <item x="140"/>
        <item x="97"/>
        <item x="64"/>
        <item x="53"/>
        <item x="26"/>
        <item x="180"/>
        <item x="289"/>
        <item x="32"/>
        <item x="125"/>
        <item x="169"/>
        <item x="93"/>
        <item x="52"/>
        <item x="21"/>
        <item x="218"/>
        <item x="187"/>
        <item x="78"/>
        <item x="128"/>
        <item x="122"/>
        <item x="297"/>
        <item x="61"/>
        <item x="51"/>
        <item x="95"/>
        <item x="239"/>
        <item x="290"/>
        <item x="142"/>
        <item x="63"/>
        <item x="252"/>
        <item x="44"/>
        <item x="45"/>
        <item x="241"/>
        <item x="92"/>
        <item x="146"/>
        <item x="130"/>
        <item x="115"/>
        <item x="260"/>
        <item x="6"/>
        <item x="100"/>
        <item x="137"/>
        <item x="99"/>
        <item x="173"/>
        <item x="281"/>
        <item x="57"/>
        <item x="237"/>
        <item x="111"/>
        <item x="91"/>
        <item x="164"/>
        <item x="96"/>
        <item x="84"/>
        <item x="152"/>
        <item x="76"/>
        <item x="41"/>
        <item x="80"/>
        <item x="116"/>
        <item x="277"/>
        <item x="134"/>
        <item x="23"/>
        <item x="138"/>
        <item x="72"/>
        <item x="255"/>
        <item x="71"/>
        <item x="104"/>
        <item x="85"/>
        <item x="132"/>
        <item x="175"/>
        <item x="47"/>
        <item x="253"/>
        <item x="172"/>
        <item x="65"/>
        <item x="66"/>
        <item x="121"/>
        <item x="1"/>
        <item x="153"/>
        <item x="254"/>
        <item x="235"/>
        <item x="296"/>
        <item x="163"/>
        <item x="263"/>
        <item x="126"/>
        <item x="293"/>
        <item x="204"/>
        <item x="33"/>
        <item x="234"/>
        <item x="197"/>
        <item x="286"/>
        <item x="46"/>
        <item x="269"/>
        <item x="30"/>
        <item x="90"/>
        <item x="25"/>
        <item x="73"/>
        <item x="196"/>
        <item x="226"/>
        <item x="233"/>
        <item x="181"/>
        <item x="236"/>
        <item x="251"/>
        <item x="238"/>
        <item x="156"/>
        <item x="118"/>
        <item x="158"/>
        <item x="112"/>
        <item x="62"/>
        <item x="188"/>
        <item x="28"/>
        <item x="94"/>
        <item x="176"/>
        <item x="246"/>
        <item x="224"/>
        <item x="87"/>
        <item x="201"/>
        <item x="119"/>
        <item x="120"/>
        <item x="182"/>
        <item x="193"/>
        <item x="18"/>
        <item x="189"/>
        <item x="36"/>
        <item x="83"/>
        <item x="15"/>
        <item x="250"/>
        <item x="178"/>
        <item x="13"/>
        <item x="202"/>
        <item x="285"/>
        <item x="272"/>
        <item x="264"/>
        <item x="154"/>
        <item x="162"/>
        <item x="258"/>
        <item x="294"/>
        <item x="262"/>
        <item x="213"/>
        <item x="244"/>
        <item x="110"/>
        <item x="20"/>
        <item x="295"/>
        <item x="67"/>
        <item x="59"/>
        <item x="217"/>
        <item x="117"/>
        <item x="179"/>
        <item x="195"/>
        <item x="192"/>
        <item t="default"/>
      </items>
    </pivotField>
    <pivotField showAll="0"/>
    <pivotField showAll="0"/>
    <pivotField showAll="0"/>
    <pivotField showAll="0"/>
    <pivotField numFmtId="164" showAll="0">
      <items count="151">
        <item x="82"/>
        <item x="138"/>
        <item x="29"/>
        <item x="110"/>
        <item x="80"/>
        <item x="26"/>
        <item x="71"/>
        <item x="106"/>
        <item x="36"/>
        <item x="12"/>
        <item x="90"/>
        <item x="7"/>
        <item x="145"/>
        <item x="101"/>
        <item x="135"/>
        <item x="91"/>
        <item x="59"/>
        <item x="78"/>
        <item x="51"/>
        <item x="88"/>
        <item x="134"/>
        <item x="56"/>
        <item x="33"/>
        <item x="40"/>
        <item x="142"/>
        <item x="126"/>
        <item x="89"/>
        <item x="11"/>
        <item x="100"/>
        <item x="85"/>
        <item x="76"/>
        <item x="109"/>
        <item x="131"/>
        <item x="96"/>
        <item x="102"/>
        <item x="38"/>
        <item x="55"/>
        <item x="20"/>
        <item x="147"/>
        <item x="143"/>
        <item x="22"/>
        <item x="139"/>
        <item x="104"/>
        <item x="114"/>
        <item x="19"/>
        <item x="5"/>
        <item x="95"/>
        <item x="17"/>
        <item x="113"/>
        <item x="32"/>
        <item x="72"/>
        <item x="87"/>
        <item x="31"/>
        <item x="128"/>
        <item x="73"/>
        <item x="79"/>
        <item x="30"/>
        <item x="50"/>
        <item x="13"/>
        <item x="86"/>
        <item x="116"/>
        <item x="44"/>
        <item x="112"/>
        <item x="39"/>
        <item x="66"/>
        <item x="132"/>
        <item x="69"/>
        <item x="65"/>
        <item x="68"/>
        <item x="129"/>
        <item x="61"/>
        <item x="74"/>
        <item x="84"/>
        <item x="115"/>
        <item x="60"/>
        <item x="121"/>
        <item x="64"/>
        <item x="35"/>
        <item x="144"/>
        <item x="103"/>
        <item x="8"/>
        <item x="149"/>
        <item x="43"/>
        <item x="47"/>
        <item x="25"/>
        <item x="37"/>
        <item x="28"/>
        <item x="97"/>
        <item x="0"/>
        <item x="27"/>
        <item x="146"/>
        <item x="127"/>
        <item x="18"/>
        <item x="53"/>
        <item x="125"/>
        <item x="14"/>
        <item x="141"/>
        <item x="21"/>
        <item x="148"/>
        <item x="24"/>
        <item x="6"/>
        <item x="124"/>
        <item x="130"/>
        <item x="45"/>
        <item x="2"/>
        <item x="9"/>
        <item x="75"/>
        <item x="122"/>
        <item x="120"/>
        <item x="117"/>
        <item x="34"/>
        <item x="63"/>
        <item x="133"/>
        <item x="52"/>
        <item x="54"/>
        <item x="58"/>
        <item x="94"/>
        <item x="70"/>
        <item x="108"/>
        <item x="62"/>
        <item x="83"/>
        <item x="93"/>
        <item x="3"/>
        <item x="98"/>
        <item x="4"/>
        <item x="1"/>
        <item x="67"/>
        <item x="123"/>
        <item x="92"/>
        <item x="118"/>
        <item x="46"/>
        <item x="81"/>
        <item x="41"/>
        <item x="10"/>
        <item x="16"/>
        <item x="42"/>
        <item x="77"/>
        <item x="99"/>
        <item x="136"/>
        <item x="23"/>
        <item x="140"/>
        <item x="119"/>
        <item x="49"/>
        <item x="137"/>
        <item x="105"/>
        <item x="107"/>
        <item x="15"/>
        <item x="111"/>
        <item x="48"/>
        <item x="57"/>
        <item t="default"/>
      </items>
    </pivotField>
    <pivotField showAll="0"/>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1"/>
  </rowFields>
  <rowItems count="6">
    <i>
      <x v="123"/>
    </i>
    <i>
      <x v="179"/>
    </i>
    <i>
      <x v="181"/>
    </i>
    <i>
      <x v="280"/>
    </i>
    <i>
      <x v="290"/>
    </i>
    <i t="grand">
      <x/>
    </i>
  </rowItems>
  <colItems count="1">
    <i/>
  </colItems>
  <dataFields count="1">
    <dataField name="Sum of Total_Amount" fld="10" baseField="0" baseItem="0"/>
  </dataField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86A99D-2646-4E5B-AA54-8F05267020E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45:G355" firstHeaderRow="1" firstDataRow="2" firstDataCol="1"/>
  <pivotFields count="14">
    <pivotField dataField="1" showAll="0"/>
    <pivotField showAll="0"/>
    <pivotField showAll="0"/>
    <pivotField showAll="0"/>
    <pivotField showAll="0"/>
    <pivotField showAll="0"/>
    <pivotField axis="axisRow" numFmtId="164" showAll="0">
      <items count="151">
        <item x="82"/>
        <item x="138"/>
        <item x="29"/>
        <item x="110"/>
        <item x="80"/>
        <item x="26"/>
        <item x="71"/>
        <item x="106"/>
        <item x="36"/>
        <item x="12"/>
        <item x="90"/>
        <item x="7"/>
        <item x="145"/>
        <item x="101"/>
        <item x="135"/>
        <item x="91"/>
        <item x="59"/>
        <item x="78"/>
        <item x="51"/>
        <item x="88"/>
        <item x="134"/>
        <item x="56"/>
        <item x="33"/>
        <item x="40"/>
        <item x="142"/>
        <item x="126"/>
        <item x="89"/>
        <item x="11"/>
        <item x="100"/>
        <item x="85"/>
        <item x="76"/>
        <item x="109"/>
        <item x="131"/>
        <item x="96"/>
        <item x="102"/>
        <item x="38"/>
        <item x="55"/>
        <item x="20"/>
        <item x="147"/>
        <item x="143"/>
        <item x="22"/>
        <item x="139"/>
        <item x="104"/>
        <item x="114"/>
        <item x="19"/>
        <item x="5"/>
        <item x="95"/>
        <item x="17"/>
        <item x="113"/>
        <item x="32"/>
        <item x="72"/>
        <item x="87"/>
        <item x="31"/>
        <item x="128"/>
        <item x="73"/>
        <item x="79"/>
        <item x="30"/>
        <item x="50"/>
        <item x="13"/>
        <item x="86"/>
        <item x="116"/>
        <item x="44"/>
        <item x="112"/>
        <item x="39"/>
        <item x="66"/>
        <item x="132"/>
        <item x="69"/>
        <item x="65"/>
        <item x="68"/>
        <item x="129"/>
        <item x="61"/>
        <item x="74"/>
        <item x="84"/>
        <item x="115"/>
        <item x="60"/>
        <item x="121"/>
        <item x="64"/>
        <item x="35"/>
        <item x="144"/>
        <item x="103"/>
        <item x="8"/>
        <item x="149"/>
        <item x="43"/>
        <item x="47"/>
        <item x="25"/>
        <item x="37"/>
        <item x="28"/>
        <item x="97"/>
        <item x="0"/>
        <item x="27"/>
        <item x="146"/>
        <item x="127"/>
        <item x="18"/>
        <item x="53"/>
        <item x="125"/>
        <item x="14"/>
        <item x="141"/>
        <item x="21"/>
        <item x="148"/>
        <item x="24"/>
        <item x="6"/>
        <item x="124"/>
        <item x="130"/>
        <item x="45"/>
        <item x="2"/>
        <item x="9"/>
        <item x="75"/>
        <item x="122"/>
        <item x="120"/>
        <item x="117"/>
        <item x="34"/>
        <item x="63"/>
        <item x="133"/>
        <item x="52"/>
        <item x="54"/>
        <item x="58"/>
        <item x="94"/>
        <item x="70"/>
        <item x="108"/>
        <item x="62"/>
        <item x="83"/>
        <item x="93"/>
        <item x="3"/>
        <item x="98"/>
        <item x="4"/>
        <item x="1"/>
        <item x="67"/>
        <item x="123"/>
        <item x="92"/>
        <item x="118"/>
        <item x="46"/>
        <item x="81"/>
        <item x="41"/>
        <item x="10"/>
        <item x="16"/>
        <item x="42"/>
        <item x="77"/>
        <item x="99"/>
        <item x="136"/>
        <item x="23"/>
        <item x="140"/>
        <item x="119"/>
        <item x="49"/>
        <item x="137"/>
        <item x="105"/>
        <item x="107"/>
        <item x="15"/>
        <item x="111"/>
        <item x="48"/>
        <item x="57"/>
        <item t="default"/>
      </items>
    </pivotField>
    <pivotField showAll="0"/>
    <pivotField showAll="0"/>
    <pivotField axis="axisCol" showAll="0">
      <items count="5">
        <item h="1" x="3"/>
        <item x="1"/>
        <item h="1" x="2"/>
        <item x="0"/>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6"/>
  </rowFields>
  <rowItems count="109">
    <i>
      <x/>
    </i>
    <i>
      <x v="2"/>
    </i>
    <i>
      <x v="3"/>
    </i>
    <i>
      <x v="4"/>
    </i>
    <i>
      <x v="5"/>
    </i>
    <i>
      <x v="6"/>
    </i>
    <i>
      <x v="7"/>
    </i>
    <i>
      <x v="9"/>
    </i>
    <i>
      <x v="10"/>
    </i>
    <i>
      <x v="12"/>
    </i>
    <i>
      <x v="13"/>
    </i>
    <i>
      <x v="14"/>
    </i>
    <i>
      <x v="15"/>
    </i>
    <i>
      <x v="17"/>
    </i>
    <i>
      <x v="18"/>
    </i>
    <i>
      <x v="19"/>
    </i>
    <i>
      <x v="20"/>
    </i>
    <i>
      <x v="21"/>
    </i>
    <i>
      <x v="22"/>
    </i>
    <i>
      <x v="23"/>
    </i>
    <i>
      <x v="26"/>
    </i>
    <i>
      <x v="27"/>
    </i>
    <i>
      <x v="28"/>
    </i>
    <i>
      <x v="29"/>
    </i>
    <i>
      <x v="30"/>
    </i>
    <i>
      <x v="31"/>
    </i>
    <i>
      <x v="33"/>
    </i>
    <i>
      <x v="34"/>
    </i>
    <i>
      <x v="35"/>
    </i>
    <i>
      <x v="36"/>
    </i>
    <i>
      <x v="40"/>
    </i>
    <i>
      <x v="42"/>
    </i>
    <i>
      <x v="43"/>
    </i>
    <i>
      <x v="44"/>
    </i>
    <i>
      <x v="45"/>
    </i>
    <i>
      <x v="46"/>
    </i>
    <i>
      <x v="47"/>
    </i>
    <i>
      <x v="48"/>
    </i>
    <i>
      <x v="49"/>
    </i>
    <i>
      <x v="50"/>
    </i>
    <i>
      <x v="51"/>
    </i>
    <i>
      <x v="52"/>
    </i>
    <i>
      <x v="54"/>
    </i>
    <i>
      <x v="55"/>
    </i>
    <i>
      <x v="56"/>
    </i>
    <i>
      <x v="58"/>
    </i>
    <i>
      <x v="59"/>
    </i>
    <i>
      <x v="60"/>
    </i>
    <i>
      <x v="62"/>
    </i>
    <i>
      <x v="63"/>
    </i>
    <i>
      <x v="64"/>
    </i>
    <i>
      <x v="66"/>
    </i>
    <i>
      <x v="70"/>
    </i>
    <i>
      <x v="73"/>
    </i>
    <i>
      <x v="74"/>
    </i>
    <i>
      <x v="75"/>
    </i>
    <i>
      <x v="76"/>
    </i>
    <i>
      <x v="77"/>
    </i>
    <i>
      <x v="78"/>
    </i>
    <i>
      <x v="79"/>
    </i>
    <i>
      <x v="80"/>
    </i>
    <i>
      <x v="82"/>
    </i>
    <i>
      <x v="83"/>
    </i>
    <i>
      <x v="84"/>
    </i>
    <i>
      <x v="85"/>
    </i>
    <i>
      <x v="86"/>
    </i>
    <i>
      <x v="87"/>
    </i>
    <i>
      <x v="88"/>
    </i>
    <i>
      <x v="89"/>
    </i>
    <i>
      <x v="90"/>
    </i>
    <i>
      <x v="91"/>
    </i>
    <i>
      <x v="92"/>
    </i>
    <i>
      <x v="93"/>
    </i>
    <i>
      <x v="96"/>
    </i>
    <i>
      <x v="97"/>
    </i>
    <i>
      <x v="98"/>
    </i>
    <i>
      <x v="99"/>
    </i>
    <i>
      <x v="101"/>
    </i>
    <i>
      <x v="103"/>
    </i>
    <i>
      <x v="104"/>
    </i>
    <i>
      <x v="105"/>
    </i>
    <i>
      <x v="106"/>
    </i>
    <i>
      <x v="107"/>
    </i>
    <i>
      <x v="109"/>
    </i>
    <i>
      <x v="110"/>
    </i>
    <i>
      <x v="111"/>
    </i>
    <i>
      <x v="112"/>
    </i>
    <i>
      <x v="114"/>
    </i>
    <i>
      <x v="115"/>
    </i>
    <i>
      <x v="116"/>
    </i>
    <i>
      <x v="117"/>
    </i>
    <i>
      <x v="121"/>
    </i>
    <i>
      <x v="122"/>
    </i>
    <i>
      <x v="124"/>
    </i>
    <i>
      <x v="125"/>
    </i>
    <i>
      <x v="128"/>
    </i>
    <i>
      <x v="129"/>
    </i>
    <i>
      <x v="130"/>
    </i>
    <i>
      <x v="132"/>
    </i>
    <i>
      <x v="133"/>
    </i>
    <i>
      <x v="134"/>
    </i>
    <i>
      <x v="135"/>
    </i>
    <i>
      <x v="136"/>
    </i>
    <i>
      <x v="139"/>
    </i>
    <i>
      <x v="142"/>
    </i>
    <i>
      <x v="147"/>
    </i>
    <i>
      <x v="148"/>
    </i>
    <i>
      <x v="149"/>
    </i>
    <i t="grand">
      <x/>
    </i>
  </rowItems>
  <colFields count="1">
    <field x="9"/>
  </colFields>
  <colItems count="3">
    <i>
      <x v="1"/>
    </i>
    <i>
      <x v="3"/>
    </i>
    <i t="grand">
      <x/>
    </i>
  </colItems>
  <dataFields count="1">
    <dataField name="Count of Order_ID" fld="0" subtotal="count" baseField="0" baseItem="0"/>
  </dataFields>
  <chartFormats count="3">
    <chartFormat chart="3" format="1" series="1">
      <pivotArea type="data" outline="0" fieldPosition="0">
        <references count="1">
          <reference field="4294967294" count="1" selected="0">
            <x v="0"/>
          </reference>
        </references>
      </pivotArea>
    </chartFormat>
    <chartFormat chart="3" format="2" series="1">
      <pivotArea type="data" outline="0" fieldPosition="0">
        <references count="2">
          <reference field="4294967294" count="1" selected="0">
            <x v="0"/>
          </reference>
          <reference field="9" count="1" selected="0">
            <x v="3"/>
          </reference>
        </references>
      </pivotArea>
    </chartFormat>
    <chartFormat chart="3" format="3"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6B529B-2F12-4A17-A135-B924BD355CE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7:E168" firstHeaderRow="1" firstDataRow="1" firstDataCol="1"/>
  <pivotFields count="14">
    <pivotField showAll="0"/>
    <pivotField showAll="0"/>
    <pivotField showAll="0"/>
    <pivotField showAll="0">
      <items count="6">
        <item x="4"/>
        <item x="0"/>
        <item x="2"/>
        <item x="1"/>
        <item x="3"/>
        <item t="default"/>
      </items>
    </pivotField>
    <pivotField showAll="0"/>
    <pivotField showAll="0"/>
    <pivotField axis="axisRow" numFmtId="164" showAll="0">
      <items count="151">
        <item x="82"/>
        <item x="138"/>
        <item x="29"/>
        <item x="110"/>
        <item x="80"/>
        <item x="26"/>
        <item x="71"/>
        <item x="106"/>
        <item x="36"/>
        <item x="12"/>
        <item x="90"/>
        <item x="7"/>
        <item x="145"/>
        <item x="101"/>
        <item x="135"/>
        <item x="91"/>
        <item x="59"/>
        <item x="78"/>
        <item x="51"/>
        <item x="88"/>
        <item x="134"/>
        <item x="56"/>
        <item x="33"/>
        <item x="40"/>
        <item x="142"/>
        <item x="126"/>
        <item x="89"/>
        <item x="11"/>
        <item x="100"/>
        <item x="85"/>
        <item x="76"/>
        <item x="109"/>
        <item x="131"/>
        <item x="96"/>
        <item x="102"/>
        <item x="38"/>
        <item x="55"/>
        <item x="20"/>
        <item x="147"/>
        <item x="143"/>
        <item x="22"/>
        <item x="139"/>
        <item x="104"/>
        <item x="114"/>
        <item x="19"/>
        <item x="5"/>
        <item x="95"/>
        <item x="17"/>
        <item x="113"/>
        <item x="32"/>
        <item x="72"/>
        <item x="87"/>
        <item x="31"/>
        <item x="128"/>
        <item x="73"/>
        <item x="79"/>
        <item x="30"/>
        <item x="50"/>
        <item x="13"/>
        <item x="86"/>
        <item x="116"/>
        <item x="44"/>
        <item x="112"/>
        <item x="39"/>
        <item x="66"/>
        <item x="132"/>
        <item x="69"/>
        <item x="65"/>
        <item x="68"/>
        <item x="129"/>
        <item x="61"/>
        <item x="74"/>
        <item x="84"/>
        <item x="115"/>
        <item x="60"/>
        <item x="121"/>
        <item x="64"/>
        <item x="35"/>
        <item x="144"/>
        <item x="103"/>
        <item x="8"/>
        <item x="149"/>
        <item x="43"/>
        <item x="47"/>
        <item x="25"/>
        <item x="37"/>
        <item x="28"/>
        <item x="97"/>
        <item x="0"/>
        <item x="27"/>
        <item x="146"/>
        <item x="127"/>
        <item x="18"/>
        <item x="53"/>
        <item x="125"/>
        <item x="14"/>
        <item x="141"/>
        <item x="21"/>
        <item x="148"/>
        <item x="24"/>
        <item x="6"/>
        <item x="124"/>
        <item x="130"/>
        <item x="45"/>
        <item x="2"/>
        <item x="9"/>
        <item x="75"/>
        <item x="122"/>
        <item x="120"/>
        <item x="117"/>
        <item x="34"/>
        <item x="63"/>
        <item x="133"/>
        <item x="52"/>
        <item x="54"/>
        <item x="58"/>
        <item x="94"/>
        <item x="70"/>
        <item x="108"/>
        <item x="62"/>
        <item x="83"/>
        <item x="93"/>
        <item x="3"/>
        <item x="98"/>
        <item x="4"/>
        <item x="1"/>
        <item x="67"/>
        <item x="123"/>
        <item x="92"/>
        <item x="118"/>
        <item x="46"/>
        <item x="81"/>
        <item x="41"/>
        <item x="10"/>
        <item x="16"/>
        <item x="42"/>
        <item x="77"/>
        <item x="99"/>
        <item x="136"/>
        <item x="23"/>
        <item x="140"/>
        <item x="119"/>
        <item x="49"/>
        <item x="137"/>
        <item x="105"/>
        <item x="107"/>
        <item x="15"/>
        <item x="111"/>
        <item x="48"/>
        <item x="57"/>
        <item t="default"/>
      </items>
    </pivotField>
    <pivotField showAll="0"/>
    <pivotField showAll="0">
      <items count="299">
        <item x="50"/>
        <item x="16"/>
        <item x="190"/>
        <item x="221"/>
        <item x="101"/>
        <item x="206"/>
        <item x="116"/>
        <item x="127"/>
        <item x="255"/>
        <item x="264"/>
        <item x="294"/>
        <item x="237"/>
        <item x="23"/>
        <item x="253"/>
        <item x="163"/>
        <item x="186"/>
        <item x="9"/>
        <item x="166"/>
        <item x="297"/>
        <item x="268"/>
        <item x="154"/>
        <item x="246"/>
        <item x="113"/>
        <item x="276"/>
        <item x="183"/>
        <item x="257"/>
        <item x="178"/>
        <item x="232"/>
        <item x="109"/>
        <item x="172"/>
        <item x="97"/>
        <item x="83"/>
        <item x="18"/>
        <item x="249"/>
        <item x="58"/>
        <item x="145"/>
        <item x="92"/>
        <item x="138"/>
        <item x="227"/>
        <item x="192"/>
        <item x="90"/>
        <item x="287"/>
        <item x="47"/>
        <item x="33"/>
        <item x="34"/>
        <item x="296"/>
        <item x="0"/>
        <item x="256"/>
        <item x="146"/>
        <item x="212"/>
        <item x="288"/>
        <item x="100"/>
        <item x="267"/>
        <item x="224"/>
        <item x="248"/>
        <item x="245"/>
        <item x="193"/>
        <item x="21"/>
        <item x="106"/>
        <item x="49"/>
        <item x="81"/>
        <item x="52"/>
        <item x="88"/>
        <item x="282"/>
        <item x="188"/>
        <item x="124"/>
        <item x="10"/>
        <item x="260"/>
        <item x="63"/>
        <item x="133"/>
        <item x="114"/>
        <item x="290"/>
        <item x="223"/>
        <item x="70"/>
        <item x="240"/>
        <item x="27"/>
        <item x="67"/>
        <item x="135"/>
        <item x="170"/>
        <item x="162"/>
        <item x="56"/>
        <item x="120"/>
        <item x="270"/>
        <item x="204"/>
        <item x="159"/>
        <item x="228"/>
        <item x="122"/>
        <item x="281"/>
        <item x="269"/>
        <item x="273"/>
        <item x="152"/>
        <item x="99"/>
        <item x="216"/>
        <item x="251"/>
        <item x="64"/>
        <item x="208"/>
        <item x="289"/>
        <item x="136"/>
        <item x="247"/>
        <item x="89"/>
        <item x="252"/>
        <item x="261"/>
        <item x="65"/>
        <item x="213"/>
        <item x="175"/>
        <item x="60"/>
        <item x="102"/>
        <item x="284"/>
        <item x="96"/>
        <item x="72"/>
        <item x="95"/>
        <item x="20"/>
        <item x="108"/>
        <item x="143"/>
        <item x="241"/>
        <item x="36"/>
        <item x="214"/>
        <item x="153"/>
        <item x="98"/>
        <item x="123"/>
        <item x="207"/>
        <item x="215"/>
        <item x="181"/>
        <item x="134"/>
        <item x="164"/>
        <item x="258"/>
        <item x="1"/>
        <item x="87"/>
        <item x="51"/>
        <item x="278"/>
        <item x="115"/>
        <item x="189"/>
        <item x="19"/>
        <item x="149"/>
        <item x="160"/>
        <item x="12"/>
        <item x="104"/>
        <item x="6"/>
        <item x="259"/>
        <item x="165"/>
        <item x="35"/>
        <item x="94"/>
        <item x="132"/>
        <item x="78"/>
        <item x="285"/>
        <item x="229"/>
        <item x="176"/>
        <item x="283"/>
        <item x="202"/>
        <item x="286"/>
        <item x="140"/>
        <item x="119"/>
        <item x="233"/>
        <item x="155"/>
        <item x="226"/>
        <item x="200"/>
        <item x="169"/>
        <item x="161"/>
        <item x="15"/>
        <item x="57"/>
        <item x="235"/>
        <item x="174"/>
        <item x="271"/>
        <item x="220"/>
        <item x="274"/>
        <item x="277"/>
        <item x="275"/>
        <item x="217"/>
        <item x="17"/>
        <item x="73"/>
        <item x="195"/>
        <item x="198"/>
        <item x="11"/>
        <item x="219"/>
        <item x="68"/>
        <item x="54"/>
        <item x="71"/>
        <item x="130"/>
        <item x="238"/>
        <item x="158"/>
        <item x="141"/>
        <item x="157"/>
        <item x="4"/>
        <item x="180"/>
        <item x="38"/>
        <item x="150"/>
        <item x="209"/>
        <item x="205"/>
        <item x="46"/>
        <item x="187"/>
        <item x="13"/>
        <item x="239"/>
        <item x="151"/>
        <item x="293"/>
        <item x="211"/>
        <item x="265"/>
        <item x="44"/>
        <item x="139"/>
        <item x="272"/>
        <item x="121"/>
        <item x="144"/>
        <item x="79"/>
        <item x="254"/>
        <item x="263"/>
        <item x="107"/>
        <item x="279"/>
        <item x="125"/>
        <item x="194"/>
        <item x="91"/>
        <item x="203"/>
        <item x="118"/>
        <item x="31"/>
        <item x="142"/>
        <item x="262"/>
        <item x="3"/>
        <item x="185"/>
        <item x="222"/>
        <item x="8"/>
        <item x="128"/>
        <item x="210"/>
        <item x="234"/>
        <item x="191"/>
        <item x="131"/>
        <item x="196"/>
        <item x="236"/>
        <item x="55"/>
        <item x="45"/>
        <item x="103"/>
        <item x="29"/>
        <item x="105"/>
        <item x="30"/>
        <item x="28"/>
        <item x="171"/>
        <item x="147"/>
        <item x="41"/>
        <item x="291"/>
        <item x="230"/>
        <item x="110"/>
        <item x="24"/>
        <item x="231"/>
        <item x="84"/>
        <item x="42"/>
        <item x="168"/>
        <item x="137"/>
        <item x="7"/>
        <item x="43"/>
        <item x="280"/>
        <item x="32"/>
        <item x="5"/>
        <item x="69"/>
        <item x="117"/>
        <item x="2"/>
        <item x="48"/>
        <item x="85"/>
        <item x="177"/>
        <item x="111"/>
        <item x="173"/>
        <item x="199"/>
        <item x="74"/>
        <item x="80"/>
        <item x="182"/>
        <item x="61"/>
        <item x="167"/>
        <item x="184"/>
        <item x="59"/>
        <item x="243"/>
        <item x="112"/>
        <item x="66"/>
        <item x="77"/>
        <item x="126"/>
        <item x="93"/>
        <item x="266"/>
        <item x="26"/>
        <item x="129"/>
        <item x="197"/>
        <item x="156"/>
        <item x="292"/>
        <item x="201"/>
        <item x="148"/>
        <item x="14"/>
        <item x="218"/>
        <item x="250"/>
        <item x="37"/>
        <item x="86"/>
        <item x="62"/>
        <item x="244"/>
        <item x="25"/>
        <item x="76"/>
        <item x="53"/>
        <item x="179"/>
        <item x="75"/>
        <item x="225"/>
        <item x="242"/>
        <item x="82"/>
        <item x="39"/>
        <item x="22"/>
        <item x="295"/>
        <item x="40"/>
        <item t="default"/>
      </items>
    </pivotField>
    <pivotField showAll="0">
      <items count="5">
        <item x="3"/>
        <item x="1"/>
        <item x="2"/>
        <item x="0"/>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sd="0" x="4"/>
        <item x="5"/>
        <item t="default"/>
      </items>
    </pivotField>
    <pivotField showAll="0">
      <items count="5">
        <item x="0"/>
        <item x="1"/>
        <item sd="0" x="2"/>
        <item x="3"/>
        <item t="default"/>
      </items>
    </pivotField>
  </pivotFields>
  <rowFields count="1">
    <field x="6"/>
  </rowFields>
  <rowItems count="1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t="grand">
      <x/>
    </i>
  </rowItems>
  <colItems count="1">
    <i/>
  </colItems>
  <dataFields count="1">
    <dataField name="Sum of Total_Amount" fld="10" baseField="0" baseItem="0"/>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9C14DE-986B-470A-B04E-ED5FFA44FAE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8:G240" firstHeaderRow="1" firstDataRow="2" firstDataCol="1"/>
  <pivotFields count="14">
    <pivotField showAll="0"/>
    <pivotField showAll="0"/>
    <pivotField axis="axisRow" showAll="0">
      <items count="11">
        <item x="3"/>
        <item x="9"/>
        <item x="8"/>
        <item x="4"/>
        <item x="1"/>
        <item x="0"/>
        <item x="5"/>
        <item x="2"/>
        <item x="6"/>
        <item x="7"/>
        <item t="default"/>
      </items>
    </pivotField>
    <pivotField showAll="0"/>
    <pivotField dataField="1" showAll="0"/>
    <pivotField showAll="0"/>
    <pivotField numFmtId="164" showAll="0">
      <items count="151">
        <item x="82"/>
        <item x="138"/>
        <item x="29"/>
        <item x="110"/>
        <item x="80"/>
        <item x="26"/>
        <item x="71"/>
        <item x="106"/>
        <item x="36"/>
        <item x="12"/>
        <item x="90"/>
        <item x="7"/>
        <item x="145"/>
        <item x="101"/>
        <item x="135"/>
        <item x="91"/>
        <item x="59"/>
        <item x="78"/>
        <item x="51"/>
        <item x="88"/>
        <item x="134"/>
        <item x="56"/>
        <item x="33"/>
        <item x="40"/>
        <item x="142"/>
        <item x="126"/>
        <item x="89"/>
        <item x="11"/>
        <item x="100"/>
        <item x="85"/>
        <item x="76"/>
        <item x="109"/>
        <item x="131"/>
        <item x="96"/>
        <item x="102"/>
        <item x="38"/>
        <item x="55"/>
        <item x="20"/>
        <item x="147"/>
        <item x="143"/>
        <item x="22"/>
        <item x="139"/>
        <item x="104"/>
        <item x="114"/>
        <item x="19"/>
        <item x="5"/>
        <item x="95"/>
        <item x="17"/>
        <item x="113"/>
        <item x="32"/>
        <item x="72"/>
        <item x="87"/>
        <item x="31"/>
        <item x="128"/>
        <item x="73"/>
        <item x="79"/>
        <item x="30"/>
        <item x="50"/>
        <item x="13"/>
        <item x="86"/>
        <item x="116"/>
        <item x="44"/>
        <item x="112"/>
        <item x="39"/>
        <item x="66"/>
        <item x="132"/>
        <item x="69"/>
        <item x="65"/>
        <item x="68"/>
        <item x="129"/>
        <item x="61"/>
        <item x="74"/>
        <item x="84"/>
        <item x="115"/>
        <item x="60"/>
        <item x="121"/>
        <item x="64"/>
        <item x="35"/>
        <item x="144"/>
        <item x="103"/>
        <item x="8"/>
        <item x="149"/>
        <item x="43"/>
        <item x="47"/>
        <item x="25"/>
        <item x="37"/>
        <item x="28"/>
        <item x="97"/>
        <item x="0"/>
        <item x="27"/>
        <item x="146"/>
        <item x="127"/>
        <item x="18"/>
        <item x="53"/>
        <item x="125"/>
        <item x="14"/>
        <item x="141"/>
        <item x="21"/>
        <item x="148"/>
        <item x="24"/>
        <item x="6"/>
        <item x="124"/>
        <item x="130"/>
        <item x="45"/>
        <item x="2"/>
        <item x="9"/>
        <item x="75"/>
        <item x="122"/>
        <item x="120"/>
        <item x="117"/>
        <item x="34"/>
        <item x="63"/>
        <item x="133"/>
        <item x="52"/>
        <item x="54"/>
        <item x="58"/>
        <item x="94"/>
        <item x="70"/>
        <item x="108"/>
        <item x="62"/>
        <item x="83"/>
        <item x="93"/>
        <item x="3"/>
        <item x="98"/>
        <item x="4"/>
        <item x="1"/>
        <item x="67"/>
        <item x="123"/>
        <item x="92"/>
        <item x="118"/>
        <item x="46"/>
        <item x="81"/>
        <item x="41"/>
        <item x="10"/>
        <item x="16"/>
        <item x="42"/>
        <item x="77"/>
        <item x="99"/>
        <item x="136"/>
        <item x="23"/>
        <item x="140"/>
        <item x="119"/>
        <item x="49"/>
        <item x="137"/>
        <item x="105"/>
        <item x="107"/>
        <item x="15"/>
        <item x="111"/>
        <item x="48"/>
        <item x="57"/>
        <item t="default"/>
      </items>
    </pivotField>
    <pivotField axis="axisCol" showAll="0">
      <items count="5">
        <item x="3"/>
        <item x="0"/>
        <item x="2"/>
        <item x="1"/>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11">
    <i>
      <x/>
    </i>
    <i>
      <x v="1"/>
    </i>
    <i>
      <x v="2"/>
    </i>
    <i>
      <x v="3"/>
    </i>
    <i>
      <x v="4"/>
    </i>
    <i>
      <x v="5"/>
    </i>
    <i>
      <x v="6"/>
    </i>
    <i>
      <x v="7"/>
    </i>
    <i>
      <x v="8"/>
    </i>
    <i>
      <x v="9"/>
    </i>
    <i t="grand">
      <x/>
    </i>
  </rowItems>
  <colFields count="1">
    <field x="7"/>
  </colFields>
  <colItems count="5">
    <i>
      <x/>
    </i>
    <i>
      <x v="1"/>
    </i>
    <i>
      <x v="2"/>
    </i>
    <i>
      <x v="3"/>
    </i>
    <i t="grand">
      <x/>
    </i>
  </colItems>
  <dataFields count="1">
    <dataField name="Average of Units" fld="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44EDEA-01C2-4576-A469-FD0F2EFD03D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14:E222" firstHeaderRow="1" firstDataRow="1" firstDataCol="1"/>
  <pivotFields count="14">
    <pivotField showAll="0"/>
    <pivotField showAll="0"/>
    <pivotField showAll="0"/>
    <pivotField showAll="0"/>
    <pivotField showAll="0"/>
    <pivotField showAll="0"/>
    <pivotField axis="axisRow" numFmtId="164" showAll="0">
      <items count="151">
        <item x="82"/>
        <item x="138"/>
        <item x="29"/>
        <item x="110"/>
        <item x="80"/>
        <item x="26"/>
        <item x="71"/>
        <item x="106"/>
        <item x="36"/>
        <item x="12"/>
        <item x="90"/>
        <item x="7"/>
        <item x="145"/>
        <item x="101"/>
        <item x="135"/>
        <item x="91"/>
        <item x="59"/>
        <item x="78"/>
        <item x="51"/>
        <item x="88"/>
        <item x="134"/>
        <item x="56"/>
        <item x="33"/>
        <item x="40"/>
        <item x="142"/>
        <item x="126"/>
        <item x="89"/>
        <item x="11"/>
        <item x="100"/>
        <item x="85"/>
        <item x="76"/>
        <item x="109"/>
        <item x="131"/>
        <item x="96"/>
        <item x="102"/>
        <item x="38"/>
        <item x="55"/>
        <item x="20"/>
        <item x="147"/>
        <item x="143"/>
        <item x="22"/>
        <item x="139"/>
        <item x="104"/>
        <item x="114"/>
        <item x="19"/>
        <item x="5"/>
        <item x="95"/>
        <item x="17"/>
        <item x="113"/>
        <item x="32"/>
        <item x="72"/>
        <item x="87"/>
        <item x="31"/>
        <item x="128"/>
        <item x="73"/>
        <item x="79"/>
        <item x="30"/>
        <item x="50"/>
        <item x="13"/>
        <item x="86"/>
        <item x="116"/>
        <item x="44"/>
        <item x="112"/>
        <item x="39"/>
        <item x="66"/>
        <item x="132"/>
        <item x="69"/>
        <item x="65"/>
        <item x="68"/>
        <item x="129"/>
        <item x="61"/>
        <item x="74"/>
        <item x="84"/>
        <item x="115"/>
        <item x="60"/>
        <item x="121"/>
        <item x="64"/>
        <item x="35"/>
        <item x="144"/>
        <item x="103"/>
        <item x="8"/>
        <item x="149"/>
        <item x="43"/>
        <item x="47"/>
        <item x="25"/>
        <item x="37"/>
        <item x="28"/>
        <item x="97"/>
        <item x="0"/>
        <item x="27"/>
        <item x="146"/>
        <item x="127"/>
        <item x="18"/>
        <item x="53"/>
        <item x="125"/>
        <item x="14"/>
        <item x="141"/>
        <item x="21"/>
        <item x="148"/>
        <item x="24"/>
        <item x="6"/>
        <item x="124"/>
        <item x="130"/>
        <item x="45"/>
        <item x="2"/>
        <item x="9"/>
        <item x="75"/>
        <item x="122"/>
        <item x="120"/>
        <item x="117"/>
        <item x="34"/>
        <item x="63"/>
        <item x="133"/>
        <item x="52"/>
        <item x="54"/>
        <item x="58"/>
        <item x="94"/>
        <item x="70"/>
        <item x="108"/>
        <item x="62"/>
        <item x="83"/>
        <item x="93"/>
        <item x="3"/>
        <item x="98"/>
        <item x="4"/>
        <item x="1"/>
        <item x="67"/>
        <item x="123"/>
        <item x="92"/>
        <item x="118"/>
        <item x="46"/>
        <item x="81"/>
        <item x="41"/>
        <item x="10"/>
        <item x="16"/>
        <item x="42"/>
        <item x="77"/>
        <item x="99"/>
        <item x="136"/>
        <item x="23"/>
        <item x="140"/>
        <item x="119"/>
        <item x="49"/>
        <item x="137"/>
        <item x="105"/>
        <item x="107"/>
        <item x="15"/>
        <item x="111"/>
        <item x="48"/>
        <item x="57"/>
        <item t="default"/>
      </items>
    </pivotField>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1"/>
    <field x="6"/>
  </rowFields>
  <rowItems count="8">
    <i>
      <x v="1"/>
    </i>
    <i>
      <x v="2"/>
    </i>
    <i>
      <x v="3"/>
    </i>
    <i>
      <x v="4"/>
    </i>
    <i>
      <x v="5"/>
    </i>
    <i>
      <x v="11"/>
    </i>
    <i>
      <x v="12"/>
    </i>
    <i t="grand">
      <x/>
    </i>
  </rowItems>
  <colItems count="1">
    <i/>
  </colItems>
  <dataFields count="1">
    <dataField name="Average of Total_Amount" fld="10" subtotal="average" baseField="1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2CAA5B-CE72-4070-8273-9B6494A3005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H12" firstHeaderRow="1" firstDataRow="2" firstDataCol="1"/>
  <pivotFields count="14">
    <pivotField showAll="0"/>
    <pivotField showAll="0"/>
    <pivotField showAll="0"/>
    <pivotField axis="axisRow" showAll="0">
      <items count="6">
        <item x="4"/>
        <item x="0"/>
        <item x="2"/>
        <item x="1"/>
        <item x="3"/>
        <item t="default"/>
      </items>
    </pivotField>
    <pivotField showAll="0"/>
    <pivotField showAll="0"/>
    <pivotField numFmtId="164" showAll="0">
      <items count="151">
        <item x="82"/>
        <item x="138"/>
        <item x="29"/>
        <item x="110"/>
        <item x="80"/>
        <item x="26"/>
        <item x="71"/>
        <item x="106"/>
        <item x="36"/>
        <item x="12"/>
        <item x="90"/>
        <item x="7"/>
        <item x="145"/>
        <item x="101"/>
        <item x="135"/>
        <item x="91"/>
        <item x="59"/>
        <item x="78"/>
        <item x="51"/>
        <item x="88"/>
        <item x="134"/>
        <item x="56"/>
        <item x="33"/>
        <item x="40"/>
        <item x="142"/>
        <item x="126"/>
        <item x="89"/>
        <item x="11"/>
        <item x="100"/>
        <item x="85"/>
        <item x="76"/>
        <item x="109"/>
        <item x="131"/>
        <item x="96"/>
        <item x="102"/>
        <item x="38"/>
        <item x="55"/>
        <item x="20"/>
        <item x="147"/>
        <item x="143"/>
        <item x="22"/>
        <item x="139"/>
        <item x="104"/>
        <item x="114"/>
        <item x="19"/>
        <item x="5"/>
        <item x="95"/>
        <item x="17"/>
        <item x="113"/>
        <item x="32"/>
        <item x="72"/>
        <item x="87"/>
        <item x="31"/>
        <item x="128"/>
        <item x="73"/>
        <item x="79"/>
        <item x="30"/>
        <item x="50"/>
        <item x="13"/>
        <item x="86"/>
        <item x="116"/>
        <item x="44"/>
        <item x="112"/>
        <item x="39"/>
        <item x="66"/>
        <item x="132"/>
        <item x="69"/>
        <item x="65"/>
        <item x="68"/>
        <item x="129"/>
        <item x="61"/>
        <item x="74"/>
        <item x="84"/>
        <item x="115"/>
        <item x="60"/>
        <item x="121"/>
        <item x="64"/>
        <item x="35"/>
        <item x="144"/>
        <item x="103"/>
        <item x="8"/>
        <item x="149"/>
        <item x="43"/>
        <item x="47"/>
        <item x="25"/>
        <item x="37"/>
        <item x="28"/>
        <item x="97"/>
        <item x="0"/>
        <item x="27"/>
        <item x="146"/>
        <item x="127"/>
        <item x="18"/>
        <item x="53"/>
        <item x="125"/>
        <item x="14"/>
        <item x="141"/>
        <item x="21"/>
        <item x="148"/>
        <item x="24"/>
        <item x="6"/>
        <item x="124"/>
        <item x="130"/>
        <item x="45"/>
        <item x="2"/>
        <item x="9"/>
        <item x="75"/>
        <item x="122"/>
        <item x="120"/>
        <item x="117"/>
        <item x="34"/>
        <item x="63"/>
        <item x="133"/>
        <item x="52"/>
        <item x="54"/>
        <item x="58"/>
        <item x="94"/>
        <item x="70"/>
        <item x="108"/>
        <item x="62"/>
        <item x="83"/>
        <item x="93"/>
        <item x="3"/>
        <item x="98"/>
        <item x="4"/>
        <item x="1"/>
        <item x="67"/>
        <item x="123"/>
        <item x="92"/>
        <item x="118"/>
        <item x="46"/>
        <item x="81"/>
        <item x="41"/>
        <item x="10"/>
        <item x="16"/>
        <item x="42"/>
        <item x="77"/>
        <item x="99"/>
        <item x="136"/>
        <item x="23"/>
        <item x="140"/>
        <item x="119"/>
        <item x="49"/>
        <item x="137"/>
        <item x="105"/>
        <item x="107"/>
        <item x="15"/>
        <item x="111"/>
        <item x="48"/>
        <item x="57"/>
        <item t="default"/>
      </items>
    </pivotField>
    <pivotField axis="axisCol" showAll="0">
      <items count="5">
        <item x="3"/>
        <item x="0"/>
        <item x="2"/>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7"/>
  </colFields>
  <colItems count="5">
    <i>
      <x/>
    </i>
    <i>
      <x v="1"/>
    </i>
    <i>
      <x v="2"/>
    </i>
    <i>
      <x v="3"/>
    </i>
    <i t="grand">
      <x/>
    </i>
  </colItems>
  <dataFields count="1">
    <dataField name="Sum of Total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BE23D8DB-FEE6-46C2-9861-C0083D24BA0C}" sourceName="Sales_Rep">
  <pivotTables>
    <pivotTable tabId="6" name="PivotTable3"/>
  </pivotTables>
  <data>
    <tabular pivotCacheId="1639169749">
      <items count="298">
        <i x="50"/>
        <i x="16" s="1"/>
        <i x="190" s="1"/>
        <i x="221"/>
        <i x="101" s="1"/>
        <i x="206" s="1"/>
        <i x="116"/>
        <i x="127" s="1"/>
        <i x="255" s="1"/>
        <i x="264"/>
        <i x="294" s="1"/>
        <i x="237"/>
        <i x="23"/>
        <i x="253"/>
        <i x="163"/>
        <i x="186" s="1"/>
        <i x="9" s="1"/>
        <i x="166"/>
        <i x="297"/>
        <i x="268"/>
        <i x="154"/>
        <i x="246"/>
        <i x="113"/>
        <i x="276"/>
        <i x="183"/>
        <i x="257"/>
        <i x="178"/>
        <i x="232"/>
        <i x="109"/>
        <i x="172"/>
        <i x="97"/>
        <i x="83"/>
        <i x="18"/>
        <i x="249"/>
        <i x="58"/>
        <i x="145"/>
        <i x="92"/>
        <i x="138"/>
        <i x="227"/>
        <i x="192"/>
        <i x="90"/>
        <i x="287"/>
        <i x="47"/>
        <i x="33"/>
        <i x="34"/>
        <i x="296"/>
        <i x="0"/>
        <i x="256"/>
        <i x="146"/>
        <i x="212"/>
        <i x="288"/>
        <i x="100"/>
        <i x="267"/>
        <i x="224"/>
        <i x="248"/>
        <i x="245"/>
        <i x="193"/>
        <i x="21"/>
        <i x="106"/>
        <i x="49"/>
        <i x="81"/>
        <i x="52"/>
        <i x="88"/>
        <i x="282"/>
        <i x="188"/>
        <i x="124"/>
        <i x="10"/>
        <i x="260"/>
        <i x="63"/>
        <i x="133"/>
        <i x="114"/>
        <i x="290"/>
        <i x="223"/>
        <i x="70"/>
        <i x="240"/>
        <i x="27"/>
        <i x="67"/>
        <i x="135"/>
        <i x="170"/>
        <i x="162"/>
        <i x="56"/>
        <i x="120"/>
        <i x="270"/>
        <i x="204"/>
        <i x="159"/>
        <i x="228"/>
        <i x="122"/>
        <i x="281"/>
        <i x="269"/>
        <i x="273"/>
        <i x="152"/>
        <i x="99"/>
        <i x="216"/>
        <i x="251"/>
        <i x="64"/>
        <i x="208"/>
        <i x="289"/>
        <i x="136"/>
        <i x="247"/>
        <i x="89"/>
        <i x="252"/>
        <i x="261"/>
        <i x="65"/>
        <i x="213"/>
        <i x="175"/>
        <i x="60"/>
        <i x="102"/>
        <i x="284"/>
        <i x="96"/>
        <i x="72"/>
        <i x="95"/>
        <i x="20"/>
        <i x="108"/>
        <i x="143"/>
        <i x="241"/>
        <i x="36"/>
        <i x="214"/>
        <i x="153"/>
        <i x="98"/>
        <i x="123"/>
        <i x="207"/>
        <i x="215"/>
        <i x="181"/>
        <i x="134"/>
        <i x="164"/>
        <i x="258"/>
        <i x="1"/>
        <i x="87"/>
        <i x="51"/>
        <i x="278"/>
        <i x="115"/>
        <i x="189"/>
        <i x="19"/>
        <i x="149"/>
        <i x="160"/>
        <i x="12"/>
        <i x="104"/>
        <i x="6"/>
        <i x="259"/>
        <i x="165"/>
        <i x="35"/>
        <i x="94"/>
        <i x="132"/>
        <i x="78"/>
        <i x="285"/>
        <i x="229"/>
        <i x="176"/>
        <i x="283"/>
        <i x="202"/>
        <i x="286"/>
        <i x="140"/>
        <i x="119"/>
        <i x="233"/>
        <i x="155"/>
        <i x="226"/>
        <i x="200"/>
        <i x="169"/>
        <i x="161"/>
        <i x="15"/>
        <i x="57"/>
        <i x="235"/>
        <i x="174"/>
        <i x="271"/>
        <i x="220"/>
        <i x="274"/>
        <i x="277"/>
        <i x="275"/>
        <i x="217"/>
        <i x="17"/>
        <i x="73"/>
        <i x="195"/>
        <i x="198"/>
        <i x="11"/>
        <i x="219"/>
        <i x="68"/>
        <i x="54"/>
        <i x="71"/>
        <i x="130"/>
        <i x="238"/>
        <i x="158"/>
        <i x="141"/>
        <i x="157"/>
        <i x="4"/>
        <i x="180"/>
        <i x="38"/>
        <i x="150"/>
        <i x="209"/>
        <i x="205"/>
        <i x="46"/>
        <i x="187"/>
        <i x="13"/>
        <i x="239"/>
        <i x="151"/>
        <i x="293"/>
        <i x="211"/>
        <i x="265"/>
        <i x="44"/>
        <i x="139"/>
        <i x="272"/>
        <i x="121"/>
        <i x="144"/>
        <i x="79"/>
        <i x="254"/>
        <i x="263"/>
        <i x="107"/>
        <i x="279"/>
        <i x="125"/>
        <i x="194"/>
        <i x="91"/>
        <i x="203"/>
        <i x="118"/>
        <i x="31"/>
        <i x="142"/>
        <i x="262"/>
        <i x="3"/>
        <i x="185"/>
        <i x="222"/>
        <i x="8"/>
        <i x="128"/>
        <i x="210"/>
        <i x="234"/>
        <i x="191"/>
        <i x="131"/>
        <i x="196"/>
        <i x="236"/>
        <i x="55"/>
        <i x="45"/>
        <i x="103"/>
        <i x="29"/>
        <i x="105"/>
        <i x="30"/>
        <i x="28"/>
        <i x="171"/>
        <i x="147"/>
        <i x="41"/>
        <i x="291"/>
        <i x="230"/>
        <i x="110"/>
        <i x="24"/>
        <i x="231"/>
        <i x="84"/>
        <i x="42"/>
        <i x="168"/>
        <i x="137"/>
        <i x="7"/>
        <i x="43"/>
        <i x="280"/>
        <i x="32"/>
        <i x="5"/>
        <i x="69"/>
        <i x="117"/>
        <i x="2"/>
        <i x="48"/>
        <i x="85"/>
        <i x="177"/>
        <i x="111"/>
        <i x="173"/>
        <i x="199"/>
        <i x="74"/>
        <i x="80"/>
        <i x="182"/>
        <i x="61"/>
        <i x="167"/>
        <i x="184"/>
        <i x="59"/>
        <i x="243"/>
        <i x="112"/>
        <i x="66"/>
        <i x="77"/>
        <i x="126"/>
        <i x="93"/>
        <i x="266"/>
        <i x="26"/>
        <i x="129"/>
        <i x="197"/>
        <i x="156"/>
        <i x="292"/>
        <i x="201"/>
        <i x="148"/>
        <i x="14"/>
        <i x="218"/>
        <i x="250"/>
        <i x="37"/>
        <i x="86"/>
        <i x="62"/>
        <i x="244"/>
        <i x="25"/>
        <i x="76"/>
        <i x="53"/>
        <i x="179"/>
        <i x="75"/>
        <i x="225"/>
        <i x="242"/>
        <i x="82"/>
        <i x="39"/>
        <i x="22"/>
        <i x="295"/>
        <i x="4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9E9D744-0C86-4F04-A7D8-DCF14AFD3DAD}" sourceName="Status">
  <pivotTables>
    <pivotTable tabId="6" name="PivotTable3"/>
  </pivotTables>
  <data>
    <tabular pivotCacheId="1639169749">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Rep" xr10:uid="{CA2F791B-8CA4-42CE-9DB1-CDF7B13EDF09}" cache="Slicer_Sales_Rep" caption="Sales_Rep" rowHeight="241300"/>
  <slicer name="Status" xr10:uid="{BF01AA4D-D09D-422E-8FFD-6D44A9BB0A95}" cache="Slicer_Status" caption="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E81109-C8E2-4EF7-8966-B3E28DEE4CBA}" name="Table1" displayName="Table1" ref="A1:K301" totalsRowShown="0" headerRowDxfId="5" headerRowBorderDxfId="4" tableBorderDxfId="3">
  <autoFilter ref="A1:K301" xr:uid="{4AE81109-C8E2-4EF7-8966-B3E28DEE4CBA}">
    <filterColumn colId="9">
      <filters>
        <filter val="Cancelled"/>
        <filter val="Returned"/>
      </filters>
    </filterColumn>
  </autoFilter>
  <tableColumns count="11">
    <tableColumn id="1" xr3:uid="{F33B254C-5C93-47AC-B7B3-18276F24A7D8}" name="Order_ID"/>
    <tableColumn id="2" xr3:uid="{624EBF7D-23D8-4132-BF69-4168977568A1}" name="Customer_Name"/>
    <tableColumn id="3" xr3:uid="{02A38165-EC2E-4231-8A35-603D4A1648FC}" name="Product"/>
    <tableColumn id="4" xr3:uid="{2BEB632B-495D-440B-8FFB-46D0BB4FEE1D}" name="Category"/>
    <tableColumn id="5" xr3:uid="{9850ECC7-481A-4A66-B205-523065DC8223}" name="Units"/>
    <tableColumn id="6" xr3:uid="{4551F757-811C-4FC8-A1C9-8A37191EF3C8}" name="Price_per_Unit"/>
    <tableColumn id="7" xr3:uid="{88798AFA-1C09-416B-B64A-B8CC1D48E689}" name="Order_Date" dataDxfId="2"/>
    <tableColumn id="8" xr3:uid="{681DE36A-B1CF-4DD5-B96C-4FAAF4A3AC95}" name="Region"/>
    <tableColumn id="9" xr3:uid="{C630D700-CDB5-461D-8C1E-B91BD985E564}" name="Sales_Rep"/>
    <tableColumn id="10" xr3:uid="{5622AF9E-6895-46CA-AE65-867BFC036B9C}" name="Status"/>
    <tableColumn id="11" xr3:uid="{8DFE703B-C203-4B7C-8C17-46411E7C198F}" name="Total_Am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
  <sheetViews>
    <sheetView workbookViewId="0">
      <selection activeCell="K13" sqref="K13"/>
    </sheetView>
  </sheetViews>
  <sheetFormatPr defaultRowHeight="14.25" x14ac:dyDescent="0.45"/>
  <sheetData>
    <row r="1" spans="1:1" x14ac:dyDescent="0.45">
      <c r="A1" s="1" t="s">
        <v>0</v>
      </c>
    </row>
    <row r="2" spans="1:1" x14ac:dyDescent="0.45">
      <c r="A2" t="s">
        <v>1</v>
      </c>
    </row>
    <row r="3" spans="1:1" x14ac:dyDescent="0.45">
      <c r="A3"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01"/>
  <sheetViews>
    <sheetView tabSelected="1" topLeftCell="I6" zoomScale="114" workbookViewId="0">
      <selection activeCell="P24" sqref="P24:R24"/>
    </sheetView>
  </sheetViews>
  <sheetFormatPr defaultRowHeight="14.25" x14ac:dyDescent="0.45"/>
  <cols>
    <col min="1" max="1" width="23.59765625" customWidth="1"/>
    <col min="2" max="2" width="10.59765625" bestFit="1" customWidth="1"/>
    <col min="4" max="4" width="15.265625" bestFit="1" customWidth="1"/>
    <col min="5" max="5" width="9.46484375" bestFit="1" customWidth="1"/>
    <col min="9" max="9" width="14.53125" bestFit="1" customWidth="1"/>
    <col min="10" max="10" width="14.46484375" customWidth="1"/>
    <col min="13" max="13" width="21.265625" customWidth="1"/>
    <col min="14" max="14" width="4.06640625" customWidth="1"/>
    <col min="15" max="15" width="9.06640625" hidden="1" customWidth="1"/>
    <col min="16" max="16" width="9.9296875" bestFit="1" customWidth="1"/>
  </cols>
  <sheetData>
    <row r="1" spans="1:19" x14ac:dyDescent="0.45">
      <c r="A1" s="1" t="s">
        <v>3</v>
      </c>
      <c r="B1" s="1" t="s">
        <v>4</v>
      </c>
      <c r="C1" s="1" t="s">
        <v>5</v>
      </c>
      <c r="D1" s="1" t="s">
        <v>6</v>
      </c>
      <c r="E1" s="1" t="s">
        <v>7</v>
      </c>
      <c r="F1" s="1" t="s">
        <v>8</v>
      </c>
      <c r="G1" s="1" t="s">
        <v>9</v>
      </c>
      <c r="H1" s="1" t="s">
        <v>10</v>
      </c>
      <c r="I1" s="1" t="s">
        <v>11</v>
      </c>
      <c r="J1" s="1" t="s">
        <v>12</v>
      </c>
      <c r="K1" s="4" t="s">
        <v>1268</v>
      </c>
    </row>
    <row r="2" spans="1:19" x14ac:dyDescent="0.45">
      <c r="A2" t="s">
        <v>13</v>
      </c>
      <c r="B2" t="s">
        <v>14</v>
      </c>
      <c r="C2" t="s">
        <v>15</v>
      </c>
      <c r="D2" t="s">
        <v>16</v>
      </c>
      <c r="E2">
        <v>12</v>
      </c>
      <c r="F2">
        <v>455.8</v>
      </c>
      <c r="G2">
        <v>10</v>
      </c>
      <c r="H2">
        <v>4922.6400000000003</v>
      </c>
      <c r="I2">
        <v>15</v>
      </c>
      <c r="J2" s="2">
        <v>45805</v>
      </c>
      <c r="K2" t="str" cm="1">
        <f t="array" ref="K2:K301">IF('Practical Q1 - Dataset'!H2:H301&gt;5000,"Yes","NO")</f>
        <v>NO</v>
      </c>
    </row>
    <row r="3" spans="1:19" x14ac:dyDescent="0.45">
      <c r="A3" t="s">
        <v>17</v>
      </c>
      <c r="B3" t="s">
        <v>18</v>
      </c>
      <c r="C3" t="s">
        <v>19</v>
      </c>
      <c r="D3" t="s">
        <v>20</v>
      </c>
      <c r="E3">
        <v>7</v>
      </c>
      <c r="F3">
        <v>183.31</v>
      </c>
      <c r="G3">
        <v>10</v>
      </c>
      <c r="H3">
        <v>1154.8499999999999</v>
      </c>
      <c r="I3">
        <v>20</v>
      </c>
      <c r="J3" s="2">
        <v>45744</v>
      </c>
      <c r="K3" t="str">
        <v>NO</v>
      </c>
      <c r="L3" s="5"/>
      <c r="M3" s="12" t="s">
        <v>328</v>
      </c>
      <c r="N3" s="12"/>
      <c r="O3" s="12"/>
      <c r="P3" s="12"/>
      <c r="Q3" s="12"/>
      <c r="R3" s="12"/>
      <c r="S3" s="5"/>
    </row>
    <row r="4" spans="1:19" x14ac:dyDescent="0.45">
      <c r="A4" t="s">
        <v>21</v>
      </c>
      <c r="B4" t="s">
        <v>22</v>
      </c>
      <c r="C4" t="s">
        <v>23</v>
      </c>
      <c r="D4" t="s">
        <v>24</v>
      </c>
      <c r="E4">
        <v>21</v>
      </c>
      <c r="F4">
        <v>380.86</v>
      </c>
      <c r="G4">
        <v>15</v>
      </c>
      <c r="H4">
        <v>6798.35</v>
      </c>
      <c r="I4">
        <v>10</v>
      </c>
      <c r="J4" s="2">
        <v>45648</v>
      </c>
      <c r="K4" t="str">
        <v>Yes</v>
      </c>
    </row>
    <row r="5" spans="1:19" x14ac:dyDescent="0.45">
      <c r="A5" t="s">
        <v>25</v>
      </c>
      <c r="B5" t="s">
        <v>26</v>
      </c>
      <c r="C5" t="s">
        <v>19</v>
      </c>
      <c r="D5" t="s">
        <v>20</v>
      </c>
      <c r="E5">
        <v>10</v>
      </c>
      <c r="F5">
        <v>97.98</v>
      </c>
      <c r="G5">
        <v>20</v>
      </c>
      <c r="H5">
        <v>783.84</v>
      </c>
      <c r="I5">
        <v>5</v>
      </c>
      <c r="J5" s="2">
        <v>45628</v>
      </c>
      <c r="K5" t="str">
        <v>NO</v>
      </c>
      <c r="M5" t="s">
        <v>1274</v>
      </c>
      <c r="P5">
        <f>SUMIFS(H:H, C:C,R5)</f>
        <v>461850.65999999992</v>
      </c>
      <c r="R5" t="s">
        <v>19</v>
      </c>
    </row>
    <row r="6" spans="1:19" x14ac:dyDescent="0.45">
      <c r="A6" t="s">
        <v>27</v>
      </c>
      <c r="B6" t="s">
        <v>22</v>
      </c>
      <c r="C6" t="s">
        <v>15</v>
      </c>
      <c r="D6" t="s">
        <v>24</v>
      </c>
      <c r="E6">
        <v>20</v>
      </c>
      <c r="F6">
        <v>85.31</v>
      </c>
      <c r="G6">
        <v>0</v>
      </c>
      <c r="H6">
        <v>1706.2</v>
      </c>
      <c r="I6">
        <v>10</v>
      </c>
      <c r="J6" s="2">
        <v>45765</v>
      </c>
      <c r="K6" t="str">
        <v>NO</v>
      </c>
      <c r="P6">
        <f>SUMIFS(H:H, C:C,R6)</f>
        <v>376062.60000000003</v>
      </c>
      <c r="R6" t="s">
        <v>15</v>
      </c>
    </row>
    <row r="7" spans="1:19" x14ac:dyDescent="0.45">
      <c r="A7" t="s">
        <v>28</v>
      </c>
      <c r="B7" t="s">
        <v>14</v>
      </c>
      <c r="C7" t="s">
        <v>19</v>
      </c>
      <c r="D7" t="s">
        <v>20</v>
      </c>
      <c r="E7">
        <v>3</v>
      </c>
      <c r="F7">
        <v>98.87</v>
      </c>
      <c r="G7">
        <v>10</v>
      </c>
      <c r="H7">
        <v>266.95</v>
      </c>
      <c r="I7">
        <v>15</v>
      </c>
      <c r="J7" s="2">
        <v>45649</v>
      </c>
      <c r="K7" t="str">
        <v>NO</v>
      </c>
      <c r="P7">
        <f>SUMIFS(H:H, C:C,R7)</f>
        <v>381512.95999999996</v>
      </c>
      <c r="R7" t="s">
        <v>31</v>
      </c>
    </row>
    <row r="8" spans="1:19" x14ac:dyDescent="0.45">
      <c r="A8" t="s">
        <v>29</v>
      </c>
      <c r="B8" t="s">
        <v>30</v>
      </c>
      <c r="C8" t="s">
        <v>31</v>
      </c>
      <c r="D8" t="s">
        <v>32</v>
      </c>
      <c r="E8">
        <v>17</v>
      </c>
      <c r="F8">
        <v>271.29000000000002</v>
      </c>
      <c r="G8">
        <v>10</v>
      </c>
      <c r="H8">
        <v>4150.74</v>
      </c>
      <c r="I8">
        <v>10</v>
      </c>
      <c r="J8" s="2">
        <v>45764</v>
      </c>
      <c r="K8" t="str">
        <v>NO</v>
      </c>
      <c r="P8">
        <f>SUMIFS(H:H, C:C,R8)</f>
        <v>454226.79000000015</v>
      </c>
      <c r="R8" t="s">
        <v>23</v>
      </c>
    </row>
    <row r="9" spans="1:19" x14ac:dyDescent="0.45">
      <c r="A9" t="s">
        <v>33</v>
      </c>
      <c r="B9" t="s">
        <v>30</v>
      </c>
      <c r="C9" t="s">
        <v>31</v>
      </c>
      <c r="D9" t="s">
        <v>16</v>
      </c>
      <c r="E9">
        <v>22</v>
      </c>
      <c r="F9">
        <v>154.29</v>
      </c>
      <c r="G9">
        <v>5</v>
      </c>
      <c r="H9">
        <v>3224.66</v>
      </c>
      <c r="I9">
        <v>15</v>
      </c>
      <c r="J9" s="2">
        <v>45752</v>
      </c>
      <c r="K9" t="str">
        <v>NO</v>
      </c>
    </row>
    <row r="10" spans="1:19" x14ac:dyDescent="0.45">
      <c r="A10" t="s">
        <v>34</v>
      </c>
      <c r="B10" t="s">
        <v>22</v>
      </c>
      <c r="C10" t="s">
        <v>19</v>
      </c>
      <c r="D10" t="s">
        <v>16</v>
      </c>
      <c r="E10">
        <v>41</v>
      </c>
      <c r="F10">
        <v>27.97</v>
      </c>
      <c r="G10">
        <v>0</v>
      </c>
      <c r="H10">
        <v>1146.77</v>
      </c>
      <c r="I10">
        <v>5</v>
      </c>
      <c r="J10" s="2">
        <v>45650</v>
      </c>
      <c r="K10" t="str">
        <v>NO</v>
      </c>
      <c r="L10" s="5"/>
      <c r="M10" s="6" t="s">
        <v>1276</v>
      </c>
      <c r="N10" s="6"/>
      <c r="O10" s="6"/>
      <c r="P10" s="6"/>
      <c r="Q10" s="6"/>
      <c r="R10" s="6"/>
      <c r="S10" s="5"/>
    </row>
    <row r="11" spans="1:19" x14ac:dyDescent="0.45">
      <c r="A11" t="s">
        <v>35</v>
      </c>
      <c r="B11" t="s">
        <v>18</v>
      </c>
      <c r="C11" t="s">
        <v>23</v>
      </c>
      <c r="D11" t="s">
        <v>16</v>
      </c>
      <c r="E11">
        <v>40</v>
      </c>
      <c r="F11">
        <v>213.91</v>
      </c>
      <c r="G11">
        <v>10</v>
      </c>
      <c r="H11">
        <v>7700.76</v>
      </c>
      <c r="I11">
        <v>10</v>
      </c>
      <c r="J11" s="2">
        <v>45787</v>
      </c>
      <c r="K11" t="str">
        <v>Yes</v>
      </c>
    </row>
    <row r="12" spans="1:19" x14ac:dyDescent="0.45">
      <c r="A12" t="s">
        <v>36</v>
      </c>
      <c r="B12" t="s">
        <v>18</v>
      </c>
      <c r="C12" t="s">
        <v>19</v>
      </c>
      <c r="D12" t="s">
        <v>32</v>
      </c>
      <c r="E12">
        <v>1</v>
      </c>
      <c r="F12">
        <v>396.77</v>
      </c>
      <c r="G12">
        <v>20</v>
      </c>
      <c r="H12">
        <v>317.42</v>
      </c>
      <c r="I12">
        <v>10</v>
      </c>
      <c r="J12" s="2">
        <v>45742</v>
      </c>
      <c r="K12" t="str">
        <v>NO</v>
      </c>
      <c r="M12" t="s">
        <v>1275</v>
      </c>
      <c r="P12">
        <f>COUNTIF(G2:G301,R12)</f>
        <v>63</v>
      </c>
      <c r="R12">
        <v>20</v>
      </c>
    </row>
    <row r="13" spans="1:19" x14ac:dyDescent="0.45">
      <c r="A13" t="s">
        <v>37</v>
      </c>
      <c r="B13" t="s">
        <v>22</v>
      </c>
      <c r="C13" t="s">
        <v>31</v>
      </c>
      <c r="D13" t="s">
        <v>24</v>
      </c>
      <c r="E13">
        <v>4</v>
      </c>
      <c r="F13">
        <v>288.86</v>
      </c>
      <c r="G13">
        <v>0</v>
      </c>
      <c r="H13">
        <v>1155.44</v>
      </c>
      <c r="I13">
        <v>15</v>
      </c>
      <c r="J13" s="2">
        <v>45765</v>
      </c>
      <c r="K13" t="str">
        <v>NO</v>
      </c>
      <c r="P13">
        <f>COUNTIF(G3:G302,R13)</f>
        <v>62</v>
      </c>
      <c r="R13">
        <v>10</v>
      </c>
    </row>
    <row r="14" spans="1:19" x14ac:dyDescent="0.45">
      <c r="A14" t="s">
        <v>38</v>
      </c>
      <c r="B14" t="s">
        <v>18</v>
      </c>
      <c r="C14" t="s">
        <v>31</v>
      </c>
      <c r="D14" t="s">
        <v>20</v>
      </c>
      <c r="E14">
        <v>9</v>
      </c>
      <c r="F14">
        <v>132.87</v>
      </c>
      <c r="G14">
        <v>0</v>
      </c>
      <c r="H14">
        <v>1195.83</v>
      </c>
      <c r="I14">
        <v>5</v>
      </c>
      <c r="J14" s="2">
        <v>45751</v>
      </c>
      <c r="K14" t="str">
        <v>NO</v>
      </c>
      <c r="P14">
        <f>COUNTIF(G4:G303,R14)</f>
        <v>60</v>
      </c>
      <c r="R14">
        <v>15</v>
      </c>
    </row>
    <row r="15" spans="1:19" x14ac:dyDescent="0.45">
      <c r="A15" t="s">
        <v>39</v>
      </c>
      <c r="B15" t="s">
        <v>30</v>
      </c>
      <c r="C15" t="s">
        <v>23</v>
      </c>
      <c r="D15" t="s">
        <v>20</v>
      </c>
      <c r="E15">
        <v>38</v>
      </c>
      <c r="F15">
        <v>306.55</v>
      </c>
      <c r="G15">
        <v>10</v>
      </c>
      <c r="H15">
        <v>10484.01</v>
      </c>
      <c r="I15">
        <v>20</v>
      </c>
      <c r="J15" s="2">
        <v>45757</v>
      </c>
      <c r="K15" t="str">
        <v>Yes</v>
      </c>
      <c r="P15">
        <f>COUNTIF(G5:G304,R15)</f>
        <v>55</v>
      </c>
      <c r="R15">
        <v>5</v>
      </c>
    </row>
    <row r="16" spans="1:19" x14ac:dyDescent="0.45">
      <c r="A16" t="s">
        <v>40</v>
      </c>
      <c r="B16" t="s">
        <v>18</v>
      </c>
      <c r="C16" t="s">
        <v>15</v>
      </c>
      <c r="D16" t="s">
        <v>32</v>
      </c>
      <c r="E16">
        <v>2</v>
      </c>
      <c r="F16">
        <v>379.8</v>
      </c>
      <c r="G16">
        <v>15</v>
      </c>
      <c r="H16">
        <v>645.66</v>
      </c>
      <c r="I16">
        <v>10</v>
      </c>
      <c r="J16" s="2">
        <v>45734</v>
      </c>
      <c r="K16" t="str">
        <v>NO</v>
      </c>
      <c r="P16">
        <f>COUNTIF(G6:G305,R16)</f>
        <v>59</v>
      </c>
      <c r="R16">
        <v>0</v>
      </c>
    </row>
    <row r="17" spans="1:18" x14ac:dyDescent="0.45">
      <c r="A17" t="s">
        <v>41</v>
      </c>
      <c r="B17" t="s">
        <v>14</v>
      </c>
      <c r="C17" t="s">
        <v>19</v>
      </c>
      <c r="D17" t="s">
        <v>20</v>
      </c>
      <c r="E17">
        <v>40</v>
      </c>
      <c r="F17">
        <v>49.33</v>
      </c>
      <c r="G17">
        <v>5</v>
      </c>
      <c r="H17">
        <v>1874.54</v>
      </c>
      <c r="I17">
        <v>10</v>
      </c>
      <c r="J17" s="2">
        <v>45677</v>
      </c>
      <c r="K17" t="str">
        <v>NO</v>
      </c>
      <c r="P17" s="12" t="s">
        <v>1269</v>
      </c>
      <c r="Q17" s="12"/>
      <c r="R17" s="12"/>
    </row>
    <row r="18" spans="1:18" x14ac:dyDescent="0.45">
      <c r="A18" t="s">
        <v>42</v>
      </c>
      <c r="B18" t="s">
        <v>26</v>
      </c>
      <c r="C18" t="s">
        <v>31</v>
      </c>
      <c r="D18" t="s">
        <v>43</v>
      </c>
      <c r="E18">
        <v>23</v>
      </c>
      <c r="F18">
        <v>349.05</v>
      </c>
      <c r="G18">
        <v>10</v>
      </c>
      <c r="H18">
        <v>7225.34</v>
      </c>
      <c r="I18">
        <v>10</v>
      </c>
      <c r="J18" s="2">
        <v>45793</v>
      </c>
      <c r="K18" t="str">
        <v>Yes</v>
      </c>
    </row>
    <row r="19" spans="1:18" x14ac:dyDescent="0.45">
      <c r="A19" t="s">
        <v>44</v>
      </c>
      <c r="B19" t="s">
        <v>30</v>
      </c>
      <c r="C19" t="s">
        <v>31</v>
      </c>
      <c r="D19" t="s">
        <v>43</v>
      </c>
      <c r="E19">
        <v>16</v>
      </c>
      <c r="F19">
        <v>143.71</v>
      </c>
      <c r="G19">
        <v>5</v>
      </c>
      <c r="H19">
        <v>2184.39</v>
      </c>
      <c r="I19">
        <v>10</v>
      </c>
      <c r="J19" s="2">
        <v>45685</v>
      </c>
      <c r="K19" t="str">
        <v>NO</v>
      </c>
      <c r="P19">
        <f>VLOOKUP(A2,A2:F301,6,0)</f>
        <v>455.8</v>
      </c>
    </row>
    <row r="20" spans="1:18" x14ac:dyDescent="0.45">
      <c r="A20" t="s">
        <v>45</v>
      </c>
      <c r="B20" t="s">
        <v>14</v>
      </c>
      <c r="C20" t="s">
        <v>23</v>
      </c>
      <c r="D20" t="s">
        <v>43</v>
      </c>
      <c r="E20">
        <v>45</v>
      </c>
      <c r="F20">
        <v>328.22</v>
      </c>
      <c r="G20">
        <v>5</v>
      </c>
      <c r="H20">
        <v>14031.4</v>
      </c>
      <c r="I20">
        <v>20</v>
      </c>
      <c r="J20" s="2">
        <v>45762</v>
      </c>
      <c r="K20" t="str">
        <v>Yes</v>
      </c>
    </row>
    <row r="21" spans="1:18" x14ac:dyDescent="0.45">
      <c r="A21" t="s">
        <v>46</v>
      </c>
      <c r="B21" t="s">
        <v>18</v>
      </c>
      <c r="C21" t="s">
        <v>15</v>
      </c>
      <c r="D21" t="s">
        <v>16</v>
      </c>
      <c r="E21">
        <v>47</v>
      </c>
      <c r="F21">
        <v>269.14999999999998</v>
      </c>
      <c r="G21">
        <v>0</v>
      </c>
      <c r="H21">
        <v>12650.05</v>
      </c>
      <c r="I21">
        <v>20</v>
      </c>
      <c r="J21" s="2">
        <v>45717</v>
      </c>
      <c r="K21" t="str">
        <v>Yes</v>
      </c>
      <c r="P21" s="12" t="s">
        <v>1270</v>
      </c>
      <c r="Q21" s="12"/>
      <c r="R21" s="12"/>
    </row>
    <row r="22" spans="1:18" x14ac:dyDescent="0.45">
      <c r="A22" t="s">
        <v>47</v>
      </c>
      <c r="B22" t="s">
        <v>26</v>
      </c>
      <c r="C22" t="s">
        <v>23</v>
      </c>
      <c r="D22" t="s">
        <v>43</v>
      </c>
      <c r="E22">
        <v>7</v>
      </c>
      <c r="F22">
        <v>320.93</v>
      </c>
      <c r="G22">
        <v>10</v>
      </c>
      <c r="H22">
        <v>2021.86</v>
      </c>
      <c r="I22">
        <v>5</v>
      </c>
      <c r="J22" s="2">
        <v>45694</v>
      </c>
      <c r="K22" t="str">
        <v>NO</v>
      </c>
    </row>
    <row r="23" spans="1:18" x14ac:dyDescent="0.45">
      <c r="A23" t="s">
        <v>48</v>
      </c>
      <c r="B23" t="s">
        <v>30</v>
      </c>
      <c r="C23" t="s">
        <v>19</v>
      </c>
      <c r="D23" t="s">
        <v>16</v>
      </c>
      <c r="E23">
        <v>38</v>
      </c>
      <c r="F23">
        <v>344.15</v>
      </c>
      <c r="G23">
        <v>20</v>
      </c>
      <c r="H23">
        <v>10462.16</v>
      </c>
      <c r="I23">
        <v>15</v>
      </c>
      <c r="J23" s="2">
        <v>45680</v>
      </c>
      <c r="K23" t="str">
        <v>Yes</v>
      </c>
      <c r="P23" t="str">
        <f>INDEX(B2:B301,MATCH(A2,A:A,0))</f>
        <v>HR</v>
      </c>
    </row>
    <row r="24" spans="1:18" x14ac:dyDescent="0.45">
      <c r="A24" t="s">
        <v>49</v>
      </c>
      <c r="B24" t="s">
        <v>18</v>
      </c>
      <c r="C24" t="s">
        <v>23</v>
      </c>
      <c r="D24" t="s">
        <v>16</v>
      </c>
      <c r="E24">
        <v>33</v>
      </c>
      <c r="F24">
        <v>206.6</v>
      </c>
      <c r="G24">
        <v>20</v>
      </c>
      <c r="H24">
        <v>5454.24</v>
      </c>
      <c r="I24">
        <v>5</v>
      </c>
      <c r="J24" s="2">
        <v>45662</v>
      </c>
      <c r="K24" t="str">
        <v>Yes</v>
      </c>
      <c r="P24" s="12" t="s">
        <v>1271</v>
      </c>
      <c r="Q24" s="12"/>
      <c r="R24" s="12"/>
    </row>
    <row r="25" spans="1:18" x14ac:dyDescent="0.45">
      <c r="A25" t="s">
        <v>50</v>
      </c>
      <c r="B25" t="s">
        <v>22</v>
      </c>
      <c r="C25" t="s">
        <v>19</v>
      </c>
      <c r="D25" t="s">
        <v>24</v>
      </c>
      <c r="E25">
        <v>25</v>
      </c>
      <c r="F25">
        <v>341.65</v>
      </c>
      <c r="G25">
        <v>5</v>
      </c>
      <c r="H25">
        <v>8114.19</v>
      </c>
      <c r="I25">
        <v>10</v>
      </c>
      <c r="J25" s="2">
        <v>45655</v>
      </c>
      <c r="K25" t="str">
        <v>Yes</v>
      </c>
    </row>
    <row r="26" spans="1:18" x14ac:dyDescent="0.45">
      <c r="A26" t="s">
        <v>51</v>
      </c>
      <c r="B26" t="s">
        <v>14</v>
      </c>
      <c r="C26" t="s">
        <v>23</v>
      </c>
      <c r="D26" t="s">
        <v>20</v>
      </c>
      <c r="E26">
        <v>28</v>
      </c>
      <c r="F26">
        <v>187.65</v>
      </c>
      <c r="G26">
        <v>15</v>
      </c>
      <c r="H26">
        <v>4466.07</v>
      </c>
      <c r="I26">
        <v>10</v>
      </c>
      <c r="J26" s="2">
        <v>45714</v>
      </c>
      <c r="K26" t="str">
        <v>NO</v>
      </c>
      <c r="P26">
        <f>RANK(H2,H:H,0)</f>
        <v>134</v>
      </c>
    </row>
    <row r="27" spans="1:18" x14ac:dyDescent="0.45">
      <c r="A27" t="s">
        <v>52</v>
      </c>
      <c r="B27" t="s">
        <v>22</v>
      </c>
      <c r="C27" t="s">
        <v>19</v>
      </c>
      <c r="D27" t="s">
        <v>32</v>
      </c>
      <c r="E27">
        <v>37</v>
      </c>
      <c r="F27">
        <v>268.89999999999998</v>
      </c>
      <c r="G27">
        <v>15</v>
      </c>
      <c r="H27">
        <v>8456.9</v>
      </c>
      <c r="I27">
        <v>10</v>
      </c>
      <c r="J27" s="2">
        <v>45777</v>
      </c>
      <c r="K27" t="str">
        <v>Yes</v>
      </c>
    </row>
    <row r="28" spans="1:18" x14ac:dyDescent="0.45">
      <c r="A28" t="s">
        <v>53</v>
      </c>
      <c r="B28" t="s">
        <v>26</v>
      </c>
      <c r="C28" t="s">
        <v>23</v>
      </c>
      <c r="D28" t="s">
        <v>43</v>
      </c>
      <c r="E28">
        <v>36</v>
      </c>
      <c r="F28">
        <v>446.62</v>
      </c>
      <c r="G28">
        <v>20</v>
      </c>
      <c r="H28">
        <v>12862.66</v>
      </c>
      <c r="I28">
        <v>10</v>
      </c>
      <c r="J28" s="2">
        <v>45685</v>
      </c>
      <c r="K28" t="str">
        <v>Yes</v>
      </c>
      <c r="P28" s="12" t="s">
        <v>1272</v>
      </c>
      <c r="Q28" s="12"/>
      <c r="R28" s="12"/>
    </row>
    <row r="29" spans="1:18" x14ac:dyDescent="0.45">
      <c r="A29" t="s">
        <v>54</v>
      </c>
      <c r="B29" t="s">
        <v>22</v>
      </c>
      <c r="C29" t="s">
        <v>31</v>
      </c>
      <c r="D29" t="s">
        <v>32</v>
      </c>
      <c r="E29">
        <v>36</v>
      </c>
      <c r="F29">
        <v>71.09</v>
      </c>
      <c r="G29">
        <v>5</v>
      </c>
      <c r="H29">
        <v>2431.2800000000002</v>
      </c>
      <c r="I29">
        <v>15</v>
      </c>
      <c r="J29" s="2">
        <v>45687</v>
      </c>
      <c r="K29" t="str">
        <v>NO</v>
      </c>
    </row>
    <row r="30" spans="1:18" x14ac:dyDescent="0.45">
      <c r="A30" t="s">
        <v>55</v>
      </c>
      <c r="B30" t="s">
        <v>14</v>
      </c>
      <c r="C30" t="s">
        <v>23</v>
      </c>
      <c r="D30" t="s">
        <v>16</v>
      </c>
      <c r="E30">
        <v>49</v>
      </c>
      <c r="F30">
        <v>485.34</v>
      </c>
      <c r="G30">
        <v>15</v>
      </c>
      <c r="H30">
        <v>20214.41</v>
      </c>
      <c r="I30">
        <v>20</v>
      </c>
      <c r="J30" s="2">
        <v>45668</v>
      </c>
      <c r="K30" t="str">
        <v>Yes</v>
      </c>
      <c r="P30">
        <f>AVERAGEIFS(F:F,C:C,R30,E:E,"&gt;10")</f>
        <v>246.92741935483866</v>
      </c>
      <c r="R30" t="s">
        <v>19</v>
      </c>
    </row>
    <row r="31" spans="1:18" x14ac:dyDescent="0.45">
      <c r="A31" t="s">
        <v>56</v>
      </c>
      <c r="B31" t="s">
        <v>18</v>
      </c>
      <c r="C31" t="s">
        <v>31</v>
      </c>
      <c r="D31" t="s">
        <v>32</v>
      </c>
      <c r="E31">
        <v>40</v>
      </c>
      <c r="F31">
        <v>488.96</v>
      </c>
      <c r="G31">
        <v>20</v>
      </c>
      <c r="H31">
        <v>15646.72</v>
      </c>
      <c r="I31">
        <v>15</v>
      </c>
      <c r="J31" s="2">
        <v>45745</v>
      </c>
      <c r="K31" t="str">
        <v>Yes</v>
      </c>
      <c r="P31">
        <f t="shared" ref="P31:P33" si="0">AVERAGEIFS(F:F,C:C,R31,E:E,"&gt;10")</f>
        <v>245.56305084745762</v>
      </c>
      <c r="R31" t="s">
        <v>15</v>
      </c>
    </row>
    <row r="32" spans="1:18" x14ac:dyDescent="0.45">
      <c r="A32" t="s">
        <v>57</v>
      </c>
      <c r="B32" t="s">
        <v>26</v>
      </c>
      <c r="C32" t="s">
        <v>19</v>
      </c>
      <c r="D32" t="s">
        <v>32</v>
      </c>
      <c r="E32">
        <v>34</v>
      </c>
      <c r="F32">
        <v>26.63</v>
      </c>
      <c r="G32">
        <v>20</v>
      </c>
      <c r="H32">
        <v>724.34</v>
      </c>
      <c r="I32">
        <v>10</v>
      </c>
      <c r="J32" s="2">
        <v>45686</v>
      </c>
      <c r="K32" t="str">
        <v>NO</v>
      </c>
      <c r="P32">
        <f t="shared" si="0"/>
        <v>246.40480769230771</v>
      </c>
      <c r="R32" t="s">
        <v>31</v>
      </c>
    </row>
    <row r="33" spans="1:21" x14ac:dyDescent="0.45">
      <c r="A33" t="s">
        <v>58</v>
      </c>
      <c r="B33" t="s">
        <v>30</v>
      </c>
      <c r="C33" t="s">
        <v>19</v>
      </c>
      <c r="D33" t="s">
        <v>16</v>
      </c>
      <c r="E33">
        <v>29</v>
      </c>
      <c r="F33">
        <v>365.74</v>
      </c>
      <c r="G33">
        <v>0</v>
      </c>
      <c r="H33">
        <v>10606.46</v>
      </c>
      <c r="I33">
        <v>10</v>
      </c>
      <c r="J33" s="2">
        <v>45767</v>
      </c>
      <c r="K33" t="str">
        <v>Yes</v>
      </c>
      <c r="P33">
        <f t="shared" si="0"/>
        <v>258.7001639344262</v>
      </c>
      <c r="R33" t="s">
        <v>23</v>
      </c>
    </row>
    <row r="34" spans="1:21" x14ac:dyDescent="0.45">
      <c r="A34" t="s">
        <v>59</v>
      </c>
      <c r="B34" t="s">
        <v>22</v>
      </c>
      <c r="C34" t="s">
        <v>15</v>
      </c>
      <c r="D34" t="s">
        <v>20</v>
      </c>
      <c r="E34">
        <v>12</v>
      </c>
      <c r="F34">
        <v>346.2</v>
      </c>
      <c r="G34">
        <v>15</v>
      </c>
      <c r="H34">
        <v>3531.24</v>
      </c>
      <c r="I34">
        <v>10</v>
      </c>
      <c r="J34" s="2">
        <v>45730</v>
      </c>
      <c r="K34" t="str">
        <v>NO</v>
      </c>
    </row>
    <row r="35" spans="1:21" x14ac:dyDescent="0.45">
      <c r="A35" t="s">
        <v>60</v>
      </c>
      <c r="B35" t="s">
        <v>18</v>
      </c>
      <c r="C35" t="s">
        <v>15</v>
      </c>
      <c r="D35" t="s">
        <v>24</v>
      </c>
      <c r="E35">
        <v>14</v>
      </c>
      <c r="F35">
        <v>219.73</v>
      </c>
      <c r="G35">
        <v>20</v>
      </c>
      <c r="H35">
        <v>2460.98</v>
      </c>
      <c r="I35">
        <v>20</v>
      </c>
      <c r="J35" s="2">
        <v>45656</v>
      </c>
      <c r="K35" t="str">
        <v>NO</v>
      </c>
      <c r="P35" s="12" t="s">
        <v>1273</v>
      </c>
      <c r="Q35" s="12"/>
      <c r="R35" s="12"/>
    </row>
    <row r="36" spans="1:21" x14ac:dyDescent="0.45">
      <c r="A36" t="s">
        <v>61</v>
      </c>
      <c r="B36" t="s">
        <v>30</v>
      </c>
      <c r="C36" t="s">
        <v>19</v>
      </c>
      <c r="D36" t="s">
        <v>16</v>
      </c>
      <c r="E36">
        <v>44</v>
      </c>
      <c r="F36">
        <v>74.37</v>
      </c>
      <c r="G36">
        <v>20</v>
      </c>
      <c r="H36">
        <v>2617.8200000000002</v>
      </c>
      <c r="I36">
        <v>5</v>
      </c>
      <c r="J36" s="2">
        <v>45740</v>
      </c>
      <c r="K36" t="str">
        <v>NO</v>
      </c>
    </row>
    <row r="37" spans="1:21" x14ac:dyDescent="0.45">
      <c r="A37" t="s">
        <v>62</v>
      </c>
      <c r="B37" t="s">
        <v>30</v>
      </c>
      <c r="C37" t="s">
        <v>15</v>
      </c>
      <c r="D37" t="s">
        <v>24</v>
      </c>
      <c r="E37">
        <v>15</v>
      </c>
      <c r="F37">
        <v>432.35</v>
      </c>
      <c r="G37">
        <v>10</v>
      </c>
      <c r="H37">
        <v>5836.72</v>
      </c>
      <c r="I37">
        <v>20</v>
      </c>
      <c r="J37" s="2">
        <v>45752</v>
      </c>
      <c r="K37" t="str">
        <v>Yes</v>
      </c>
      <c r="P37" t="str">
        <f>TEXT(J27,"yyyy")</f>
        <v>2025</v>
      </c>
    </row>
    <row r="38" spans="1:21" x14ac:dyDescent="0.45">
      <c r="A38" t="s">
        <v>63</v>
      </c>
      <c r="B38" t="s">
        <v>22</v>
      </c>
      <c r="C38" t="s">
        <v>15</v>
      </c>
      <c r="D38" t="s">
        <v>20</v>
      </c>
      <c r="E38">
        <v>28</v>
      </c>
      <c r="F38">
        <v>336.33</v>
      </c>
      <c r="G38">
        <v>15</v>
      </c>
      <c r="H38">
        <v>8004.65</v>
      </c>
      <c r="I38">
        <v>20</v>
      </c>
      <c r="J38" s="2">
        <v>45640</v>
      </c>
      <c r="K38" t="str">
        <v>Yes</v>
      </c>
      <c r="L38" s="5"/>
      <c r="M38" s="5"/>
      <c r="N38" s="6" t="s">
        <v>336</v>
      </c>
      <c r="O38" s="6"/>
      <c r="P38" s="6"/>
      <c r="Q38" s="6"/>
      <c r="R38" s="6"/>
      <c r="S38" s="6"/>
      <c r="T38" s="5"/>
      <c r="U38" s="5"/>
    </row>
    <row r="39" spans="1:21" x14ac:dyDescent="0.45">
      <c r="A39" t="s">
        <v>64</v>
      </c>
      <c r="B39" t="s">
        <v>26</v>
      </c>
      <c r="C39" t="s">
        <v>15</v>
      </c>
      <c r="D39" t="s">
        <v>20</v>
      </c>
      <c r="E39">
        <v>41</v>
      </c>
      <c r="F39">
        <v>68.64</v>
      </c>
      <c r="G39">
        <v>15</v>
      </c>
      <c r="H39">
        <v>2392.1</v>
      </c>
      <c r="I39">
        <v>20</v>
      </c>
      <c r="J39" s="2">
        <v>45753</v>
      </c>
      <c r="K39" t="str">
        <v>NO</v>
      </c>
    </row>
    <row r="40" spans="1:21" x14ac:dyDescent="0.45">
      <c r="A40" t="s">
        <v>65</v>
      </c>
      <c r="B40" t="s">
        <v>14</v>
      </c>
      <c r="C40" t="s">
        <v>15</v>
      </c>
      <c r="D40" t="s">
        <v>16</v>
      </c>
      <c r="E40">
        <v>38</v>
      </c>
      <c r="F40">
        <v>267.32</v>
      </c>
      <c r="G40">
        <v>20</v>
      </c>
      <c r="H40">
        <v>8126.53</v>
      </c>
      <c r="I40">
        <v>5</v>
      </c>
      <c r="J40" s="2">
        <v>45660</v>
      </c>
      <c r="K40" t="str">
        <v>Yes</v>
      </c>
      <c r="M40" t="s">
        <v>1277</v>
      </c>
      <c r="P40" s="7">
        <f ca="1">TODAY()-J2</f>
        <v>261</v>
      </c>
    </row>
    <row r="41" spans="1:21" x14ac:dyDescent="0.45">
      <c r="A41" t="s">
        <v>66</v>
      </c>
      <c r="B41" t="s">
        <v>22</v>
      </c>
      <c r="C41" t="s">
        <v>15</v>
      </c>
      <c r="D41" t="s">
        <v>43</v>
      </c>
      <c r="E41">
        <v>10</v>
      </c>
      <c r="F41">
        <v>44.63</v>
      </c>
      <c r="G41">
        <v>10</v>
      </c>
      <c r="H41">
        <v>401.67</v>
      </c>
      <c r="I41">
        <v>20</v>
      </c>
      <c r="J41" s="2">
        <v>45720</v>
      </c>
      <c r="K41" t="str">
        <v>NO</v>
      </c>
    </row>
    <row r="42" spans="1:21" x14ac:dyDescent="0.45">
      <c r="A42" t="s">
        <v>67</v>
      </c>
      <c r="B42" t="s">
        <v>18</v>
      </c>
      <c r="C42" t="s">
        <v>31</v>
      </c>
      <c r="D42" t="s">
        <v>24</v>
      </c>
      <c r="E42">
        <v>4</v>
      </c>
      <c r="F42">
        <v>245.47</v>
      </c>
      <c r="G42">
        <v>15</v>
      </c>
      <c r="H42">
        <v>834.6</v>
      </c>
      <c r="I42">
        <v>20</v>
      </c>
      <c r="J42" s="2">
        <v>45739</v>
      </c>
      <c r="K42" t="str">
        <v>NO</v>
      </c>
      <c r="L42" s="12" t="s">
        <v>337</v>
      </c>
      <c r="M42" s="13"/>
      <c r="N42" s="13"/>
      <c r="O42" s="13"/>
      <c r="P42" s="13"/>
      <c r="Q42" s="13"/>
      <c r="R42" s="13"/>
      <c r="S42" s="13"/>
      <c r="T42" s="13"/>
      <c r="U42" s="13"/>
    </row>
    <row r="43" spans="1:21" x14ac:dyDescent="0.45">
      <c r="A43" t="s">
        <v>68</v>
      </c>
      <c r="B43" t="s">
        <v>18</v>
      </c>
      <c r="C43" t="s">
        <v>15</v>
      </c>
      <c r="D43" t="s">
        <v>16</v>
      </c>
      <c r="E43">
        <v>29</v>
      </c>
      <c r="F43">
        <v>347.69</v>
      </c>
      <c r="G43">
        <v>0</v>
      </c>
      <c r="H43">
        <v>10083.01</v>
      </c>
      <c r="I43">
        <v>10</v>
      </c>
      <c r="J43" s="2">
        <v>45635</v>
      </c>
      <c r="K43" t="str">
        <v>Yes</v>
      </c>
    </row>
    <row r="44" spans="1:21" x14ac:dyDescent="0.45">
      <c r="A44" t="s">
        <v>69</v>
      </c>
      <c r="B44" t="s">
        <v>18</v>
      </c>
      <c r="C44" t="s">
        <v>23</v>
      </c>
      <c r="D44" t="s">
        <v>16</v>
      </c>
      <c r="E44">
        <v>5</v>
      </c>
      <c r="F44">
        <v>446.49</v>
      </c>
      <c r="G44">
        <v>10</v>
      </c>
      <c r="H44">
        <v>2009.2</v>
      </c>
      <c r="I44">
        <v>15</v>
      </c>
      <c r="J44" s="2">
        <v>45754</v>
      </c>
      <c r="K44" t="str">
        <v>NO</v>
      </c>
      <c r="P44" t="str">
        <f>CONCATENATE(C3,"_",B8)</f>
        <v>South_Marketing</v>
      </c>
    </row>
    <row r="45" spans="1:21" x14ac:dyDescent="0.45">
      <c r="A45" t="s">
        <v>70</v>
      </c>
      <c r="B45" t="s">
        <v>22</v>
      </c>
      <c r="C45" t="s">
        <v>19</v>
      </c>
      <c r="D45" t="s">
        <v>32</v>
      </c>
      <c r="E45">
        <v>42</v>
      </c>
      <c r="F45">
        <v>156.76</v>
      </c>
      <c r="G45">
        <v>10</v>
      </c>
      <c r="H45">
        <v>5925.53</v>
      </c>
      <c r="I45">
        <v>15</v>
      </c>
      <c r="J45" s="2">
        <v>45650</v>
      </c>
      <c r="K45" t="str">
        <v>Yes</v>
      </c>
    </row>
    <row r="46" spans="1:21" x14ac:dyDescent="0.45">
      <c r="A46" t="s">
        <v>71</v>
      </c>
      <c r="B46" t="s">
        <v>18</v>
      </c>
      <c r="C46" t="s">
        <v>15</v>
      </c>
      <c r="D46" t="s">
        <v>16</v>
      </c>
      <c r="E46">
        <v>4</v>
      </c>
      <c r="F46">
        <v>59.03</v>
      </c>
      <c r="G46">
        <v>0</v>
      </c>
      <c r="H46">
        <v>236.12</v>
      </c>
      <c r="I46">
        <v>5</v>
      </c>
      <c r="J46" s="2">
        <v>45687</v>
      </c>
      <c r="K46" t="str">
        <v>NO</v>
      </c>
    </row>
    <row r="47" spans="1:21" x14ac:dyDescent="0.45">
      <c r="A47" t="s">
        <v>72</v>
      </c>
      <c r="B47" t="s">
        <v>26</v>
      </c>
      <c r="C47" t="s">
        <v>19</v>
      </c>
      <c r="D47" t="s">
        <v>43</v>
      </c>
      <c r="E47">
        <v>46</v>
      </c>
      <c r="F47">
        <v>490.3</v>
      </c>
      <c r="G47">
        <v>5</v>
      </c>
      <c r="H47">
        <v>21426.11</v>
      </c>
      <c r="I47">
        <v>15</v>
      </c>
      <c r="J47" s="2">
        <v>45716</v>
      </c>
      <c r="K47" t="str">
        <v>Yes</v>
      </c>
    </row>
    <row r="48" spans="1:21" x14ac:dyDescent="0.45">
      <c r="A48" t="s">
        <v>73</v>
      </c>
      <c r="B48" t="s">
        <v>18</v>
      </c>
      <c r="C48" t="s">
        <v>31</v>
      </c>
      <c r="D48" t="s">
        <v>16</v>
      </c>
      <c r="E48">
        <v>38</v>
      </c>
      <c r="F48">
        <v>16.96</v>
      </c>
      <c r="G48">
        <v>10</v>
      </c>
      <c r="H48">
        <v>580.03</v>
      </c>
      <c r="I48">
        <v>5</v>
      </c>
      <c r="J48" s="2">
        <v>45723</v>
      </c>
      <c r="K48" t="str">
        <v>NO</v>
      </c>
    </row>
    <row r="49" spans="1:11" x14ac:dyDescent="0.45">
      <c r="A49" t="s">
        <v>74</v>
      </c>
      <c r="B49" t="s">
        <v>26</v>
      </c>
      <c r="C49" t="s">
        <v>31</v>
      </c>
      <c r="D49" t="s">
        <v>16</v>
      </c>
      <c r="E49">
        <v>22</v>
      </c>
      <c r="F49">
        <v>182.07</v>
      </c>
      <c r="G49">
        <v>5</v>
      </c>
      <c r="H49">
        <v>3805.26</v>
      </c>
      <c r="I49">
        <v>20</v>
      </c>
      <c r="J49" s="2">
        <v>45751</v>
      </c>
      <c r="K49" t="str">
        <v>NO</v>
      </c>
    </row>
    <row r="50" spans="1:11" x14ac:dyDescent="0.45">
      <c r="A50" t="s">
        <v>75</v>
      </c>
      <c r="B50" t="s">
        <v>22</v>
      </c>
      <c r="C50" t="s">
        <v>19</v>
      </c>
      <c r="D50" t="s">
        <v>24</v>
      </c>
      <c r="E50">
        <v>33</v>
      </c>
      <c r="F50">
        <v>378.81</v>
      </c>
      <c r="G50">
        <v>0</v>
      </c>
      <c r="H50">
        <v>12500.73</v>
      </c>
      <c r="I50">
        <v>15</v>
      </c>
      <c r="J50" s="2">
        <v>45660</v>
      </c>
      <c r="K50" t="str">
        <v>Yes</v>
      </c>
    </row>
    <row r="51" spans="1:11" x14ac:dyDescent="0.45">
      <c r="A51" t="s">
        <v>76</v>
      </c>
      <c r="B51" t="s">
        <v>14</v>
      </c>
      <c r="C51" t="s">
        <v>15</v>
      </c>
      <c r="D51" t="s">
        <v>24</v>
      </c>
      <c r="E51">
        <v>21</v>
      </c>
      <c r="F51">
        <v>203.05</v>
      </c>
      <c r="G51">
        <v>15</v>
      </c>
      <c r="H51">
        <v>3624.44</v>
      </c>
      <c r="I51">
        <v>10</v>
      </c>
      <c r="J51" s="2">
        <v>45669</v>
      </c>
      <c r="K51" t="str">
        <v>NO</v>
      </c>
    </row>
    <row r="52" spans="1:11" x14ac:dyDescent="0.45">
      <c r="A52" t="s">
        <v>77</v>
      </c>
      <c r="B52" t="s">
        <v>18</v>
      </c>
      <c r="C52" t="s">
        <v>31</v>
      </c>
      <c r="D52" t="s">
        <v>43</v>
      </c>
      <c r="E52">
        <v>16</v>
      </c>
      <c r="F52">
        <v>386.97</v>
      </c>
      <c r="G52">
        <v>0</v>
      </c>
      <c r="H52">
        <v>6191.52</v>
      </c>
      <c r="I52">
        <v>5</v>
      </c>
      <c r="J52" s="2">
        <v>45738</v>
      </c>
      <c r="K52" t="str">
        <v>Yes</v>
      </c>
    </row>
    <row r="53" spans="1:11" x14ac:dyDescent="0.45">
      <c r="A53" t="s">
        <v>78</v>
      </c>
      <c r="B53" t="s">
        <v>22</v>
      </c>
      <c r="C53" t="s">
        <v>19</v>
      </c>
      <c r="D53" t="s">
        <v>32</v>
      </c>
      <c r="E53">
        <v>36</v>
      </c>
      <c r="F53">
        <v>455.32</v>
      </c>
      <c r="G53">
        <v>0</v>
      </c>
      <c r="H53">
        <v>16391.52</v>
      </c>
      <c r="I53">
        <v>5</v>
      </c>
      <c r="J53" s="2">
        <v>45665</v>
      </c>
      <c r="K53" t="str">
        <v>Yes</v>
      </c>
    </row>
    <row r="54" spans="1:11" x14ac:dyDescent="0.45">
      <c r="A54" t="s">
        <v>79</v>
      </c>
      <c r="B54" t="s">
        <v>30</v>
      </c>
      <c r="C54" t="s">
        <v>31</v>
      </c>
      <c r="D54" t="s">
        <v>20</v>
      </c>
      <c r="E54">
        <v>27</v>
      </c>
      <c r="F54">
        <v>495.19</v>
      </c>
      <c r="G54">
        <v>10</v>
      </c>
      <c r="H54">
        <v>12033.12</v>
      </c>
      <c r="I54">
        <v>15</v>
      </c>
      <c r="J54" s="2">
        <v>45754</v>
      </c>
      <c r="K54" t="str">
        <v>Yes</v>
      </c>
    </row>
    <row r="55" spans="1:11" x14ac:dyDescent="0.45">
      <c r="A55" t="s">
        <v>80</v>
      </c>
      <c r="B55" t="s">
        <v>26</v>
      </c>
      <c r="C55" t="s">
        <v>23</v>
      </c>
      <c r="D55" t="s">
        <v>16</v>
      </c>
      <c r="E55">
        <v>12</v>
      </c>
      <c r="F55">
        <v>336.71</v>
      </c>
      <c r="G55">
        <v>20</v>
      </c>
      <c r="H55">
        <v>3232.42</v>
      </c>
      <c r="I55">
        <v>10</v>
      </c>
      <c r="J55" s="2">
        <v>45678</v>
      </c>
      <c r="K55" t="str">
        <v>NO</v>
      </c>
    </row>
    <row r="56" spans="1:11" x14ac:dyDescent="0.45">
      <c r="A56" t="s">
        <v>81</v>
      </c>
      <c r="B56" t="s">
        <v>14</v>
      </c>
      <c r="C56" t="s">
        <v>31</v>
      </c>
      <c r="D56" t="s">
        <v>24</v>
      </c>
      <c r="E56">
        <v>41</v>
      </c>
      <c r="F56">
        <v>208.23</v>
      </c>
      <c r="G56">
        <v>0</v>
      </c>
      <c r="H56">
        <v>8537.43</v>
      </c>
      <c r="I56">
        <v>20</v>
      </c>
      <c r="J56" s="2">
        <v>45743</v>
      </c>
      <c r="K56" t="str">
        <v>Yes</v>
      </c>
    </row>
    <row r="57" spans="1:11" x14ac:dyDescent="0.45">
      <c r="A57" t="s">
        <v>82</v>
      </c>
      <c r="B57" t="s">
        <v>30</v>
      </c>
      <c r="C57" t="s">
        <v>19</v>
      </c>
      <c r="D57" t="s">
        <v>32</v>
      </c>
      <c r="E57">
        <v>47</v>
      </c>
      <c r="F57">
        <v>339.74</v>
      </c>
      <c r="G57">
        <v>5</v>
      </c>
      <c r="H57">
        <v>15169.39</v>
      </c>
      <c r="I57">
        <v>10</v>
      </c>
      <c r="J57" s="2">
        <v>45729</v>
      </c>
      <c r="K57" t="str">
        <v>Yes</v>
      </c>
    </row>
    <row r="58" spans="1:11" x14ac:dyDescent="0.45">
      <c r="A58" t="s">
        <v>83</v>
      </c>
      <c r="B58" t="s">
        <v>14</v>
      </c>
      <c r="C58" t="s">
        <v>15</v>
      </c>
      <c r="D58" t="s">
        <v>43</v>
      </c>
      <c r="E58">
        <v>19</v>
      </c>
      <c r="F58">
        <v>104.21</v>
      </c>
      <c r="G58">
        <v>20</v>
      </c>
      <c r="H58">
        <v>1583.99</v>
      </c>
      <c r="I58">
        <v>20</v>
      </c>
      <c r="J58" s="2">
        <v>45721</v>
      </c>
      <c r="K58" t="str">
        <v>NO</v>
      </c>
    </row>
    <row r="59" spans="1:11" x14ac:dyDescent="0.45">
      <c r="A59" t="s">
        <v>84</v>
      </c>
      <c r="B59" t="s">
        <v>30</v>
      </c>
      <c r="C59" t="s">
        <v>23</v>
      </c>
      <c r="D59" t="s">
        <v>32</v>
      </c>
      <c r="E59">
        <v>45</v>
      </c>
      <c r="F59">
        <v>206.32</v>
      </c>
      <c r="G59">
        <v>5</v>
      </c>
      <c r="H59">
        <v>8820.18</v>
      </c>
      <c r="I59">
        <v>20</v>
      </c>
      <c r="J59" s="2">
        <v>45774</v>
      </c>
      <c r="K59" t="str">
        <v>Yes</v>
      </c>
    </row>
    <row r="60" spans="1:11" x14ac:dyDescent="0.45">
      <c r="A60" t="s">
        <v>85</v>
      </c>
      <c r="B60" t="s">
        <v>26</v>
      </c>
      <c r="C60" t="s">
        <v>31</v>
      </c>
      <c r="D60" t="s">
        <v>16</v>
      </c>
      <c r="E60">
        <v>42</v>
      </c>
      <c r="F60">
        <v>348.48</v>
      </c>
      <c r="G60">
        <v>10</v>
      </c>
      <c r="H60">
        <v>13172.54</v>
      </c>
      <c r="I60">
        <v>20</v>
      </c>
      <c r="J60" s="2">
        <v>45634</v>
      </c>
      <c r="K60" t="str">
        <v>Yes</v>
      </c>
    </row>
    <row r="61" spans="1:11" x14ac:dyDescent="0.45">
      <c r="A61" t="s">
        <v>86</v>
      </c>
      <c r="B61" t="s">
        <v>30</v>
      </c>
      <c r="C61" t="s">
        <v>31</v>
      </c>
      <c r="D61" t="s">
        <v>43</v>
      </c>
      <c r="E61">
        <v>11</v>
      </c>
      <c r="F61">
        <v>393.03</v>
      </c>
      <c r="G61">
        <v>5</v>
      </c>
      <c r="H61">
        <v>4107.16</v>
      </c>
      <c r="I61">
        <v>10</v>
      </c>
      <c r="J61" s="2">
        <v>45713</v>
      </c>
      <c r="K61" t="str">
        <v>NO</v>
      </c>
    </row>
    <row r="62" spans="1:11" x14ac:dyDescent="0.45">
      <c r="A62" t="s">
        <v>87</v>
      </c>
      <c r="B62" t="s">
        <v>30</v>
      </c>
      <c r="C62" t="s">
        <v>23</v>
      </c>
      <c r="D62" t="s">
        <v>43</v>
      </c>
      <c r="E62">
        <v>6</v>
      </c>
      <c r="F62">
        <v>439.72</v>
      </c>
      <c r="G62">
        <v>10</v>
      </c>
      <c r="H62">
        <v>2374.4899999999998</v>
      </c>
      <c r="I62">
        <v>15</v>
      </c>
      <c r="J62" s="2">
        <v>45710</v>
      </c>
      <c r="K62" t="str">
        <v>NO</v>
      </c>
    </row>
    <row r="63" spans="1:11" x14ac:dyDescent="0.45">
      <c r="A63" t="s">
        <v>88</v>
      </c>
      <c r="B63" t="s">
        <v>18</v>
      </c>
      <c r="C63" t="s">
        <v>23</v>
      </c>
      <c r="D63" t="s">
        <v>20</v>
      </c>
      <c r="E63">
        <v>37</v>
      </c>
      <c r="F63">
        <v>276.20999999999998</v>
      </c>
      <c r="G63">
        <v>10</v>
      </c>
      <c r="H63">
        <v>9197.7900000000009</v>
      </c>
      <c r="I63">
        <v>10</v>
      </c>
      <c r="J63" s="2">
        <v>45692</v>
      </c>
      <c r="K63" t="str">
        <v>Yes</v>
      </c>
    </row>
    <row r="64" spans="1:11" x14ac:dyDescent="0.45">
      <c r="A64" t="s">
        <v>89</v>
      </c>
      <c r="B64" t="s">
        <v>22</v>
      </c>
      <c r="C64" t="s">
        <v>31</v>
      </c>
      <c r="D64" t="s">
        <v>20</v>
      </c>
      <c r="E64">
        <v>32</v>
      </c>
      <c r="F64">
        <v>495.31</v>
      </c>
      <c r="G64">
        <v>15</v>
      </c>
      <c r="H64">
        <v>13472.43</v>
      </c>
      <c r="I64">
        <v>10</v>
      </c>
      <c r="J64" s="2">
        <v>45729</v>
      </c>
      <c r="K64" t="str">
        <v>Yes</v>
      </c>
    </row>
    <row r="65" spans="1:11" x14ac:dyDescent="0.45">
      <c r="A65" t="s">
        <v>90</v>
      </c>
      <c r="B65" t="s">
        <v>18</v>
      </c>
      <c r="C65" t="s">
        <v>15</v>
      </c>
      <c r="D65" t="s">
        <v>32</v>
      </c>
      <c r="E65">
        <v>2</v>
      </c>
      <c r="F65">
        <v>105.37</v>
      </c>
      <c r="G65">
        <v>5</v>
      </c>
      <c r="H65">
        <v>200.2</v>
      </c>
      <c r="I65">
        <v>15</v>
      </c>
      <c r="J65" s="2">
        <v>45671</v>
      </c>
      <c r="K65" t="str">
        <v>NO</v>
      </c>
    </row>
    <row r="66" spans="1:11" x14ac:dyDescent="0.45">
      <c r="A66" t="s">
        <v>91</v>
      </c>
      <c r="B66" t="s">
        <v>14</v>
      </c>
      <c r="C66" t="s">
        <v>19</v>
      </c>
      <c r="D66" t="s">
        <v>32</v>
      </c>
      <c r="E66">
        <v>17</v>
      </c>
      <c r="F66">
        <v>135.22999999999999</v>
      </c>
      <c r="G66">
        <v>10</v>
      </c>
      <c r="H66">
        <v>2069.02</v>
      </c>
      <c r="I66">
        <v>10</v>
      </c>
      <c r="J66" s="2">
        <v>45766</v>
      </c>
      <c r="K66" t="str">
        <v>NO</v>
      </c>
    </row>
    <row r="67" spans="1:11" x14ac:dyDescent="0.45">
      <c r="A67" t="s">
        <v>92</v>
      </c>
      <c r="B67" t="s">
        <v>18</v>
      </c>
      <c r="C67" t="s">
        <v>19</v>
      </c>
      <c r="D67" t="s">
        <v>24</v>
      </c>
      <c r="E67">
        <v>32</v>
      </c>
      <c r="F67">
        <v>303.31</v>
      </c>
      <c r="G67">
        <v>5</v>
      </c>
      <c r="H67">
        <v>9220.6200000000008</v>
      </c>
      <c r="I67">
        <v>20</v>
      </c>
      <c r="J67" s="2">
        <v>45661</v>
      </c>
      <c r="K67" t="str">
        <v>Yes</v>
      </c>
    </row>
    <row r="68" spans="1:11" x14ac:dyDescent="0.45">
      <c r="A68" t="s">
        <v>93</v>
      </c>
      <c r="B68" t="s">
        <v>14</v>
      </c>
      <c r="C68" t="s">
        <v>19</v>
      </c>
      <c r="D68" t="s">
        <v>24</v>
      </c>
      <c r="E68">
        <v>42</v>
      </c>
      <c r="F68">
        <v>438.97</v>
      </c>
      <c r="G68">
        <v>15</v>
      </c>
      <c r="H68">
        <v>15671.23</v>
      </c>
      <c r="I68">
        <v>10</v>
      </c>
      <c r="J68" s="2">
        <v>45660</v>
      </c>
      <c r="K68" t="str">
        <v>Yes</v>
      </c>
    </row>
    <row r="69" spans="1:11" x14ac:dyDescent="0.45">
      <c r="A69" t="s">
        <v>94</v>
      </c>
      <c r="B69" t="s">
        <v>26</v>
      </c>
      <c r="C69" t="s">
        <v>23</v>
      </c>
      <c r="D69" t="s">
        <v>43</v>
      </c>
      <c r="E69">
        <v>3</v>
      </c>
      <c r="F69">
        <v>478.81</v>
      </c>
      <c r="G69">
        <v>5</v>
      </c>
      <c r="H69">
        <v>1364.61</v>
      </c>
      <c r="I69">
        <v>15</v>
      </c>
      <c r="J69" s="2">
        <v>45661</v>
      </c>
      <c r="K69" t="str">
        <v>NO</v>
      </c>
    </row>
    <row r="70" spans="1:11" x14ac:dyDescent="0.45">
      <c r="A70" t="s">
        <v>95</v>
      </c>
      <c r="B70" t="s">
        <v>30</v>
      </c>
      <c r="C70" t="s">
        <v>19</v>
      </c>
      <c r="D70" t="s">
        <v>16</v>
      </c>
      <c r="E70">
        <v>46</v>
      </c>
      <c r="F70">
        <v>69.13</v>
      </c>
      <c r="G70">
        <v>0</v>
      </c>
      <c r="H70">
        <v>3179.98</v>
      </c>
      <c r="I70">
        <v>10</v>
      </c>
      <c r="J70" s="2">
        <v>45776</v>
      </c>
      <c r="K70" t="str">
        <v>NO</v>
      </c>
    </row>
    <row r="71" spans="1:11" x14ac:dyDescent="0.45">
      <c r="A71" t="s">
        <v>96</v>
      </c>
      <c r="B71" t="s">
        <v>30</v>
      </c>
      <c r="C71" t="s">
        <v>31</v>
      </c>
      <c r="D71" t="s">
        <v>16</v>
      </c>
      <c r="E71">
        <v>14</v>
      </c>
      <c r="F71">
        <v>474.48</v>
      </c>
      <c r="G71">
        <v>15</v>
      </c>
      <c r="H71">
        <v>5646.31</v>
      </c>
      <c r="I71">
        <v>5</v>
      </c>
      <c r="J71" s="2">
        <v>45649</v>
      </c>
      <c r="K71" t="str">
        <v>Yes</v>
      </c>
    </row>
    <row r="72" spans="1:11" x14ac:dyDescent="0.45">
      <c r="A72" t="s">
        <v>97</v>
      </c>
      <c r="B72" t="s">
        <v>22</v>
      </c>
      <c r="C72" t="s">
        <v>31</v>
      </c>
      <c r="D72" t="s">
        <v>32</v>
      </c>
      <c r="E72">
        <v>14</v>
      </c>
      <c r="F72">
        <v>454.29</v>
      </c>
      <c r="G72">
        <v>0</v>
      </c>
      <c r="H72">
        <v>6360.06</v>
      </c>
      <c r="I72">
        <v>15</v>
      </c>
      <c r="J72" s="2">
        <v>45763</v>
      </c>
      <c r="K72" t="str">
        <v>Yes</v>
      </c>
    </row>
    <row r="73" spans="1:11" x14ac:dyDescent="0.45">
      <c r="A73" t="s">
        <v>98</v>
      </c>
      <c r="B73" t="s">
        <v>30</v>
      </c>
      <c r="C73" t="s">
        <v>23</v>
      </c>
      <c r="D73" t="s">
        <v>43</v>
      </c>
      <c r="E73">
        <v>45</v>
      </c>
      <c r="F73">
        <v>225.64</v>
      </c>
      <c r="G73">
        <v>20</v>
      </c>
      <c r="H73">
        <v>8123.04</v>
      </c>
      <c r="I73">
        <v>20</v>
      </c>
      <c r="J73" s="2">
        <v>45639</v>
      </c>
      <c r="K73" t="str">
        <v>Yes</v>
      </c>
    </row>
    <row r="74" spans="1:11" x14ac:dyDescent="0.45">
      <c r="A74" t="s">
        <v>99</v>
      </c>
      <c r="B74" t="s">
        <v>30</v>
      </c>
      <c r="C74" t="s">
        <v>31</v>
      </c>
      <c r="D74" t="s">
        <v>24</v>
      </c>
      <c r="E74">
        <v>3</v>
      </c>
      <c r="F74">
        <v>442.14</v>
      </c>
      <c r="G74">
        <v>0</v>
      </c>
      <c r="H74">
        <v>1326.42</v>
      </c>
      <c r="I74">
        <v>15</v>
      </c>
      <c r="J74" s="2">
        <v>45708</v>
      </c>
      <c r="K74" t="str">
        <v>NO</v>
      </c>
    </row>
    <row r="75" spans="1:11" x14ac:dyDescent="0.45">
      <c r="A75" t="s">
        <v>100</v>
      </c>
      <c r="B75" t="s">
        <v>14</v>
      </c>
      <c r="C75" t="s">
        <v>31</v>
      </c>
      <c r="D75" t="s">
        <v>43</v>
      </c>
      <c r="E75">
        <v>14</v>
      </c>
      <c r="F75">
        <v>94.87</v>
      </c>
      <c r="G75">
        <v>10</v>
      </c>
      <c r="H75">
        <v>1195.3599999999999</v>
      </c>
      <c r="I75">
        <v>5</v>
      </c>
      <c r="J75" s="2">
        <v>45646</v>
      </c>
      <c r="K75" t="str">
        <v>NO</v>
      </c>
    </row>
    <row r="76" spans="1:11" x14ac:dyDescent="0.45">
      <c r="A76" t="s">
        <v>101</v>
      </c>
      <c r="B76" t="s">
        <v>22</v>
      </c>
      <c r="C76" t="s">
        <v>19</v>
      </c>
      <c r="D76" t="s">
        <v>32</v>
      </c>
      <c r="E76">
        <v>32</v>
      </c>
      <c r="F76">
        <v>461.04</v>
      </c>
      <c r="G76">
        <v>15</v>
      </c>
      <c r="H76">
        <v>12540.29</v>
      </c>
      <c r="I76">
        <v>5</v>
      </c>
      <c r="J76" s="2">
        <v>45676</v>
      </c>
      <c r="K76" t="str">
        <v>Yes</v>
      </c>
    </row>
    <row r="77" spans="1:11" x14ac:dyDescent="0.45">
      <c r="A77" t="s">
        <v>102</v>
      </c>
      <c r="B77" t="s">
        <v>14</v>
      </c>
      <c r="C77" t="s">
        <v>19</v>
      </c>
      <c r="D77" t="s">
        <v>16</v>
      </c>
      <c r="E77">
        <v>28</v>
      </c>
      <c r="F77">
        <v>345.29</v>
      </c>
      <c r="G77">
        <v>5</v>
      </c>
      <c r="H77">
        <v>9184.7099999999991</v>
      </c>
      <c r="I77">
        <v>15</v>
      </c>
      <c r="J77" s="2">
        <v>45797</v>
      </c>
      <c r="K77" t="str">
        <v>Yes</v>
      </c>
    </row>
    <row r="78" spans="1:11" x14ac:dyDescent="0.45">
      <c r="A78" t="s">
        <v>103</v>
      </c>
      <c r="B78" t="s">
        <v>14</v>
      </c>
      <c r="C78" t="s">
        <v>23</v>
      </c>
      <c r="D78" t="s">
        <v>20</v>
      </c>
      <c r="E78">
        <v>5</v>
      </c>
      <c r="F78">
        <v>249.18</v>
      </c>
      <c r="G78">
        <v>0</v>
      </c>
      <c r="H78">
        <v>1245.9000000000001</v>
      </c>
      <c r="I78">
        <v>20</v>
      </c>
      <c r="J78" s="2">
        <v>45651</v>
      </c>
      <c r="K78" t="str">
        <v>NO</v>
      </c>
    </row>
    <row r="79" spans="1:11" x14ac:dyDescent="0.45">
      <c r="A79" t="s">
        <v>104</v>
      </c>
      <c r="B79" t="s">
        <v>30</v>
      </c>
      <c r="C79" t="s">
        <v>15</v>
      </c>
      <c r="D79" t="s">
        <v>16</v>
      </c>
      <c r="E79">
        <v>48</v>
      </c>
      <c r="F79">
        <v>441.95</v>
      </c>
      <c r="G79">
        <v>5</v>
      </c>
      <c r="H79">
        <v>20152.919999999998</v>
      </c>
      <c r="I79">
        <v>15</v>
      </c>
      <c r="J79" s="2">
        <v>45629</v>
      </c>
      <c r="K79" t="str">
        <v>Yes</v>
      </c>
    </row>
    <row r="80" spans="1:11" x14ac:dyDescent="0.45">
      <c r="A80" t="s">
        <v>105</v>
      </c>
      <c r="B80" t="s">
        <v>26</v>
      </c>
      <c r="C80" t="s">
        <v>31</v>
      </c>
      <c r="D80" t="s">
        <v>32</v>
      </c>
      <c r="E80">
        <v>10</v>
      </c>
      <c r="F80">
        <v>487.08</v>
      </c>
      <c r="G80">
        <v>20</v>
      </c>
      <c r="H80">
        <v>3896.64</v>
      </c>
      <c r="I80">
        <v>10</v>
      </c>
      <c r="J80" s="2">
        <v>45685</v>
      </c>
      <c r="K80" t="str">
        <v>NO</v>
      </c>
    </row>
    <row r="81" spans="1:11" x14ac:dyDescent="0.45">
      <c r="A81" t="s">
        <v>106</v>
      </c>
      <c r="B81" t="s">
        <v>26</v>
      </c>
      <c r="C81" t="s">
        <v>23</v>
      </c>
      <c r="D81" t="s">
        <v>32</v>
      </c>
      <c r="E81">
        <v>26</v>
      </c>
      <c r="F81">
        <v>415.76</v>
      </c>
      <c r="G81">
        <v>20</v>
      </c>
      <c r="H81">
        <v>8647.81</v>
      </c>
      <c r="I81">
        <v>10</v>
      </c>
      <c r="J81" s="2">
        <v>45753</v>
      </c>
      <c r="K81" t="str">
        <v>Yes</v>
      </c>
    </row>
    <row r="82" spans="1:11" x14ac:dyDescent="0.45">
      <c r="A82" t="s">
        <v>107</v>
      </c>
      <c r="B82" t="s">
        <v>14</v>
      </c>
      <c r="C82" t="s">
        <v>23</v>
      </c>
      <c r="D82" t="s">
        <v>32</v>
      </c>
      <c r="E82">
        <v>30</v>
      </c>
      <c r="F82">
        <v>361.39</v>
      </c>
      <c r="G82">
        <v>15</v>
      </c>
      <c r="H82">
        <v>9215.44</v>
      </c>
      <c r="I82">
        <v>20</v>
      </c>
      <c r="J82" s="2">
        <v>45644</v>
      </c>
      <c r="K82" t="str">
        <v>Yes</v>
      </c>
    </row>
    <row r="83" spans="1:11" x14ac:dyDescent="0.45">
      <c r="A83" t="s">
        <v>108</v>
      </c>
      <c r="B83" t="s">
        <v>22</v>
      </c>
      <c r="C83" t="s">
        <v>15</v>
      </c>
      <c r="D83" t="s">
        <v>20</v>
      </c>
      <c r="E83">
        <v>7</v>
      </c>
      <c r="F83">
        <v>27.47</v>
      </c>
      <c r="G83">
        <v>10</v>
      </c>
      <c r="H83">
        <v>173.06</v>
      </c>
      <c r="I83">
        <v>15</v>
      </c>
      <c r="J83" s="2">
        <v>45702</v>
      </c>
      <c r="K83" t="str">
        <v>NO</v>
      </c>
    </row>
    <row r="84" spans="1:11" x14ac:dyDescent="0.45">
      <c r="A84" t="s">
        <v>109</v>
      </c>
      <c r="B84" t="s">
        <v>30</v>
      </c>
      <c r="C84" t="s">
        <v>19</v>
      </c>
      <c r="D84" t="s">
        <v>32</v>
      </c>
      <c r="E84">
        <v>23</v>
      </c>
      <c r="F84">
        <v>251.07</v>
      </c>
      <c r="G84">
        <v>0</v>
      </c>
      <c r="H84">
        <v>5774.61</v>
      </c>
      <c r="I84">
        <v>5</v>
      </c>
      <c r="J84" s="2">
        <v>45646</v>
      </c>
      <c r="K84" t="str">
        <v>Yes</v>
      </c>
    </row>
    <row r="85" spans="1:11" x14ac:dyDescent="0.45">
      <c r="A85" t="s">
        <v>110</v>
      </c>
      <c r="B85" t="s">
        <v>26</v>
      </c>
      <c r="C85" t="s">
        <v>23</v>
      </c>
      <c r="D85" t="s">
        <v>20</v>
      </c>
      <c r="E85">
        <v>47</v>
      </c>
      <c r="F85">
        <v>181.53</v>
      </c>
      <c r="G85">
        <v>5</v>
      </c>
      <c r="H85">
        <v>8105.31</v>
      </c>
      <c r="I85">
        <v>15</v>
      </c>
      <c r="J85" s="2">
        <v>45692</v>
      </c>
      <c r="K85" t="str">
        <v>Yes</v>
      </c>
    </row>
    <row r="86" spans="1:11" x14ac:dyDescent="0.45">
      <c r="A86" t="s">
        <v>111</v>
      </c>
      <c r="B86" t="s">
        <v>26</v>
      </c>
      <c r="C86" t="s">
        <v>19</v>
      </c>
      <c r="D86" t="s">
        <v>20</v>
      </c>
      <c r="E86">
        <v>49</v>
      </c>
      <c r="F86">
        <v>371.29</v>
      </c>
      <c r="G86">
        <v>20</v>
      </c>
      <c r="H86">
        <v>14554.57</v>
      </c>
      <c r="I86">
        <v>10</v>
      </c>
      <c r="J86" s="2">
        <v>45757</v>
      </c>
      <c r="K86" t="str">
        <v>Yes</v>
      </c>
    </row>
    <row r="87" spans="1:11" x14ac:dyDescent="0.45">
      <c r="A87" t="s">
        <v>112</v>
      </c>
      <c r="B87" t="s">
        <v>26</v>
      </c>
      <c r="C87" t="s">
        <v>19</v>
      </c>
      <c r="D87" t="s">
        <v>32</v>
      </c>
      <c r="E87">
        <v>14</v>
      </c>
      <c r="F87">
        <v>36.200000000000003</v>
      </c>
      <c r="G87">
        <v>10</v>
      </c>
      <c r="H87">
        <v>456.12</v>
      </c>
      <c r="I87">
        <v>10</v>
      </c>
      <c r="J87" s="2">
        <v>45644</v>
      </c>
      <c r="K87" t="str">
        <v>NO</v>
      </c>
    </row>
    <row r="88" spans="1:11" x14ac:dyDescent="0.45">
      <c r="A88" t="s">
        <v>113</v>
      </c>
      <c r="B88" t="s">
        <v>18</v>
      </c>
      <c r="C88" t="s">
        <v>23</v>
      </c>
      <c r="D88" t="s">
        <v>24</v>
      </c>
      <c r="E88">
        <v>45</v>
      </c>
      <c r="F88">
        <v>396.85</v>
      </c>
      <c r="G88">
        <v>20</v>
      </c>
      <c r="H88">
        <v>14286.6</v>
      </c>
      <c r="I88">
        <v>5</v>
      </c>
      <c r="J88" s="2">
        <v>45646</v>
      </c>
      <c r="K88" t="str">
        <v>Yes</v>
      </c>
    </row>
    <row r="89" spans="1:11" x14ac:dyDescent="0.45">
      <c r="A89" t="s">
        <v>114</v>
      </c>
      <c r="B89" t="s">
        <v>18</v>
      </c>
      <c r="C89" t="s">
        <v>19</v>
      </c>
      <c r="D89" t="s">
        <v>20</v>
      </c>
      <c r="E89">
        <v>23</v>
      </c>
      <c r="F89">
        <v>67.11</v>
      </c>
      <c r="G89">
        <v>0</v>
      </c>
      <c r="H89">
        <v>1543.53</v>
      </c>
      <c r="I89">
        <v>20</v>
      </c>
      <c r="J89" s="2">
        <v>45736</v>
      </c>
      <c r="K89" t="str">
        <v>NO</v>
      </c>
    </row>
    <row r="90" spans="1:11" x14ac:dyDescent="0.45">
      <c r="A90" t="s">
        <v>115</v>
      </c>
      <c r="B90" t="s">
        <v>22</v>
      </c>
      <c r="C90" t="s">
        <v>23</v>
      </c>
      <c r="D90" t="s">
        <v>24</v>
      </c>
      <c r="E90">
        <v>40</v>
      </c>
      <c r="F90">
        <v>289.37</v>
      </c>
      <c r="G90">
        <v>5</v>
      </c>
      <c r="H90">
        <v>10996.06</v>
      </c>
      <c r="I90">
        <v>15</v>
      </c>
      <c r="J90" s="2">
        <v>45630</v>
      </c>
      <c r="K90" t="str">
        <v>Yes</v>
      </c>
    </row>
    <row r="91" spans="1:11" x14ac:dyDescent="0.45">
      <c r="A91" t="s">
        <v>116</v>
      </c>
      <c r="B91" t="s">
        <v>22</v>
      </c>
      <c r="C91" t="s">
        <v>15</v>
      </c>
      <c r="D91" t="s">
        <v>20</v>
      </c>
      <c r="E91">
        <v>44</v>
      </c>
      <c r="F91">
        <v>296.12</v>
      </c>
      <c r="G91">
        <v>0</v>
      </c>
      <c r="H91">
        <v>13029.28</v>
      </c>
      <c r="I91">
        <v>15</v>
      </c>
      <c r="J91" s="2">
        <v>45725</v>
      </c>
      <c r="K91" t="str">
        <v>Yes</v>
      </c>
    </row>
    <row r="92" spans="1:11" x14ac:dyDescent="0.45">
      <c r="A92" t="s">
        <v>117</v>
      </c>
      <c r="B92" t="s">
        <v>18</v>
      </c>
      <c r="C92" t="s">
        <v>15</v>
      </c>
      <c r="D92" t="s">
        <v>24</v>
      </c>
      <c r="E92">
        <v>32</v>
      </c>
      <c r="F92">
        <v>445.18</v>
      </c>
      <c r="G92">
        <v>10</v>
      </c>
      <c r="H92">
        <v>12821.18</v>
      </c>
      <c r="I92">
        <v>10</v>
      </c>
      <c r="J92" s="2">
        <v>45727</v>
      </c>
      <c r="K92" t="str">
        <v>Yes</v>
      </c>
    </row>
    <row r="93" spans="1:11" x14ac:dyDescent="0.45">
      <c r="A93" t="s">
        <v>118</v>
      </c>
      <c r="B93" t="s">
        <v>26</v>
      </c>
      <c r="C93" t="s">
        <v>15</v>
      </c>
      <c r="D93" t="s">
        <v>43</v>
      </c>
      <c r="E93">
        <v>1</v>
      </c>
      <c r="F93">
        <v>170.57</v>
      </c>
      <c r="G93">
        <v>0</v>
      </c>
      <c r="H93">
        <v>170.57</v>
      </c>
      <c r="I93">
        <v>15</v>
      </c>
      <c r="J93" s="2">
        <v>45637</v>
      </c>
      <c r="K93" t="str">
        <v>NO</v>
      </c>
    </row>
    <row r="94" spans="1:11" x14ac:dyDescent="0.45">
      <c r="A94" t="s">
        <v>119</v>
      </c>
      <c r="B94" t="s">
        <v>26</v>
      </c>
      <c r="C94" t="s">
        <v>31</v>
      </c>
      <c r="D94" t="s">
        <v>24</v>
      </c>
      <c r="E94">
        <v>41</v>
      </c>
      <c r="F94">
        <v>241.2</v>
      </c>
      <c r="G94">
        <v>5</v>
      </c>
      <c r="H94">
        <v>9394.74</v>
      </c>
      <c r="I94">
        <v>10</v>
      </c>
      <c r="J94" s="2">
        <v>45706</v>
      </c>
      <c r="K94" t="str">
        <v>Yes</v>
      </c>
    </row>
    <row r="95" spans="1:11" x14ac:dyDescent="0.45">
      <c r="A95" t="s">
        <v>120</v>
      </c>
      <c r="B95" t="s">
        <v>14</v>
      </c>
      <c r="C95" t="s">
        <v>15</v>
      </c>
      <c r="D95" t="s">
        <v>16</v>
      </c>
      <c r="E95">
        <v>20</v>
      </c>
      <c r="F95">
        <v>230.18</v>
      </c>
      <c r="G95">
        <v>15</v>
      </c>
      <c r="H95">
        <v>3913.06</v>
      </c>
      <c r="I95">
        <v>10</v>
      </c>
      <c r="J95" s="2">
        <v>45634</v>
      </c>
      <c r="K95" t="str">
        <v>NO</v>
      </c>
    </row>
    <row r="96" spans="1:11" x14ac:dyDescent="0.45">
      <c r="A96" t="s">
        <v>121</v>
      </c>
      <c r="B96" t="s">
        <v>18</v>
      </c>
      <c r="C96" t="s">
        <v>19</v>
      </c>
      <c r="D96" t="s">
        <v>32</v>
      </c>
      <c r="E96">
        <v>4</v>
      </c>
      <c r="F96">
        <v>20.02</v>
      </c>
      <c r="G96">
        <v>10</v>
      </c>
      <c r="H96">
        <v>72.069999999999993</v>
      </c>
      <c r="I96">
        <v>15</v>
      </c>
      <c r="J96" s="2">
        <v>45783</v>
      </c>
      <c r="K96" t="str">
        <v>NO</v>
      </c>
    </row>
    <row r="97" spans="1:11" x14ac:dyDescent="0.45">
      <c r="A97" t="s">
        <v>122</v>
      </c>
      <c r="B97" t="s">
        <v>14</v>
      </c>
      <c r="C97" t="s">
        <v>15</v>
      </c>
      <c r="D97" t="s">
        <v>43</v>
      </c>
      <c r="E97">
        <v>45</v>
      </c>
      <c r="F97">
        <v>117.1</v>
      </c>
      <c r="G97">
        <v>20</v>
      </c>
      <c r="H97">
        <v>4215.6000000000004</v>
      </c>
      <c r="I97">
        <v>15</v>
      </c>
      <c r="J97" s="2">
        <v>45780</v>
      </c>
      <c r="K97" t="str">
        <v>NO</v>
      </c>
    </row>
    <row r="98" spans="1:11" x14ac:dyDescent="0.45">
      <c r="A98" t="s">
        <v>123</v>
      </c>
      <c r="B98" t="s">
        <v>30</v>
      </c>
      <c r="C98" t="s">
        <v>19</v>
      </c>
      <c r="D98" t="s">
        <v>43</v>
      </c>
      <c r="E98">
        <v>40</v>
      </c>
      <c r="F98">
        <v>350.09</v>
      </c>
      <c r="G98">
        <v>5</v>
      </c>
      <c r="H98">
        <v>13303.42</v>
      </c>
      <c r="I98">
        <v>5</v>
      </c>
      <c r="J98" s="2">
        <v>45753</v>
      </c>
      <c r="K98" t="str">
        <v>Yes</v>
      </c>
    </row>
    <row r="99" spans="1:11" x14ac:dyDescent="0.45">
      <c r="A99" t="s">
        <v>124</v>
      </c>
      <c r="B99" t="s">
        <v>18</v>
      </c>
      <c r="C99" t="s">
        <v>19</v>
      </c>
      <c r="D99" t="s">
        <v>16</v>
      </c>
      <c r="E99">
        <v>31</v>
      </c>
      <c r="F99">
        <v>310.14999999999998</v>
      </c>
      <c r="G99">
        <v>5</v>
      </c>
      <c r="H99">
        <v>9133.92</v>
      </c>
      <c r="I99">
        <v>10</v>
      </c>
      <c r="J99" s="2">
        <v>45677</v>
      </c>
      <c r="K99" t="str">
        <v>Yes</v>
      </c>
    </row>
    <row r="100" spans="1:11" x14ac:dyDescent="0.45">
      <c r="A100" t="s">
        <v>125</v>
      </c>
      <c r="B100" t="s">
        <v>26</v>
      </c>
      <c r="C100" t="s">
        <v>23</v>
      </c>
      <c r="D100" t="s">
        <v>43</v>
      </c>
      <c r="E100">
        <v>2</v>
      </c>
      <c r="F100">
        <v>407.32</v>
      </c>
      <c r="G100">
        <v>0</v>
      </c>
      <c r="H100">
        <v>814.64</v>
      </c>
      <c r="I100">
        <v>10</v>
      </c>
      <c r="J100" s="2">
        <v>45673</v>
      </c>
      <c r="K100" t="str">
        <v>NO</v>
      </c>
    </row>
    <row r="101" spans="1:11" x14ac:dyDescent="0.45">
      <c r="A101" t="s">
        <v>126</v>
      </c>
      <c r="B101" t="s">
        <v>22</v>
      </c>
      <c r="C101" t="s">
        <v>23</v>
      </c>
      <c r="D101" t="s">
        <v>20</v>
      </c>
      <c r="E101">
        <v>45</v>
      </c>
      <c r="F101">
        <v>49.8</v>
      </c>
      <c r="G101">
        <v>20</v>
      </c>
      <c r="H101">
        <v>1792.8</v>
      </c>
      <c r="I101">
        <v>5</v>
      </c>
      <c r="J101" s="2">
        <v>45777</v>
      </c>
      <c r="K101" t="str">
        <v>NO</v>
      </c>
    </row>
    <row r="102" spans="1:11" x14ac:dyDescent="0.45">
      <c r="A102" t="s">
        <v>127</v>
      </c>
      <c r="B102" t="s">
        <v>14</v>
      </c>
      <c r="C102" t="s">
        <v>15</v>
      </c>
      <c r="D102" t="s">
        <v>20</v>
      </c>
      <c r="E102">
        <v>35</v>
      </c>
      <c r="F102">
        <v>338.82</v>
      </c>
      <c r="G102">
        <v>0</v>
      </c>
      <c r="H102">
        <v>11858.7</v>
      </c>
      <c r="I102">
        <v>20</v>
      </c>
      <c r="J102" s="2">
        <v>45668</v>
      </c>
      <c r="K102" t="str">
        <v>Yes</v>
      </c>
    </row>
    <row r="103" spans="1:11" x14ac:dyDescent="0.45">
      <c r="A103" t="s">
        <v>128</v>
      </c>
      <c r="B103" t="s">
        <v>30</v>
      </c>
      <c r="C103" t="s">
        <v>23</v>
      </c>
      <c r="D103" t="s">
        <v>32</v>
      </c>
      <c r="E103">
        <v>34</v>
      </c>
      <c r="F103">
        <v>117.73</v>
      </c>
      <c r="G103">
        <v>15</v>
      </c>
      <c r="H103">
        <v>3402.4</v>
      </c>
      <c r="I103">
        <v>15</v>
      </c>
      <c r="J103" s="2">
        <v>45647</v>
      </c>
      <c r="K103" t="str">
        <v>NO</v>
      </c>
    </row>
    <row r="104" spans="1:11" x14ac:dyDescent="0.45">
      <c r="A104" t="s">
        <v>129</v>
      </c>
      <c r="B104" t="s">
        <v>30</v>
      </c>
      <c r="C104" t="s">
        <v>19</v>
      </c>
      <c r="D104" t="s">
        <v>24</v>
      </c>
      <c r="E104">
        <v>11</v>
      </c>
      <c r="F104">
        <v>221.33</v>
      </c>
      <c r="G104">
        <v>10</v>
      </c>
      <c r="H104">
        <v>2191.17</v>
      </c>
      <c r="I104">
        <v>5</v>
      </c>
      <c r="J104" s="2">
        <v>45705</v>
      </c>
      <c r="K104" t="str">
        <v>NO</v>
      </c>
    </row>
    <row r="105" spans="1:11" x14ac:dyDescent="0.45">
      <c r="A105" t="s">
        <v>130</v>
      </c>
      <c r="B105" t="s">
        <v>14</v>
      </c>
      <c r="C105" t="s">
        <v>19</v>
      </c>
      <c r="D105" t="s">
        <v>43</v>
      </c>
      <c r="E105">
        <v>27</v>
      </c>
      <c r="F105">
        <v>348.9</v>
      </c>
      <c r="G105">
        <v>20</v>
      </c>
      <c r="H105">
        <v>7536.24</v>
      </c>
      <c r="I105">
        <v>10</v>
      </c>
      <c r="J105" s="2">
        <v>45772</v>
      </c>
      <c r="K105" t="str">
        <v>Yes</v>
      </c>
    </row>
    <row r="106" spans="1:11" x14ac:dyDescent="0.45">
      <c r="A106" t="s">
        <v>131</v>
      </c>
      <c r="B106" t="s">
        <v>30</v>
      </c>
      <c r="C106" t="s">
        <v>23</v>
      </c>
      <c r="D106" t="s">
        <v>43</v>
      </c>
      <c r="E106">
        <v>29</v>
      </c>
      <c r="F106">
        <v>338.78</v>
      </c>
      <c r="G106">
        <v>0</v>
      </c>
      <c r="H106">
        <v>9824.6200000000008</v>
      </c>
      <c r="I106">
        <v>10</v>
      </c>
      <c r="J106" s="2">
        <v>45765</v>
      </c>
      <c r="K106" t="str">
        <v>Yes</v>
      </c>
    </row>
    <row r="107" spans="1:11" x14ac:dyDescent="0.45">
      <c r="A107" t="s">
        <v>132</v>
      </c>
      <c r="B107" t="s">
        <v>22</v>
      </c>
      <c r="C107" t="s">
        <v>15</v>
      </c>
      <c r="D107" t="s">
        <v>43</v>
      </c>
      <c r="E107">
        <v>38</v>
      </c>
      <c r="F107">
        <v>73.09</v>
      </c>
      <c r="G107">
        <v>15</v>
      </c>
      <c r="H107">
        <v>2360.81</v>
      </c>
      <c r="I107">
        <v>20</v>
      </c>
      <c r="J107" s="2">
        <v>45640</v>
      </c>
      <c r="K107" t="str">
        <v>NO</v>
      </c>
    </row>
    <row r="108" spans="1:11" x14ac:dyDescent="0.45">
      <c r="A108" t="s">
        <v>133</v>
      </c>
      <c r="B108" t="s">
        <v>14</v>
      </c>
      <c r="C108" t="s">
        <v>15</v>
      </c>
      <c r="D108" t="s">
        <v>43</v>
      </c>
      <c r="E108">
        <v>33</v>
      </c>
      <c r="F108">
        <v>165.69</v>
      </c>
      <c r="G108">
        <v>5</v>
      </c>
      <c r="H108">
        <v>5194.38</v>
      </c>
      <c r="I108">
        <v>5</v>
      </c>
      <c r="J108" s="2">
        <v>45784</v>
      </c>
      <c r="K108" t="str">
        <v>Yes</v>
      </c>
    </row>
    <row r="109" spans="1:11" x14ac:dyDescent="0.45">
      <c r="A109" t="s">
        <v>134</v>
      </c>
      <c r="B109" t="s">
        <v>18</v>
      </c>
      <c r="C109" t="s">
        <v>19</v>
      </c>
      <c r="D109" t="s">
        <v>32</v>
      </c>
      <c r="E109">
        <v>22</v>
      </c>
      <c r="F109">
        <v>189.08</v>
      </c>
      <c r="G109">
        <v>15</v>
      </c>
      <c r="H109">
        <v>3535.8</v>
      </c>
      <c r="I109">
        <v>15</v>
      </c>
      <c r="J109" s="2">
        <v>45681</v>
      </c>
      <c r="K109" t="str">
        <v>NO</v>
      </c>
    </row>
    <row r="110" spans="1:11" x14ac:dyDescent="0.45">
      <c r="A110" t="s">
        <v>135</v>
      </c>
      <c r="B110" t="s">
        <v>26</v>
      </c>
      <c r="C110" t="s">
        <v>23</v>
      </c>
      <c r="D110" t="s">
        <v>16</v>
      </c>
      <c r="E110">
        <v>14</v>
      </c>
      <c r="F110">
        <v>193.63</v>
      </c>
      <c r="G110">
        <v>20</v>
      </c>
      <c r="H110">
        <v>2168.66</v>
      </c>
      <c r="I110">
        <v>15</v>
      </c>
      <c r="J110" s="2">
        <v>45796</v>
      </c>
      <c r="K110" t="str">
        <v>NO</v>
      </c>
    </row>
    <row r="111" spans="1:11" x14ac:dyDescent="0.45">
      <c r="A111" t="s">
        <v>136</v>
      </c>
      <c r="B111" t="s">
        <v>30</v>
      </c>
      <c r="C111" t="s">
        <v>31</v>
      </c>
      <c r="D111" t="s">
        <v>43</v>
      </c>
      <c r="E111">
        <v>27</v>
      </c>
      <c r="F111">
        <v>496.64</v>
      </c>
      <c r="G111">
        <v>0</v>
      </c>
      <c r="H111">
        <v>13409.28</v>
      </c>
      <c r="I111">
        <v>20</v>
      </c>
      <c r="J111" s="2">
        <v>45757</v>
      </c>
      <c r="K111" t="str">
        <v>Yes</v>
      </c>
    </row>
    <row r="112" spans="1:11" x14ac:dyDescent="0.45">
      <c r="A112" t="s">
        <v>137</v>
      </c>
      <c r="B112" t="s">
        <v>22</v>
      </c>
      <c r="C112" t="s">
        <v>19</v>
      </c>
      <c r="D112" t="s">
        <v>16</v>
      </c>
      <c r="E112">
        <v>46</v>
      </c>
      <c r="F112">
        <v>295.47000000000003</v>
      </c>
      <c r="G112">
        <v>0</v>
      </c>
      <c r="H112">
        <v>13591.62</v>
      </c>
      <c r="I112">
        <v>10</v>
      </c>
      <c r="J112" s="2">
        <v>45685</v>
      </c>
      <c r="K112" t="str">
        <v>Yes</v>
      </c>
    </row>
    <row r="113" spans="1:11" x14ac:dyDescent="0.45">
      <c r="A113" t="s">
        <v>138</v>
      </c>
      <c r="B113" t="s">
        <v>26</v>
      </c>
      <c r="C113" t="s">
        <v>15</v>
      </c>
      <c r="D113" t="s">
        <v>43</v>
      </c>
      <c r="E113">
        <v>47</v>
      </c>
      <c r="F113">
        <v>290.39999999999998</v>
      </c>
      <c r="G113">
        <v>0</v>
      </c>
      <c r="H113">
        <v>13648.8</v>
      </c>
      <c r="I113">
        <v>10</v>
      </c>
      <c r="J113" s="2">
        <v>45647</v>
      </c>
      <c r="K113" t="str">
        <v>Yes</v>
      </c>
    </row>
    <row r="114" spans="1:11" x14ac:dyDescent="0.45">
      <c r="A114" t="s">
        <v>139</v>
      </c>
      <c r="B114" t="s">
        <v>18</v>
      </c>
      <c r="C114" t="s">
        <v>15</v>
      </c>
      <c r="D114" t="s">
        <v>43</v>
      </c>
      <c r="E114">
        <v>36</v>
      </c>
      <c r="F114">
        <v>437.39</v>
      </c>
      <c r="G114">
        <v>20</v>
      </c>
      <c r="H114">
        <v>12596.83</v>
      </c>
      <c r="I114">
        <v>10</v>
      </c>
      <c r="J114" s="2">
        <v>45638</v>
      </c>
      <c r="K114" t="str">
        <v>Yes</v>
      </c>
    </row>
    <row r="115" spans="1:11" x14ac:dyDescent="0.45">
      <c r="A115" t="s">
        <v>140</v>
      </c>
      <c r="B115" t="s">
        <v>30</v>
      </c>
      <c r="C115" t="s">
        <v>23</v>
      </c>
      <c r="D115" t="s">
        <v>16</v>
      </c>
      <c r="E115">
        <v>45</v>
      </c>
      <c r="F115">
        <v>202.23</v>
      </c>
      <c r="G115">
        <v>5</v>
      </c>
      <c r="H115">
        <v>8645.33</v>
      </c>
      <c r="I115">
        <v>15</v>
      </c>
      <c r="J115" s="2">
        <v>45637</v>
      </c>
      <c r="K115" t="str">
        <v>Yes</v>
      </c>
    </row>
    <row r="116" spans="1:11" x14ac:dyDescent="0.45">
      <c r="A116" t="s">
        <v>141</v>
      </c>
      <c r="B116" t="s">
        <v>18</v>
      </c>
      <c r="C116" t="s">
        <v>19</v>
      </c>
      <c r="D116" t="s">
        <v>32</v>
      </c>
      <c r="E116">
        <v>16</v>
      </c>
      <c r="F116">
        <v>229.34</v>
      </c>
      <c r="G116">
        <v>0</v>
      </c>
      <c r="H116">
        <v>3669.44</v>
      </c>
      <c r="I116">
        <v>20</v>
      </c>
      <c r="J116" s="2">
        <v>45630</v>
      </c>
      <c r="K116" t="str">
        <v>NO</v>
      </c>
    </row>
    <row r="117" spans="1:11" x14ac:dyDescent="0.45">
      <c r="A117" t="s">
        <v>142</v>
      </c>
      <c r="B117" t="s">
        <v>26</v>
      </c>
      <c r="C117" t="s">
        <v>31</v>
      </c>
      <c r="D117" t="s">
        <v>43</v>
      </c>
      <c r="E117">
        <v>26</v>
      </c>
      <c r="F117">
        <v>289.08999999999997</v>
      </c>
      <c r="G117">
        <v>0</v>
      </c>
      <c r="H117">
        <v>7516.34</v>
      </c>
      <c r="I117">
        <v>10</v>
      </c>
      <c r="J117" s="2">
        <v>45682</v>
      </c>
      <c r="K117" t="str">
        <v>Yes</v>
      </c>
    </row>
    <row r="118" spans="1:11" x14ac:dyDescent="0.45">
      <c r="A118" t="s">
        <v>143</v>
      </c>
      <c r="B118" t="s">
        <v>26</v>
      </c>
      <c r="C118" t="s">
        <v>19</v>
      </c>
      <c r="D118" t="s">
        <v>24</v>
      </c>
      <c r="E118">
        <v>2</v>
      </c>
      <c r="F118">
        <v>244.1</v>
      </c>
      <c r="G118">
        <v>10</v>
      </c>
      <c r="H118">
        <v>439.38</v>
      </c>
      <c r="I118">
        <v>15</v>
      </c>
      <c r="J118" s="2">
        <v>45700</v>
      </c>
      <c r="K118" t="str">
        <v>NO</v>
      </c>
    </row>
    <row r="119" spans="1:11" x14ac:dyDescent="0.45">
      <c r="A119" t="s">
        <v>144</v>
      </c>
      <c r="B119" t="s">
        <v>26</v>
      </c>
      <c r="C119" t="s">
        <v>31</v>
      </c>
      <c r="D119" t="s">
        <v>24</v>
      </c>
      <c r="E119">
        <v>10</v>
      </c>
      <c r="F119">
        <v>331.56</v>
      </c>
      <c r="G119">
        <v>15</v>
      </c>
      <c r="H119">
        <v>2818.26</v>
      </c>
      <c r="I119">
        <v>15</v>
      </c>
      <c r="J119" s="2">
        <v>45664</v>
      </c>
      <c r="K119" t="str">
        <v>NO</v>
      </c>
    </row>
    <row r="120" spans="1:11" x14ac:dyDescent="0.45">
      <c r="A120" t="s">
        <v>145</v>
      </c>
      <c r="B120" t="s">
        <v>18</v>
      </c>
      <c r="C120" t="s">
        <v>15</v>
      </c>
      <c r="D120" t="s">
        <v>24</v>
      </c>
      <c r="E120">
        <v>32</v>
      </c>
      <c r="F120">
        <v>26.14</v>
      </c>
      <c r="G120">
        <v>0</v>
      </c>
      <c r="H120">
        <v>836.48</v>
      </c>
      <c r="I120">
        <v>15</v>
      </c>
      <c r="J120" s="2">
        <v>45640</v>
      </c>
      <c r="K120" t="str">
        <v>NO</v>
      </c>
    </row>
    <row r="121" spans="1:11" x14ac:dyDescent="0.45">
      <c r="A121" t="s">
        <v>146</v>
      </c>
      <c r="B121" t="s">
        <v>30</v>
      </c>
      <c r="C121" t="s">
        <v>31</v>
      </c>
      <c r="D121" t="s">
        <v>32</v>
      </c>
      <c r="E121">
        <v>28</v>
      </c>
      <c r="F121">
        <v>422.85</v>
      </c>
      <c r="G121">
        <v>20</v>
      </c>
      <c r="H121">
        <v>9471.84</v>
      </c>
      <c r="I121">
        <v>20</v>
      </c>
      <c r="J121" s="2">
        <v>45744</v>
      </c>
      <c r="K121" t="str">
        <v>Yes</v>
      </c>
    </row>
    <row r="122" spans="1:11" x14ac:dyDescent="0.45">
      <c r="A122" t="s">
        <v>147</v>
      </c>
      <c r="B122" t="s">
        <v>30</v>
      </c>
      <c r="C122" t="s">
        <v>19</v>
      </c>
      <c r="D122" t="s">
        <v>32</v>
      </c>
      <c r="E122">
        <v>5</v>
      </c>
      <c r="F122">
        <v>398.06</v>
      </c>
      <c r="G122">
        <v>15</v>
      </c>
      <c r="H122">
        <v>1691.76</v>
      </c>
      <c r="I122">
        <v>10</v>
      </c>
      <c r="J122" s="2">
        <v>45681</v>
      </c>
      <c r="K122" t="str">
        <v>NO</v>
      </c>
    </row>
    <row r="123" spans="1:11" x14ac:dyDescent="0.45">
      <c r="A123" t="s">
        <v>148</v>
      </c>
      <c r="B123" t="s">
        <v>14</v>
      </c>
      <c r="C123" t="s">
        <v>19</v>
      </c>
      <c r="D123" t="s">
        <v>16</v>
      </c>
      <c r="E123">
        <v>13</v>
      </c>
      <c r="F123">
        <v>15.13</v>
      </c>
      <c r="G123">
        <v>5</v>
      </c>
      <c r="H123">
        <v>186.86</v>
      </c>
      <c r="I123">
        <v>10</v>
      </c>
      <c r="J123" s="2">
        <v>45666</v>
      </c>
      <c r="K123" t="str">
        <v>NO</v>
      </c>
    </row>
    <row r="124" spans="1:11" x14ac:dyDescent="0.45">
      <c r="A124" t="s">
        <v>149</v>
      </c>
      <c r="B124" t="s">
        <v>26</v>
      </c>
      <c r="C124" t="s">
        <v>31</v>
      </c>
      <c r="D124" t="s">
        <v>32</v>
      </c>
      <c r="E124">
        <v>39</v>
      </c>
      <c r="F124">
        <v>207.33</v>
      </c>
      <c r="G124">
        <v>0</v>
      </c>
      <c r="H124">
        <v>8085.87</v>
      </c>
      <c r="I124">
        <v>20</v>
      </c>
      <c r="J124" s="2">
        <v>45669</v>
      </c>
      <c r="K124" t="str">
        <v>Yes</v>
      </c>
    </row>
    <row r="125" spans="1:11" x14ac:dyDescent="0.45">
      <c r="A125" t="s">
        <v>150</v>
      </c>
      <c r="B125" t="s">
        <v>14</v>
      </c>
      <c r="C125" t="s">
        <v>23</v>
      </c>
      <c r="D125" t="s">
        <v>20</v>
      </c>
      <c r="E125">
        <v>13</v>
      </c>
      <c r="F125">
        <v>41.56</v>
      </c>
      <c r="G125">
        <v>0</v>
      </c>
      <c r="H125">
        <v>540.28</v>
      </c>
      <c r="I125">
        <v>10</v>
      </c>
      <c r="J125" s="2">
        <v>45804</v>
      </c>
      <c r="K125" t="str">
        <v>NO</v>
      </c>
    </row>
    <row r="126" spans="1:11" x14ac:dyDescent="0.45">
      <c r="A126" t="s">
        <v>151</v>
      </c>
      <c r="B126" t="s">
        <v>26</v>
      </c>
      <c r="C126" t="s">
        <v>23</v>
      </c>
      <c r="D126" t="s">
        <v>32</v>
      </c>
      <c r="E126">
        <v>24</v>
      </c>
      <c r="F126">
        <v>21.78</v>
      </c>
      <c r="G126">
        <v>15</v>
      </c>
      <c r="H126">
        <v>444.31</v>
      </c>
      <c r="I126">
        <v>20</v>
      </c>
      <c r="J126" s="2">
        <v>45720</v>
      </c>
      <c r="K126" t="str">
        <v>NO</v>
      </c>
    </row>
    <row r="127" spans="1:11" x14ac:dyDescent="0.45">
      <c r="A127" t="s">
        <v>152</v>
      </c>
      <c r="B127" t="s">
        <v>18</v>
      </c>
      <c r="C127" t="s">
        <v>19</v>
      </c>
      <c r="D127" t="s">
        <v>20</v>
      </c>
      <c r="E127">
        <v>7</v>
      </c>
      <c r="F127">
        <v>413.77</v>
      </c>
      <c r="G127">
        <v>15</v>
      </c>
      <c r="H127">
        <v>2461.9299999999998</v>
      </c>
      <c r="I127">
        <v>20</v>
      </c>
      <c r="J127" s="2">
        <v>45677</v>
      </c>
      <c r="K127" t="str">
        <v>NO</v>
      </c>
    </row>
    <row r="128" spans="1:11" x14ac:dyDescent="0.45">
      <c r="A128" t="s">
        <v>153</v>
      </c>
      <c r="B128" t="s">
        <v>30</v>
      </c>
      <c r="C128" t="s">
        <v>31</v>
      </c>
      <c r="D128" t="s">
        <v>16</v>
      </c>
      <c r="E128">
        <v>7</v>
      </c>
      <c r="F128">
        <v>387.41</v>
      </c>
      <c r="G128">
        <v>20</v>
      </c>
      <c r="H128">
        <v>2169.5</v>
      </c>
      <c r="I128">
        <v>10</v>
      </c>
      <c r="J128" s="2">
        <v>45707</v>
      </c>
      <c r="K128" t="str">
        <v>NO</v>
      </c>
    </row>
    <row r="129" spans="1:11" x14ac:dyDescent="0.45">
      <c r="A129" t="s">
        <v>154</v>
      </c>
      <c r="B129" t="s">
        <v>26</v>
      </c>
      <c r="C129" t="s">
        <v>23</v>
      </c>
      <c r="D129" t="s">
        <v>32</v>
      </c>
      <c r="E129">
        <v>37</v>
      </c>
      <c r="F129">
        <v>325.22000000000003</v>
      </c>
      <c r="G129">
        <v>5</v>
      </c>
      <c r="H129">
        <v>11431.48</v>
      </c>
      <c r="I129">
        <v>20</v>
      </c>
      <c r="J129" s="2">
        <v>45703</v>
      </c>
      <c r="K129" t="str">
        <v>Yes</v>
      </c>
    </row>
    <row r="130" spans="1:11" x14ac:dyDescent="0.45">
      <c r="A130" t="s">
        <v>155</v>
      </c>
      <c r="B130" t="s">
        <v>22</v>
      </c>
      <c r="C130" t="s">
        <v>23</v>
      </c>
      <c r="D130" t="s">
        <v>16</v>
      </c>
      <c r="E130">
        <v>11</v>
      </c>
      <c r="F130">
        <v>337.67</v>
      </c>
      <c r="G130">
        <v>0</v>
      </c>
      <c r="H130">
        <v>3714.37</v>
      </c>
      <c r="I130">
        <v>5</v>
      </c>
      <c r="J130" s="2">
        <v>45701</v>
      </c>
      <c r="K130" t="str">
        <v>NO</v>
      </c>
    </row>
    <row r="131" spans="1:11" x14ac:dyDescent="0.45">
      <c r="A131" t="s">
        <v>156</v>
      </c>
      <c r="B131" t="s">
        <v>18</v>
      </c>
      <c r="C131" t="s">
        <v>15</v>
      </c>
      <c r="D131" t="s">
        <v>24</v>
      </c>
      <c r="E131">
        <v>46</v>
      </c>
      <c r="F131">
        <v>146.80000000000001</v>
      </c>
      <c r="G131">
        <v>15</v>
      </c>
      <c r="H131">
        <v>5739.88</v>
      </c>
      <c r="I131">
        <v>15</v>
      </c>
      <c r="J131" s="2">
        <v>45697</v>
      </c>
      <c r="K131" t="str">
        <v>Yes</v>
      </c>
    </row>
    <row r="132" spans="1:11" x14ac:dyDescent="0.45">
      <c r="A132" t="s">
        <v>157</v>
      </c>
      <c r="B132" t="s">
        <v>18</v>
      </c>
      <c r="C132" t="s">
        <v>15</v>
      </c>
      <c r="D132" t="s">
        <v>16</v>
      </c>
      <c r="E132">
        <v>34</v>
      </c>
      <c r="F132">
        <v>273.12</v>
      </c>
      <c r="G132">
        <v>0</v>
      </c>
      <c r="H132">
        <v>9286.08</v>
      </c>
      <c r="I132">
        <v>10</v>
      </c>
      <c r="J132" s="2">
        <v>45663</v>
      </c>
      <c r="K132" t="str">
        <v>Yes</v>
      </c>
    </row>
    <row r="133" spans="1:11" x14ac:dyDescent="0.45">
      <c r="A133" t="s">
        <v>158</v>
      </c>
      <c r="B133" t="s">
        <v>22</v>
      </c>
      <c r="C133" t="s">
        <v>23</v>
      </c>
      <c r="D133" t="s">
        <v>16</v>
      </c>
      <c r="E133">
        <v>40</v>
      </c>
      <c r="F133">
        <v>333.71</v>
      </c>
      <c r="G133">
        <v>20</v>
      </c>
      <c r="H133">
        <v>10678.72</v>
      </c>
      <c r="I133">
        <v>20</v>
      </c>
      <c r="J133" s="2">
        <v>45693</v>
      </c>
      <c r="K133" t="str">
        <v>Yes</v>
      </c>
    </row>
    <row r="134" spans="1:11" x14ac:dyDescent="0.45">
      <c r="A134" t="s">
        <v>159</v>
      </c>
      <c r="B134" t="s">
        <v>22</v>
      </c>
      <c r="C134" t="s">
        <v>19</v>
      </c>
      <c r="D134" t="s">
        <v>43</v>
      </c>
      <c r="E134">
        <v>9</v>
      </c>
      <c r="F134">
        <v>223.92</v>
      </c>
      <c r="G134">
        <v>5</v>
      </c>
      <c r="H134">
        <v>1914.52</v>
      </c>
      <c r="I134">
        <v>20</v>
      </c>
      <c r="J134" s="2">
        <v>45803</v>
      </c>
      <c r="K134" t="str">
        <v>NO</v>
      </c>
    </row>
    <row r="135" spans="1:11" x14ac:dyDescent="0.45">
      <c r="A135" t="s">
        <v>160</v>
      </c>
      <c r="B135" t="s">
        <v>30</v>
      </c>
      <c r="C135" t="s">
        <v>23</v>
      </c>
      <c r="D135" t="s">
        <v>24</v>
      </c>
      <c r="E135">
        <v>15</v>
      </c>
      <c r="F135">
        <v>212.16</v>
      </c>
      <c r="G135">
        <v>5</v>
      </c>
      <c r="H135">
        <v>3023.28</v>
      </c>
      <c r="I135">
        <v>20</v>
      </c>
      <c r="J135" s="2">
        <v>45668</v>
      </c>
      <c r="K135" t="str">
        <v>NO</v>
      </c>
    </row>
    <row r="136" spans="1:11" x14ac:dyDescent="0.45">
      <c r="A136" t="s">
        <v>161</v>
      </c>
      <c r="B136" t="s">
        <v>18</v>
      </c>
      <c r="C136" t="s">
        <v>15</v>
      </c>
      <c r="D136" t="s">
        <v>20</v>
      </c>
      <c r="E136">
        <v>36</v>
      </c>
      <c r="F136">
        <v>327.58</v>
      </c>
      <c r="G136">
        <v>15</v>
      </c>
      <c r="H136">
        <v>10023.950000000001</v>
      </c>
      <c r="I136">
        <v>5</v>
      </c>
      <c r="J136" s="2">
        <v>45699</v>
      </c>
      <c r="K136" t="str">
        <v>Yes</v>
      </c>
    </row>
    <row r="137" spans="1:11" x14ac:dyDescent="0.45">
      <c r="A137" t="s">
        <v>162</v>
      </c>
      <c r="B137" t="s">
        <v>22</v>
      </c>
      <c r="C137" t="s">
        <v>15</v>
      </c>
      <c r="D137" t="s">
        <v>20</v>
      </c>
      <c r="E137">
        <v>43</v>
      </c>
      <c r="F137">
        <v>48.87</v>
      </c>
      <c r="G137">
        <v>10</v>
      </c>
      <c r="H137">
        <v>1891.27</v>
      </c>
      <c r="I137">
        <v>20</v>
      </c>
      <c r="J137" s="2">
        <v>45661</v>
      </c>
      <c r="K137" t="str">
        <v>NO</v>
      </c>
    </row>
    <row r="138" spans="1:11" x14ac:dyDescent="0.45">
      <c r="A138" t="s">
        <v>163</v>
      </c>
      <c r="B138" t="s">
        <v>30</v>
      </c>
      <c r="C138" t="s">
        <v>19</v>
      </c>
      <c r="D138" t="s">
        <v>16</v>
      </c>
      <c r="E138">
        <v>10</v>
      </c>
      <c r="F138">
        <v>369.58</v>
      </c>
      <c r="G138">
        <v>10</v>
      </c>
      <c r="H138">
        <v>3326.22</v>
      </c>
      <c r="I138">
        <v>15</v>
      </c>
      <c r="J138" s="2">
        <v>45771</v>
      </c>
      <c r="K138" t="str">
        <v>NO</v>
      </c>
    </row>
    <row r="139" spans="1:11" x14ac:dyDescent="0.45">
      <c r="A139" t="s">
        <v>164</v>
      </c>
      <c r="B139" t="s">
        <v>30</v>
      </c>
      <c r="C139" t="s">
        <v>23</v>
      </c>
      <c r="D139" t="s">
        <v>20</v>
      </c>
      <c r="E139">
        <v>28</v>
      </c>
      <c r="F139">
        <v>319.74</v>
      </c>
      <c r="G139">
        <v>20</v>
      </c>
      <c r="H139">
        <v>7162.18</v>
      </c>
      <c r="I139">
        <v>20</v>
      </c>
      <c r="J139" s="2">
        <v>45800</v>
      </c>
      <c r="K139" t="str">
        <v>Yes</v>
      </c>
    </row>
    <row r="140" spans="1:11" x14ac:dyDescent="0.45">
      <c r="A140" t="s">
        <v>165</v>
      </c>
      <c r="B140" t="s">
        <v>26</v>
      </c>
      <c r="C140" t="s">
        <v>31</v>
      </c>
      <c r="D140" t="s">
        <v>43</v>
      </c>
      <c r="E140">
        <v>18</v>
      </c>
      <c r="F140">
        <v>51.98</v>
      </c>
      <c r="G140">
        <v>10</v>
      </c>
      <c r="H140">
        <v>842.08</v>
      </c>
      <c r="I140">
        <v>20</v>
      </c>
      <c r="J140" s="2">
        <v>45624</v>
      </c>
      <c r="K140" t="str">
        <v>NO</v>
      </c>
    </row>
    <row r="141" spans="1:11" x14ac:dyDescent="0.45">
      <c r="A141" t="s">
        <v>166</v>
      </c>
      <c r="B141" t="s">
        <v>30</v>
      </c>
      <c r="C141" t="s">
        <v>31</v>
      </c>
      <c r="D141" t="s">
        <v>32</v>
      </c>
      <c r="E141">
        <v>19</v>
      </c>
      <c r="F141">
        <v>114.4</v>
      </c>
      <c r="G141">
        <v>10</v>
      </c>
      <c r="H141">
        <v>1956.24</v>
      </c>
      <c r="I141">
        <v>5</v>
      </c>
      <c r="J141" s="2">
        <v>45733</v>
      </c>
      <c r="K141" t="str">
        <v>NO</v>
      </c>
    </row>
    <row r="142" spans="1:11" x14ac:dyDescent="0.45">
      <c r="A142" t="s">
        <v>167</v>
      </c>
      <c r="B142" t="s">
        <v>26</v>
      </c>
      <c r="C142" t="s">
        <v>31</v>
      </c>
      <c r="D142" t="s">
        <v>32</v>
      </c>
      <c r="E142">
        <v>10</v>
      </c>
      <c r="F142">
        <v>385.71</v>
      </c>
      <c r="G142">
        <v>15</v>
      </c>
      <c r="H142">
        <v>3278.54</v>
      </c>
      <c r="I142">
        <v>10</v>
      </c>
      <c r="J142" s="2">
        <v>45641</v>
      </c>
      <c r="K142" t="str">
        <v>NO</v>
      </c>
    </row>
    <row r="143" spans="1:11" x14ac:dyDescent="0.45">
      <c r="A143" t="s">
        <v>168</v>
      </c>
      <c r="B143" t="s">
        <v>18</v>
      </c>
      <c r="C143" t="s">
        <v>19</v>
      </c>
      <c r="D143" t="s">
        <v>24</v>
      </c>
      <c r="E143">
        <v>18</v>
      </c>
      <c r="F143">
        <v>282</v>
      </c>
      <c r="G143">
        <v>15</v>
      </c>
      <c r="H143">
        <v>4314.6000000000004</v>
      </c>
      <c r="I143">
        <v>20</v>
      </c>
      <c r="J143" s="2">
        <v>45712</v>
      </c>
      <c r="K143" t="str">
        <v>NO</v>
      </c>
    </row>
    <row r="144" spans="1:11" x14ac:dyDescent="0.45">
      <c r="A144" t="s">
        <v>169</v>
      </c>
      <c r="B144" t="s">
        <v>18</v>
      </c>
      <c r="C144" t="s">
        <v>19</v>
      </c>
      <c r="D144" t="s">
        <v>24</v>
      </c>
      <c r="E144">
        <v>46</v>
      </c>
      <c r="F144">
        <v>212.4</v>
      </c>
      <c r="G144">
        <v>0</v>
      </c>
      <c r="H144">
        <v>9770.4</v>
      </c>
      <c r="I144">
        <v>15</v>
      </c>
      <c r="J144" s="2">
        <v>45783</v>
      </c>
      <c r="K144" t="str">
        <v>Yes</v>
      </c>
    </row>
    <row r="145" spans="1:11" x14ac:dyDescent="0.45">
      <c r="A145" t="s">
        <v>170</v>
      </c>
      <c r="B145" t="s">
        <v>14</v>
      </c>
      <c r="C145" t="s">
        <v>19</v>
      </c>
      <c r="D145" t="s">
        <v>16</v>
      </c>
      <c r="E145">
        <v>9</v>
      </c>
      <c r="F145">
        <v>259.42</v>
      </c>
      <c r="G145">
        <v>10</v>
      </c>
      <c r="H145">
        <v>2101.3000000000002</v>
      </c>
      <c r="I145">
        <v>20</v>
      </c>
      <c r="J145" s="2">
        <v>45686</v>
      </c>
      <c r="K145" t="str">
        <v>NO</v>
      </c>
    </row>
    <row r="146" spans="1:11" x14ac:dyDescent="0.45">
      <c r="A146" t="s">
        <v>171</v>
      </c>
      <c r="B146" t="s">
        <v>14</v>
      </c>
      <c r="C146" t="s">
        <v>19</v>
      </c>
      <c r="D146" t="s">
        <v>20</v>
      </c>
      <c r="E146">
        <v>28</v>
      </c>
      <c r="F146">
        <v>382.8</v>
      </c>
      <c r="G146">
        <v>20</v>
      </c>
      <c r="H146">
        <v>8574.7199999999993</v>
      </c>
      <c r="I146">
        <v>20</v>
      </c>
      <c r="J146" s="2">
        <v>45741</v>
      </c>
      <c r="K146" t="str">
        <v>Yes</v>
      </c>
    </row>
    <row r="147" spans="1:11" x14ac:dyDescent="0.45">
      <c r="A147" t="s">
        <v>172</v>
      </c>
      <c r="B147" t="s">
        <v>26</v>
      </c>
      <c r="C147" t="s">
        <v>19</v>
      </c>
      <c r="D147" t="s">
        <v>32</v>
      </c>
      <c r="E147">
        <v>46</v>
      </c>
      <c r="F147">
        <v>458.84</v>
      </c>
      <c r="G147">
        <v>5</v>
      </c>
      <c r="H147">
        <v>20051.310000000001</v>
      </c>
      <c r="I147">
        <v>5</v>
      </c>
      <c r="J147" s="2">
        <v>45794</v>
      </c>
      <c r="K147" t="str">
        <v>Yes</v>
      </c>
    </row>
    <row r="148" spans="1:11" x14ac:dyDescent="0.45">
      <c r="A148" t="s">
        <v>173</v>
      </c>
      <c r="B148" t="s">
        <v>14</v>
      </c>
      <c r="C148" t="s">
        <v>31</v>
      </c>
      <c r="D148" t="s">
        <v>43</v>
      </c>
      <c r="E148">
        <v>24</v>
      </c>
      <c r="F148">
        <v>5.6</v>
      </c>
      <c r="G148">
        <v>20</v>
      </c>
      <c r="H148">
        <v>107.52</v>
      </c>
      <c r="I148">
        <v>10</v>
      </c>
      <c r="J148" s="2">
        <v>45636</v>
      </c>
      <c r="K148" t="str">
        <v>NO</v>
      </c>
    </row>
    <row r="149" spans="1:11" x14ac:dyDescent="0.45">
      <c r="A149" t="s">
        <v>174</v>
      </c>
      <c r="B149" t="s">
        <v>22</v>
      </c>
      <c r="C149" t="s">
        <v>23</v>
      </c>
      <c r="D149" t="s">
        <v>24</v>
      </c>
      <c r="E149">
        <v>49</v>
      </c>
      <c r="F149">
        <v>212.22</v>
      </c>
      <c r="G149">
        <v>20</v>
      </c>
      <c r="H149">
        <v>8319.02</v>
      </c>
      <c r="I149">
        <v>20</v>
      </c>
      <c r="J149" s="2">
        <v>45662</v>
      </c>
      <c r="K149" t="str">
        <v>Yes</v>
      </c>
    </row>
    <row r="150" spans="1:11" x14ac:dyDescent="0.45">
      <c r="A150" t="s">
        <v>175</v>
      </c>
      <c r="B150" t="s">
        <v>14</v>
      </c>
      <c r="C150" t="s">
        <v>31</v>
      </c>
      <c r="D150" t="s">
        <v>16</v>
      </c>
      <c r="E150">
        <v>49</v>
      </c>
      <c r="F150">
        <v>447.27</v>
      </c>
      <c r="G150">
        <v>5</v>
      </c>
      <c r="H150">
        <v>20820.419999999998</v>
      </c>
      <c r="I150">
        <v>5</v>
      </c>
      <c r="J150" s="2">
        <v>45647</v>
      </c>
      <c r="K150" t="str">
        <v>Yes</v>
      </c>
    </row>
    <row r="151" spans="1:11" x14ac:dyDescent="0.45">
      <c r="A151" t="s">
        <v>176</v>
      </c>
      <c r="B151" t="s">
        <v>26</v>
      </c>
      <c r="C151" t="s">
        <v>31</v>
      </c>
      <c r="D151" t="s">
        <v>24</v>
      </c>
      <c r="E151">
        <v>6</v>
      </c>
      <c r="F151">
        <v>257.12</v>
      </c>
      <c r="G151">
        <v>5</v>
      </c>
      <c r="H151">
        <v>1465.58</v>
      </c>
      <c r="I151">
        <v>10</v>
      </c>
      <c r="J151" s="2">
        <v>45631</v>
      </c>
      <c r="K151" t="str">
        <v>NO</v>
      </c>
    </row>
    <row r="152" spans="1:11" x14ac:dyDescent="0.45">
      <c r="A152" t="s">
        <v>177</v>
      </c>
      <c r="B152" t="s">
        <v>30</v>
      </c>
      <c r="C152" t="s">
        <v>23</v>
      </c>
      <c r="D152" t="s">
        <v>24</v>
      </c>
      <c r="E152">
        <v>17</v>
      </c>
      <c r="F152">
        <v>431.51</v>
      </c>
      <c r="G152">
        <v>0</v>
      </c>
      <c r="H152">
        <v>7335.67</v>
      </c>
      <c r="I152">
        <v>5</v>
      </c>
      <c r="J152" s="2">
        <v>45761</v>
      </c>
      <c r="K152" t="str">
        <v>Yes</v>
      </c>
    </row>
    <row r="153" spans="1:11" x14ac:dyDescent="0.45">
      <c r="A153" t="s">
        <v>178</v>
      </c>
      <c r="B153" t="s">
        <v>30</v>
      </c>
      <c r="C153" t="s">
        <v>15</v>
      </c>
      <c r="D153" t="s">
        <v>43</v>
      </c>
      <c r="E153">
        <v>9</v>
      </c>
      <c r="F153">
        <v>208.7</v>
      </c>
      <c r="G153">
        <v>10</v>
      </c>
      <c r="H153">
        <v>1690.47</v>
      </c>
      <c r="I153">
        <v>15</v>
      </c>
      <c r="J153" s="2">
        <v>45754</v>
      </c>
      <c r="K153" t="str">
        <v>NO</v>
      </c>
    </row>
    <row r="154" spans="1:11" x14ac:dyDescent="0.45">
      <c r="A154" t="s">
        <v>179</v>
      </c>
      <c r="B154" t="s">
        <v>22</v>
      </c>
      <c r="C154" t="s">
        <v>15</v>
      </c>
      <c r="D154" t="s">
        <v>24</v>
      </c>
      <c r="E154">
        <v>41</v>
      </c>
      <c r="F154">
        <v>68.19</v>
      </c>
      <c r="G154">
        <v>15</v>
      </c>
      <c r="H154">
        <v>2376.42</v>
      </c>
      <c r="I154">
        <v>5</v>
      </c>
      <c r="J154" s="2">
        <v>45634</v>
      </c>
      <c r="K154" t="str">
        <v>NO</v>
      </c>
    </row>
    <row r="155" spans="1:11" x14ac:dyDescent="0.45">
      <c r="A155" t="s">
        <v>180</v>
      </c>
      <c r="B155" t="s">
        <v>30</v>
      </c>
      <c r="C155" t="s">
        <v>19</v>
      </c>
      <c r="D155" t="s">
        <v>16</v>
      </c>
      <c r="E155">
        <v>19</v>
      </c>
      <c r="F155">
        <v>463.73</v>
      </c>
      <c r="G155">
        <v>15</v>
      </c>
      <c r="H155">
        <v>7489.24</v>
      </c>
      <c r="I155">
        <v>15</v>
      </c>
      <c r="J155" s="2">
        <v>45634</v>
      </c>
      <c r="K155" t="str">
        <v>Yes</v>
      </c>
    </row>
    <row r="156" spans="1:11" x14ac:dyDescent="0.45">
      <c r="A156" t="s">
        <v>181</v>
      </c>
      <c r="B156" t="s">
        <v>26</v>
      </c>
      <c r="C156" t="s">
        <v>31</v>
      </c>
      <c r="D156" t="s">
        <v>32</v>
      </c>
      <c r="E156">
        <v>48</v>
      </c>
      <c r="F156">
        <v>411.04</v>
      </c>
      <c r="G156">
        <v>10</v>
      </c>
      <c r="H156">
        <v>17756.93</v>
      </c>
      <c r="I156">
        <v>20</v>
      </c>
      <c r="J156" s="2">
        <v>45720</v>
      </c>
      <c r="K156" t="str">
        <v>Yes</v>
      </c>
    </row>
    <row r="157" spans="1:11" x14ac:dyDescent="0.45">
      <c r="A157" t="s">
        <v>182</v>
      </c>
      <c r="B157" t="s">
        <v>30</v>
      </c>
      <c r="C157" t="s">
        <v>15</v>
      </c>
      <c r="D157" t="s">
        <v>16</v>
      </c>
      <c r="E157">
        <v>15</v>
      </c>
      <c r="F157">
        <v>16.579999999999998</v>
      </c>
      <c r="G157">
        <v>0</v>
      </c>
      <c r="H157">
        <v>248.7</v>
      </c>
      <c r="I157">
        <v>15</v>
      </c>
      <c r="J157" s="2">
        <v>45756</v>
      </c>
      <c r="K157" t="str">
        <v>NO</v>
      </c>
    </row>
    <row r="158" spans="1:11" x14ac:dyDescent="0.45">
      <c r="A158" t="s">
        <v>183</v>
      </c>
      <c r="B158" t="s">
        <v>18</v>
      </c>
      <c r="C158" t="s">
        <v>15</v>
      </c>
      <c r="D158" t="s">
        <v>43</v>
      </c>
      <c r="E158">
        <v>11</v>
      </c>
      <c r="F158">
        <v>111.33</v>
      </c>
      <c r="G158">
        <v>0</v>
      </c>
      <c r="H158">
        <v>1224.6300000000001</v>
      </c>
      <c r="I158">
        <v>5</v>
      </c>
      <c r="J158" s="2">
        <v>45734</v>
      </c>
      <c r="K158" t="str">
        <v>NO</v>
      </c>
    </row>
    <row r="159" spans="1:11" x14ac:dyDescent="0.45">
      <c r="A159" t="s">
        <v>184</v>
      </c>
      <c r="B159" t="s">
        <v>26</v>
      </c>
      <c r="C159" t="s">
        <v>15</v>
      </c>
      <c r="D159" t="s">
        <v>24</v>
      </c>
      <c r="E159">
        <v>49</v>
      </c>
      <c r="F159">
        <v>176.89</v>
      </c>
      <c r="G159">
        <v>15</v>
      </c>
      <c r="H159">
        <v>7367.47</v>
      </c>
      <c r="I159">
        <v>15</v>
      </c>
      <c r="J159" s="2">
        <v>45689</v>
      </c>
      <c r="K159" t="str">
        <v>Yes</v>
      </c>
    </row>
    <row r="160" spans="1:11" x14ac:dyDescent="0.45">
      <c r="A160" t="s">
        <v>185</v>
      </c>
      <c r="B160" t="s">
        <v>30</v>
      </c>
      <c r="C160" t="s">
        <v>31</v>
      </c>
      <c r="D160" t="s">
        <v>43</v>
      </c>
      <c r="E160">
        <v>17</v>
      </c>
      <c r="F160">
        <v>192.89</v>
      </c>
      <c r="G160">
        <v>20</v>
      </c>
      <c r="H160">
        <v>2623.3</v>
      </c>
      <c r="I160">
        <v>15</v>
      </c>
      <c r="J160" s="2">
        <v>45725</v>
      </c>
      <c r="K160" t="str">
        <v>NO</v>
      </c>
    </row>
    <row r="161" spans="1:11" x14ac:dyDescent="0.45">
      <c r="A161" t="s">
        <v>186</v>
      </c>
      <c r="B161" t="s">
        <v>26</v>
      </c>
      <c r="C161" t="s">
        <v>19</v>
      </c>
      <c r="D161" t="s">
        <v>16</v>
      </c>
      <c r="E161">
        <v>27</v>
      </c>
      <c r="F161">
        <v>127.37</v>
      </c>
      <c r="G161">
        <v>0</v>
      </c>
      <c r="H161">
        <v>3438.99</v>
      </c>
      <c r="I161">
        <v>20</v>
      </c>
      <c r="J161" s="2">
        <v>45649</v>
      </c>
      <c r="K161" t="str">
        <v>NO</v>
      </c>
    </row>
    <row r="162" spans="1:11" x14ac:dyDescent="0.45">
      <c r="A162" t="s">
        <v>187</v>
      </c>
      <c r="B162" t="s">
        <v>18</v>
      </c>
      <c r="C162" t="s">
        <v>19</v>
      </c>
      <c r="D162" t="s">
        <v>32</v>
      </c>
      <c r="E162">
        <v>5</v>
      </c>
      <c r="F162">
        <v>231.85</v>
      </c>
      <c r="G162">
        <v>5</v>
      </c>
      <c r="H162">
        <v>1101.29</v>
      </c>
      <c r="I162">
        <v>20</v>
      </c>
      <c r="J162" s="2">
        <v>45774</v>
      </c>
      <c r="K162" t="str">
        <v>NO</v>
      </c>
    </row>
    <row r="163" spans="1:11" x14ac:dyDescent="0.45">
      <c r="A163" t="s">
        <v>188</v>
      </c>
      <c r="B163" t="s">
        <v>22</v>
      </c>
      <c r="C163" t="s">
        <v>15</v>
      </c>
      <c r="D163" t="s">
        <v>32</v>
      </c>
      <c r="E163">
        <v>20</v>
      </c>
      <c r="F163">
        <v>437.93</v>
      </c>
      <c r="G163">
        <v>10</v>
      </c>
      <c r="H163">
        <v>7882.74</v>
      </c>
      <c r="I163">
        <v>15</v>
      </c>
      <c r="J163" s="2">
        <v>45668</v>
      </c>
      <c r="K163" t="str">
        <v>Yes</v>
      </c>
    </row>
    <row r="164" spans="1:11" x14ac:dyDescent="0.45">
      <c r="A164" t="s">
        <v>189</v>
      </c>
      <c r="B164" t="s">
        <v>22</v>
      </c>
      <c r="C164" t="s">
        <v>15</v>
      </c>
      <c r="D164" t="s">
        <v>20</v>
      </c>
      <c r="E164">
        <v>22</v>
      </c>
      <c r="F164">
        <v>126.09</v>
      </c>
      <c r="G164">
        <v>5</v>
      </c>
      <c r="H164">
        <v>2635.28</v>
      </c>
      <c r="I164">
        <v>10</v>
      </c>
      <c r="J164" s="2">
        <v>45757</v>
      </c>
      <c r="K164" t="str">
        <v>NO</v>
      </c>
    </row>
    <row r="165" spans="1:11" x14ac:dyDescent="0.45">
      <c r="A165" t="s">
        <v>190</v>
      </c>
      <c r="B165" t="s">
        <v>30</v>
      </c>
      <c r="C165" t="s">
        <v>23</v>
      </c>
      <c r="D165" t="s">
        <v>32</v>
      </c>
      <c r="E165">
        <v>39</v>
      </c>
      <c r="F165">
        <v>240.32</v>
      </c>
      <c r="G165">
        <v>20</v>
      </c>
      <c r="H165">
        <v>7497.98</v>
      </c>
      <c r="I165">
        <v>10</v>
      </c>
      <c r="J165" s="2">
        <v>45757</v>
      </c>
      <c r="K165" t="str">
        <v>Yes</v>
      </c>
    </row>
    <row r="166" spans="1:11" x14ac:dyDescent="0.45">
      <c r="A166" t="s">
        <v>191</v>
      </c>
      <c r="B166" t="s">
        <v>14</v>
      </c>
      <c r="C166" t="s">
        <v>23</v>
      </c>
      <c r="D166" t="s">
        <v>43</v>
      </c>
      <c r="E166">
        <v>46</v>
      </c>
      <c r="F166">
        <v>238.64</v>
      </c>
      <c r="G166">
        <v>15</v>
      </c>
      <c r="H166">
        <v>9330.82</v>
      </c>
      <c r="I166">
        <v>10</v>
      </c>
      <c r="J166" s="2">
        <v>45723</v>
      </c>
      <c r="K166" t="str">
        <v>Yes</v>
      </c>
    </row>
    <row r="167" spans="1:11" x14ac:dyDescent="0.45">
      <c r="A167" t="s">
        <v>192</v>
      </c>
      <c r="B167" t="s">
        <v>18</v>
      </c>
      <c r="C167" t="s">
        <v>15</v>
      </c>
      <c r="D167" t="s">
        <v>43</v>
      </c>
      <c r="E167">
        <v>12</v>
      </c>
      <c r="F167">
        <v>471.28</v>
      </c>
      <c r="G167">
        <v>0</v>
      </c>
      <c r="H167">
        <v>5655.36</v>
      </c>
      <c r="I167">
        <v>15</v>
      </c>
      <c r="J167" s="2">
        <v>45736</v>
      </c>
      <c r="K167" t="str">
        <v>Yes</v>
      </c>
    </row>
    <row r="168" spans="1:11" x14ac:dyDescent="0.45">
      <c r="A168" t="s">
        <v>193</v>
      </c>
      <c r="B168" t="s">
        <v>18</v>
      </c>
      <c r="C168" t="s">
        <v>15</v>
      </c>
      <c r="D168" t="s">
        <v>32</v>
      </c>
      <c r="E168">
        <v>42</v>
      </c>
      <c r="F168">
        <v>101.38</v>
      </c>
      <c r="G168">
        <v>5</v>
      </c>
      <c r="H168">
        <v>4045.06</v>
      </c>
      <c r="I168">
        <v>15</v>
      </c>
      <c r="J168" s="2">
        <v>45769</v>
      </c>
      <c r="K168" t="str">
        <v>NO</v>
      </c>
    </row>
    <row r="169" spans="1:11" x14ac:dyDescent="0.45">
      <c r="A169" t="s">
        <v>194</v>
      </c>
      <c r="B169" t="s">
        <v>14</v>
      </c>
      <c r="C169" t="s">
        <v>15</v>
      </c>
      <c r="D169" t="s">
        <v>24</v>
      </c>
      <c r="E169">
        <v>41</v>
      </c>
      <c r="F169">
        <v>111.71</v>
      </c>
      <c r="G169">
        <v>15</v>
      </c>
      <c r="H169">
        <v>3893.09</v>
      </c>
      <c r="I169">
        <v>10</v>
      </c>
      <c r="J169" s="2">
        <v>45660</v>
      </c>
      <c r="K169" t="str">
        <v>NO</v>
      </c>
    </row>
    <row r="170" spans="1:11" x14ac:dyDescent="0.45">
      <c r="A170" t="s">
        <v>195</v>
      </c>
      <c r="B170" t="s">
        <v>22</v>
      </c>
      <c r="C170" t="s">
        <v>15</v>
      </c>
      <c r="D170" t="s">
        <v>32</v>
      </c>
      <c r="E170">
        <v>11</v>
      </c>
      <c r="F170">
        <v>100.43</v>
      </c>
      <c r="G170">
        <v>5</v>
      </c>
      <c r="H170">
        <v>1049.49</v>
      </c>
      <c r="I170">
        <v>20</v>
      </c>
      <c r="J170" s="2">
        <v>45680</v>
      </c>
      <c r="K170" t="str">
        <v>NO</v>
      </c>
    </row>
    <row r="171" spans="1:11" x14ac:dyDescent="0.45">
      <c r="A171" t="s">
        <v>196</v>
      </c>
      <c r="B171" t="s">
        <v>14</v>
      </c>
      <c r="C171" t="s">
        <v>31</v>
      </c>
      <c r="D171" t="s">
        <v>16</v>
      </c>
      <c r="E171">
        <v>3</v>
      </c>
      <c r="F171">
        <v>146.57</v>
      </c>
      <c r="G171">
        <v>20</v>
      </c>
      <c r="H171">
        <v>351.77</v>
      </c>
      <c r="I171">
        <v>15</v>
      </c>
      <c r="J171" s="2">
        <v>45634</v>
      </c>
      <c r="K171" t="str">
        <v>NO</v>
      </c>
    </row>
    <row r="172" spans="1:11" x14ac:dyDescent="0.45">
      <c r="A172" t="s">
        <v>197</v>
      </c>
      <c r="B172" t="s">
        <v>26</v>
      </c>
      <c r="C172" t="s">
        <v>23</v>
      </c>
      <c r="D172" t="s">
        <v>32</v>
      </c>
      <c r="E172">
        <v>18</v>
      </c>
      <c r="F172">
        <v>244.47</v>
      </c>
      <c r="G172">
        <v>5</v>
      </c>
      <c r="H172">
        <v>4180.4399999999996</v>
      </c>
      <c r="I172">
        <v>10</v>
      </c>
      <c r="J172" s="2">
        <v>45754</v>
      </c>
      <c r="K172" t="str">
        <v>NO</v>
      </c>
    </row>
    <row r="173" spans="1:11" x14ac:dyDescent="0.45">
      <c r="A173" t="s">
        <v>198</v>
      </c>
      <c r="B173" t="s">
        <v>30</v>
      </c>
      <c r="C173" t="s">
        <v>23</v>
      </c>
      <c r="D173" t="s">
        <v>20</v>
      </c>
      <c r="E173">
        <v>6</v>
      </c>
      <c r="F173">
        <v>237.01</v>
      </c>
      <c r="G173">
        <v>5</v>
      </c>
      <c r="H173">
        <v>1350.96</v>
      </c>
      <c r="I173">
        <v>10</v>
      </c>
      <c r="J173" s="2">
        <v>45716</v>
      </c>
      <c r="K173" t="str">
        <v>NO</v>
      </c>
    </row>
    <row r="174" spans="1:11" x14ac:dyDescent="0.45">
      <c r="A174" t="s">
        <v>199</v>
      </c>
      <c r="B174" t="s">
        <v>22</v>
      </c>
      <c r="C174" t="s">
        <v>15</v>
      </c>
      <c r="D174" t="s">
        <v>16</v>
      </c>
      <c r="E174">
        <v>9</v>
      </c>
      <c r="F174">
        <v>270.63</v>
      </c>
      <c r="G174">
        <v>10</v>
      </c>
      <c r="H174">
        <v>2192.1</v>
      </c>
      <c r="I174">
        <v>15</v>
      </c>
      <c r="J174" s="2">
        <v>45793</v>
      </c>
      <c r="K174" t="str">
        <v>NO</v>
      </c>
    </row>
    <row r="175" spans="1:11" x14ac:dyDescent="0.45">
      <c r="A175" t="s">
        <v>200</v>
      </c>
      <c r="B175" t="s">
        <v>30</v>
      </c>
      <c r="C175" t="s">
        <v>19</v>
      </c>
      <c r="D175" t="s">
        <v>43</v>
      </c>
      <c r="E175">
        <v>46</v>
      </c>
      <c r="F175">
        <v>164.74</v>
      </c>
      <c r="G175">
        <v>10</v>
      </c>
      <c r="H175">
        <v>6820.24</v>
      </c>
      <c r="I175">
        <v>10</v>
      </c>
      <c r="J175" s="2">
        <v>45641</v>
      </c>
      <c r="K175" t="str">
        <v>Yes</v>
      </c>
    </row>
    <row r="176" spans="1:11" x14ac:dyDescent="0.45">
      <c r="A176" t="s">
        <v>201</v>
      </c>
      <c r="B176" t="s">
        <v>30</v>
      </c>
      <c r="C176" t="s">
        <v>19</v>
      </c>
      <c r="D176" t="s">
        <v>20</v>
      </c>
      <c r="E176">
        <v>39</v>
      </c>
      <c r="F176">
        <v>259.8</v>
      </c>
      <c r="G176">
        <v>5</v>
      </c>
      <c r="H176">
        <v>9625.59</v>
      </c>
      <c r="I176">
        <v>5</v>
      </c>
      <c r="J176" s="2">
        <v>45794</v>
      </c>
      <c r="K176" t="str">
        <v>Yes</v>
      </c>
    </row>
    <row r="177" spans="1:11" x14ac:dyDescent="0.45">
      <c r="A177" t="s">
        <v>202</v>
      </c>
      <c r="B177" t="s">
        <v>22</v>
      </c>
      <c r="C177" t="s">
        <v>15</v>
      </c>
      <c r="D177" t="s">
        <v>20</v>
      </c>
      <c r="E177">
        <v>15</v>
      </c>
      <c r="F177">
        <v>382.69</v>
      </c>
      <c r="G177">
        <v>15</v>
      </c>
      <c r="H177">
        <v>4879.3</v>
      </c>
      <c r="I177">
        <v>5</v>
      </c>
      <c r="J177" s="2">
        <v>45640</v>
      </c>
      <c r="K177" t="str">
        <v>NO</v>
      </c>
    </row>
    <row r="178" spans="1:11" x14ac:dyDescent="0.45">
      <c r="A178" t="s">
        <v>203</v>
      </c>
      <c r="B178" t="s">
        <v>30</v>
      </c>
      <c r="C178" t="s">
        <v>23</v>
      </c>
      <c r="D178" t="s">
        <v>24</v>
      </c>
      <c r="E178">
        <v>46</v>
      </c>
      <c r="F178">
        <v>40.01</v>
      </c>
      <c r="G178">
        <v>10</v>
      </c>
      <c r="H178">
        <v>1656.41</v>
      </c>
      <c r="I178">
        <v>5</v>
      </c>
      <c r="J178" s="2">
        <v>45697</v>
      </c>
      <c r="K178" t="str">
        <v>NO</v>
      </c>
    </row>
    <row r="179" spans="1:11" x14ac:dyDescent="0.45">
      <c r="A179" t="s">
        <v>204</v>
      </c>
      <c r="B179" t="s">
        <v>26</v>
      </c>
      <c r="C179" t="s">
        <v>23</v>
      </c>
      <c r="D179" t="s">
        <v>20</v>
      </c>
      <c r="E179">
        <v>27</v>
      </c>
      <c r="F179">
        <v>326.58</v>
      </c>
      <c r="G179">
        <v>5</v>
      </c>
      <c r="H179">
        <v>8376.7800000000007</v>
      </c>
      <c r="I179">
        <v>20</v>
      </c>
      <c r="J179" s="2">
        <v>45724</v>
      </c>
      <c r="K179" t="str">
        <v>Yes</v>
      </c>
    </row>
    <row r="180" spans="1:11" x14ac:dyDescent="0.45">
      <c r="A180" t="s">
        <v>205</v>
      </c>
      <c r="B180" t="s">
        <v>26</v>
      </c>
      <c r="C180" t="s">
        <v>23</v>
      </c>
      <c r="D180" t="s">
        <v>32</v>
      </c>
      <c r="E180">
        <v>28</v>
      </c>
      <c r="F180">
        <v>151.19999999999999</v>
      </c>
      <c r="G180">
        <v>20</v>
      </c>
      <c r="H180">
        <v>3386.88</v>
      </c>
      <c r="I180">
        <v>15</v>
      </c>
      <c r="J180" s="2">
        <v>45664</v>
      </c>
      <c r="K180" t="str">
        <v>NO</v>
      </c>
    </row>
    <row r="181" spans="1:11" x14ac:dyDescent="0.45">
      <c r="A181" t="s">
        <v>206</v>
      </c>
      <c r="B181" t="s">
        <v>18</v>
      </c>
      <c r="C181" t="s">
        <v>19</v>
      </c>
      <c r="D181" t="s">
        <v>43</v>
      </c>
      <c r="E181">
        <v>15</v>
      </c>
      <c r="F181">
        <v>499.28</v>
      </c>
      <c r="G181">
        <v>15</v>
      </c>
      <c r="H181">
        <v>6365.82</v>
      </c>
      <c r="I181">
        <v>20</v>
      </c>
      <c r="J181" s="2">
        <v>45650</v>
      </c>
      <c r="K181" t="str">
        <v>Yes</v>
      </c>
    </row>
    <row r="182" spans="1:11" x14ac:dyDescent="0.45">
      <c r="A182" t="s">
        <v>207</v>
      </c>
      <c r="B182" t="s">
        <v>22</v>
      </c>
      <c r="C182" t="s">
        <v>31</v>
      </c>
      <c r="D182" t="s">
        <v>32</v>
      </c>
      <c r="E182">
        <v>43</v>
      </c>
      <c r="F182">
        <v>36.270000000000003</v>
      </c>
      <c r="G182">
        <v>10</v>
      </c>
      <c r="H182">
        <v>1403.65</v>
      </c>
      <c r="I182">
        <v>10</v>
      </c>
      <c r="J182" s="2">
        <v>45770</v>
      </c>
      <c r="K182" t="str">
        <v>NO</v>
      </c>
    </row>
    <row r="183" spans="1:11" x14ac:dyDescent="0.45">
      <c r="A183" t="s">
        <v>208</v>
      </c>
      <c r="B183" t="s">
        <v>18</v>
      </c>
      <c r="C183" t="s">
        <v>15</v>
      </c>
      <c r="D183" t="s">
        <v>24</v>
      </c>
      <c r="E183">
        <v>28</v>
      </c>
      <c r="F183">
        <v>82.21</v>
      </c>
      <c r="G183">
        <v>20</v>
      </c>
      <c r="H183">
        <v>1841.5</v>
      </c>
      <c r="I183">
        <v>20</v>
      </c>
      <c r="J183" s="2">
        <v>45694</v>
      </c>
      <c r="K183" t="str">
        <v>NO</v>
      </c>
    </row>
    <row r="184" spans="1:11" x14ac:dyDescent="0.45">
      <c r="A184" t="s">
        <v>209</v>
      </c>
      <c r="B184" t="s">
        <v>14</v>
      </c>
      <c r="C184" t="s">
        <v>31</v>
      </c>
      <c r="D184" t="s">
        <v>20</v>
      </c>
      <c r="E184">
        <v>34</v>
      </c>
      <c r="F184">
        <v>31.15</v>
      </c>
      <c r="G184">
        <v>20</v>
      </c>
      <c r="H184">
        <v>847.28</v>
      </c>
      <c r="I184">
        <v>5</v>
      </c>
      <c r="J184" s="2">
        <v>45799</v>
      </c>
      <c r="K184" t="str">
        <v>NO</v>
      </c>
    </row>
    <row r="185" spans="1:11" x14ac:dyDescent="0.45">
      <c r="A185" t="s">
        <v>210</v>
      </c>
      <c r="B185" t="s">
        <v>22</v>
      </c>
      <c r="C185" t="s">
        <v>31</v>
      </c>
      <c r="D185" t="s">
        <v>24</v>
      </c>
      <c r="E185">
        <v>42</v>
      </c>
      <c r="F185">
        <v>24.31</v>
      </c>
      <c r="G185">
        <v>20</v>
      </c>
      <c r="H185">
        <v>816.82</v>
      </c>
      <c r="I185">
        <v>10</v>
      </c>
      <c r="J185" s="2">
        <v>45784</v>
      </c>
      <c r="K185" t="str">
        <v>NO</v>
      </c>
    </row>
    <row r="186" spans="1:11" x14ac:dyDescent="0.45">
      <c r="A186" t="s">
        <v>211</v>
      </c>
      <c r="B186" t="s">
        <v>30</v>
      </c>
      <c r="C186" t="s">
        <v>23</v>
      </c>
      <c r="D186" t="s">
        <v>16</v>
      </c>
      <c r="E186">
        <v>13</v>
      </c>
      <c r="F186">
        <v>270.52999999999997</v>
      </c>
      <c r="G186">
        <v>10</v>
      </c>
      <c r="H186">
        <v>3165.2</v>
      </c>
      <c r="I186">
        <v>15</v>
      </c>
      <c r="J186" s="2">
        <v>45641</v>
      </c>
      <c r="K186" t="str">
        <v>NO</v>
      </c>
    </row>
    <row r="187" spans="1:11" x14ac:dyDescent="0.45">
      <c r="A187" t="s">
        <v>212</v>
      </c>
      <c r="B187" t="s">
        <v>18</v>
      </c>
      <c r="C187" t="s">
        <v>19</v>
      </c>
      <c r="D187" t="s">
        <v>16</v>
      </c>
      <c r="E187">
        <v>21</v>
      </c>
      <c r="F187">
        <v>156.58000000000001</v>
      </c>
      <c r="G187">
        <v>10</v>
      </c>
      <c r="H187">
        <v>2959.36</v>
      </c>
      <c r="I187">
        <v>5</v>
      </c>
      <c r="J187" s="2">
        <v>45700</v>
      </c>
      <c r="K187" t="str">
        <v>NO</v>
      </c>
    </row>
    <row r="188" spans="1:11" x14ac:dyDescent="0.45">
      <c r="A188" t="s">
        <v>213</v>
      </c>
      <c r="B188" t="s">
        <v>30</v>
      </c>
      <c r="C188" t="s">
        <v>23</v>
      </c>
      <c r="D188" t="s">
        <v>20</v>
      </c>
      <c r="E188">
        <v>7</v>
      </c>
      <c r="F188">
        <v>281.64999999999998</v>
      </c>
      <c r="G188">
        <v>0</v>
      </c>
      <c r="H188">
        <v>1971.55</v>
      </c>
      <c r="I188">
        <v>20</v>
      </c>
      <c r="J188" s="2">
        <v>45703</v>
      </c>
      <c r="K188" t="str">
        <v>NO</v>
      </c>
    </row>
    <row r="189" spans="1:11" x14ac:dyDescent="0.45">
      <c r="A189" t="s">
        <v>214</v>
      </c>
      <c r="B189" t="s">
        <v>30</v>
      </c>
      <c r="C189" t="s">
        <v>31</v>
      </c>
      <c r="D189" t="s">
        <v>32</v>
      </c>
      <c r="E189">
        <v>1</v>
      </c>
      <c r="F189">
        <v>195.97</v>
      </c>
      <c r="G189">
        <v>15</v>
      </c>
      <c r="H189">
        <v>166.57</v>
      </c>
      <c r="I189">
        <v>20</v>
      </c>
      <c r="J189" s="2">
        <v>45624</v>
      </c>
      <c r="K189" t="str">
        <v>NO</v>
      </c>
    </row>
    <row r="190" spans="1:11" x14ac:dyDescent="0.45">
      <c r="A190" t="s">
        <v>215</v>
      </c>
      <c r="B190" t="s">
        <v>18</v>
      </c>
      <c r="C190" t="s">
        <v>19</v>
      </c>
      <c r="D190" t="s">
        <v>20</v>
      </c>
      <c r="E190">
        <v>26</v>
      </c>
      <c r="F190">
        <v>69.17</v>
      </c>
      <c r="G190">
        <v>10</v>
      </c>
      <c r="H190">
        <v>1618.58</v>
      </c>
      <c r="I190">
        <v>5</v>
      </c>
      <c r="J190" s="2">
        <v>45773</v>
      </c>
      <c r="K190" t="str">
        <v>NO</v>
      </c>
    </row>
    <row r="191" spans="1:11" x14ac:dyDescent="0.45">
      <c r="A191" t="s">
        <v>216</v>
      </c>
      <c r="B191" t="s">
        <v>22</v>
      </c>
      <c r="C191" t="s">
        <v>19</v>
      </c>
      <c r="D191" t="s">
        <v>24</v>
      </c>
      <c r="E191">
        <v>33</v>
      </c>
      <c r="F191">
        <v>329.96</v>
      </c>
      <c r="G191">
        <v>15</v>
      </c>
      <c r="H191">
        <v>9255.3799999999992</v>
      </c>
      <c r="I191">
        <v>10</v>
      </c>
      <c r="J191" s="2">
        <v>45763</v>
      </c>
      <c r="K191" t="str">
        <v>Yes</v>
      </c>
    </row>
    <row r="192" spans="1:11" x14ac:dyDescent="0.45">
      <c r="A192" t="s">
        <v>217</v>
      </c>
      <c r="B192" t="s">
        <v>14</v>
      </c>
      <c r="C192" t="s">
        <v>19</v>
      </c>
      <c r="D192" t="s">
        <v>43</v>
      </c>
      <c r="E192">
        <v>22</v>
      </c>
      <c r="F192">
        <v>416.12</v>
      </c>
      <c r="G192">
        <v>20</v>
      </c>
      <c r="H192">
        <v>7323.71</v>
      </c>
      <c r="I192">
        <v>5</v>
      </c>
      <c r="J192" s="2">
        <v>45670</v>
      </c>
      <c r="K192" t="str">
        <v>Yes</v>
      </c>
    </row>
    <row r="193" spans="1:11" x14ac:dyDescent="0.45">
      <c r="A193" t="s">
        <v>218</v>
      </c>
      <c r="B193" t="s">
        <v>22</v>
      </c>
      <c r="C193" t="s">
        <v>15</v>
      </c>
      <c r="D193" t="s">
        <v>43</v>
      </c>
      <c r="E193">
        <v>23</v>
      </c>
      <c r="F193">
        <v>287.89</v>
      </c>
      <c r="G193">
        <v>20</v>
      </c>
      <c r="H193">
        <v>5297.18</v>
      </c>
      <c r="I193">
        <v>10</v>
      </c>
      <c r="J193" s="2">
        <v>45730</v>
      </c>
      <c r="K193" t="str">
        <v>Yes</v>
      </c>
    </row>
    <row r="194" spans="1:11" x14ac:dyDescent="0.45">
      <c r="A194" t="s">
        <v>219</v>
      </c>
      <c r="B194" t="s">
        <v>30</v>
      </c>
      <c r="C194" t="s">
        <v>19</v>
      </c>
      <c r="D194" t="s">
        <v>16</v>
      </c>
      <c r="E194">
        <v>32</v>
      </c>
      <c r="F194">
        <v>18.75</v>
      </c>
      <c r="G194">
        <v>15</v>
      </c>
      <c r="H194">
        <v>510</v>
      </c>
      <c r="I194">
        <v>15</v>
      </c>
      <c r="J194" s="2">
        <v>45637</v>
      </c>
      <c r="K194" t="str">
        <v>NO</v>
      </c>
    </row>
    <row r="195" spans="1:11" x14ac:dyDescent="0.45">
      <c r="A195" t="s">
        <v>220</v>
      </c>
      <c r="B195" t="s">
        <v>22</v>
      </c>
      <c r="C195" t="s">
        <v>15</v>
      </c>
      <c r="D195" t="s">
        <v>16</v>
      </c>
      <c r="E195">
        <v>3</v>
      </c>
      <c r="F195">
        <v>241.03</v>
      </c>
      <c r="G195">
        <v>10</v>
      </c>
      <c r="H195">
        <v>650.78</v>
      </c>
      <c r="I195">
        <v>15</v>
      </c>
      <c r="J195" s="2">
        <v>45732</v>
      </c>
      <c r="K195" t="str">
        <v>NO</v>
      </c>
    </row>
    <row r="196" spans="1:11" x14ac:dyDescent="0.45">
      <c r="A196" t="s">
        <v>221</v>
      </c>
      <c r="B196" t="s">
        <v>22</v>
      </c>
      <c r="C196" t="s">
        <v>31</v>
      </c>
      <c r="D196" t="s">
        <v>24</v>
      </c>
      <c r="E196">
        <v>49</v>
      </c>
      <c r="F196">
        <v>125.26</v>
      </c>
      <c r="G196">
        <v>0</v>
      </c>
      <c r="H196">
        <v>6137.74</v>
      </c>
      <c r="I196">
        <v>15</v>
      </c>
      <c r="J196" s="2">
        <v>45667</v>
      </c>
      <c r="K196" t="str">
        <v>Yes</v>
      </c>
    </row>
    <row r="197" spans="1:11" x14ac:dyDescent="0.45">
      <c r="A197" t="s">
        <v>222</v>
      </c>
      <c r="B197" t="s">
        <v>14</v>
      </c>
      <c r="C197" t="s">
        <v>15</v>
      </c>
      <c r="D197" t="s">
        <v>24</v>
      </c>
      <c r="E197">
        <v>7</v>
      </c>
      <c r="F197">
        <v>94.94</v>
      </c>
      <c r="G197">
        <v>10</v>
      </c>
      <c r="H197">
        <v>598.12</v>
      </c>
      <c r="I197">
        <v>10</v>
      </c>
      <c r="J197" s="2">
        <v>45650</v>
      </c>
      <c r="K197" t="str">
        <v>NO</v>
      </c>
    </row>
    <row r="198" spans="1:11" x14ac:dyDescent="0.45">
      <c r="A198" t="s">
        <v>223</v>
      </c>
      <c r="B198" t="s">
        <v>26</v>
      </c>
      <c r="C198" t="s">
        <v>23</v>
      </c>
      <c r="D198" t="s">
        <v>24</v>
      </c>
      <c r="E198">
        <v>42</v>
      </c>
      <c r="F198">
        <v>35.25</v>
      </c>
      <c r="G198">
        <v>5</v>
      </c>
      <c r="H198">
        <v>1406.48</v>
      </c>
      <c r="I198">
        <v>15</v>
      </c>
      <c r="J198" s="2">
        <v>45701</v>
      </c>
      <c r="K198" t="str">
        <v>NO</v>
      </c>
    </row>
    <row r="199" spans="1:11" x14ac:dyDescent="0.45">
      <c r="A199" t="s">
        <v>224</v>
      </c>
      <c r="B199" t="s">
        <v>26</v>
      </c>
      <c r="C199" t="s">
        <v>23</v>
      </c>
      <c r="D199" t="s">
        <v>43</v>
      </c>
      <c r="E199">
        <v>10</v>
      </c>
      <c r="F199">
        <v>496.59</v>
      </c>
      <c r="G199">
        <v>0</v>
      </c>
      <c r="H199">
        <v>4965.8999999999996</v>
      </c>
      <c r="I199">
        <v>20</v>
      </c>
      <c r="J199" s="2">
        <v>45747</v>
      </c>
      <c r="K199" t="str">
        <v>NO</v>
      </c>
    </row>
    <row r="200" spans="1:11" x14ac:dyDescent="0.45">
      <c r="A200" t="s">
        <v>225</v>
      </c>
      <c r="B200" t="s">
        <v>22</v>
      </c>
      <c r="C200" t="s">
        <v>31</v>
      </c>
      <c r="D200" t="s">
        <v>20</v>
      </c>
      <c r="E200">
        <v>34</v>
      </c>
      <c r="F200">
        <v>17.07</v>
      </c>
      <c r="G200">
        <v>15</v>
      </c>
      <c r="H200">
        <v>493.32</v>
      </c>
      <c r="I200">
        <v>15</v>
      </c>
      <c r="J200" s="2">
        <v>45761</v>
      </c>
      <c r="K200" t="str">
        <v>NO</v>
      </c>
    </row>
    <row r="201" spans="1:11" x14ac:dyDescent="0.45">
      <c r="A201" t="s">
        <v>226</v>
      </c>
      <c r="B201" t="s">
        <v>22</v>
      </c>
      <c r="C201" t="s">
        <v>31</v>
      </c>
      <c r="D201" t="s">
        <v>16</v>
      </c>
      <c r="E201">
        <v>43</v>
      </c>
      <c r="F201">
        <v>396.43</v>
      </c>
      <c r="G201">
        <v>10</v>
      </c>
      <c r="H201">
        <v>15341.84</v>
      </c>
      <c r="I201">
        <v>20</v>
      </c>
      <c r="J201" s="2">
        <v>45747</v>
      </c>
      <c r="K201" t="str">
        <v>Yes</v>
      </c>
    </row>
    <row r="202" spans="1:11" x14ac:dyDescent="0.45">
      <c r="A202" t="s">
        <v>227</v>
      </c>
      <c r="B202" t="s">
        <v>22</v>
      </c>
      <c r="C202" t="s">
        <v>19</v>
      </c>
      <c r="D202" t="s">
        <v>24</v>
      </c>
      <c r="E202">
        <v>47</v>
      </c>
      <c r="F202">
        <v>310.49</v>
      </c>
      <c r="G202">
        <v>10</v>
      </c>
      <c r="H202">
        <v>13133.73</v>
      </c>
      <c r="I202">
        <v>10</v>
      </c>
      <c r="J202" s="2">
        <v>45665</v>
      </c>
      <c r="K202" t="str">
        <v>Yes</v>
      </c>
    </row>
    <row r="203" spans="1:11" x14ac:dyDescent="0.45">
      <c r="A203" t="s">
        <v>228</v>
      </c>
      <c r="B203" t="s">
        <v>26</v>
      </c>
      <c r="C203" t="s">
        <v>31</v>
      </c>
      <c r="D203" t="s">
        <v>16</v>
      </c>
      <c r="E203">
        <v>20</v>
      </c>
      <c r="F203">
        <v>108.11</v>
      </c>
      <c r="G203">
        <v>5</v>
      </c>
      <c r="H203">
        <v>2054.09</v>
      </c>
      <c r="I203">
        <v>10</v>
      </c>
      <c r="J203" s="2">
        <v>45741</v>
      </c>
      <c r="K203" t="str">
        <v>NO</v>
      </c>
    </row>
    <row r="204" spans="1:11" x14ac:dyDescent="0.45">
      <c r="A204" t="s">
        <v>229</v>
      </c>
      <c r="B204" t="s">
        <v>22</v>
      </c>
      <c r="C204" t="s">
        <v>31</v>
      </c>
      <c r="D204" t="s">
        <v>16</v>
      </c>
      <c r="E204">
        <v>27</v>
      </c>
      <c r="F204">
        <v>116.54</v>
      </c>
      <c r="G204">
        <v>20</v>
      </c>
      <c r="H204">
        <v>2517.2600000000002</v>
      </c>
      <c r="I204">
        <v>15</v>
      </c>
      <c r="J204" s="2">
        <v>45637</v>
      </c>
      <c r="K204" t="str">
        <v>NO</v>
      </c>
    </row>
    <row r="205" spans="1:11" x14ac:dyDescent="0.45">
      <c r="A205" t="s">
        <v>230</v>
      </c>
      <c r="B205" t="s">
        <v>14</v>
      </c>
      <c r="C205" t="s">
        <v>31</v>
      </c>
      <c r="D205" t="s">
        <v>24</v>
      </c>
      <c r="E205">
        <v>35</v>
      </c>
      <c r="F205">
        <v>132.24</v>
      </c>
      <c r="G205">
        <v>20</v>
      </c>
      <c r="H205">
        <v>3702.72</v>
      </c>
      <c r="I205">
        <v>20</v>
      </c>
      <c r="J205" s="2">
        <v>45655</v>
      </c>
      <c r="K205" t="str">
        <v>NO</v>
      </c>
    </row>
    <row r="206" spans="1:11" x14ac:dyDescent="0.45">
      <c r="A206" t="s">
        <v>231</v>
      </c>
      <c r="B206" t="s">
        <v>30</v>
      </c>
      <c r="C206" t="s">
        <v>23</v>
      </c>
      <c r="D206" t="s">
        <v>20</v>
      </c>
      <c r="E206">
        <v>22</v>
      </c>
      <c r="F206">
        <v>496.3</v>
      </c>
      <c r="G206">
        <v>15</v>
      </c>
      <c r="H206">
        <v>9280.81</v>
      </c>
      <c r="I206">
        <v>5</v>
      </c>
      <c r="J206" s="2">
        <v>45783</v>
      </c>
      <c r="K206" t="str">
        <v>Yes</v>
      </c>
    </row>
    <row r="207" spans="1:11" x14ac:dyDescent="0.45">
      <c r="A207" t="s">
        <v>232</v>
      </c>
      <c r="B207" t="s">
        <v>30</v>
      </c>
      <c r="C207" t="s">
        <v>23</v>
      </c>
      <c r="D207" t="s">
        <v>16</v>
      </c>
      <c r="E207">
        <v>8</v>
      </c>
      <c r="F207">
        <v>234.05</v>
      </c>
      <c r="G207">
        <v>20</v>
      </c>
      <c r="H207">
        <v>1497.92</v>
      </c>
      <c r="I207">
        <v>20</v>
      </c>
      <c r="J207" s="2">
        <v>45761</v>
      </c>
      <c r="K207" t="str">
        <v>NO</v>
      </c>
    </row>
    <row r="208" spans="1:11" x14ac:dyDescent="0.45">
      <c r="A208" t="s">
        <v>233</v>
      </c>
      <c r="B208" t="s">
        <v>14</v>
      </c>
      <c r="C208" t="s">
        <v>19</v>
      </c>
      <c r="D208" t="s">
        <v>43</v>
      </c>
      <c r="E208">
        <v>41</v>
      </c>
      <c r="F208">
        <v>288.69</v>
      </c>
      <c r="G208">
        <v>10</v>
      </c>
      <c r="H208">
        <v>10652.66</v>
      </c>
      <c r="I208">
        <v>5</v>
      </c>
      <c r="J208" s="2">
        <v>45731</v>
      </c>
      <c r="K208" t="str">
        <v>Yes</v>
      </c>
    </row>
    <row r="209" spans="1:11" x14ac:dyDescent="0.45">
      <c r="A209" t="s">
        <v>234</v>
      </c>
      <c r="B209" t="s">
        <v>18</v>
      </c>
      <c r="C209" t="s">
        <v>31</v>
      </c>
      <c r="D209" t="s">
        <v>20</v>
      </c>
      <c r="E209">
        <v>39</v>
      </c>
      <c r="F209">
        <v>456.98</v>
      </c>
      <c r="G209">
        <v>10</v>
      </c>
      <c r="H209">
        <v>16040</v>
      </c>
      <c r="I209">
        <v>20</v>
      </c>
      <c r="J209" s="2">
        <v>45689</v>
      </c>
      <c r="K209" t="str">
        <v>Yes</v>
      </c>
    </row>
    <row r="210" spans="1:11" x14ac:dyDescent="0.45">
      <c r="A210" t="s">
        <v>235</v>
      </c>
      <c r="B210" t="s">
        <v>14</v>
      </c>
      <c r="C210" t="s">
        <v>23</v>
      </c>
      <c r="D210" t="s">
        <v>20</v>
      </c>
      <c r="E210">
        <v>28</v>
      </c>
      <c r="F210">
        <v>75.09</v>
      </c>
      <c r="G210">
        <v>10</v>
      </c>
      <c r="H210">
        <v>1892.27</v>
      </c>
      <c r="I210">
        <v>5</v>
      </c>
      <c r="J210" s="2">
        <v>45707</v>
      </c>
      <c r="K210" t="str">
        <v>NO</v>
      </c>
    </row>
    <row r="211" spans="1:11" x14ac:dyDescent="0.45">
      <c r="A211" t="s">
        <v>236</v>
      </c>
      <c r="B211" t="s">
        <v>26</v>
      </c>
      <c r="C211" t="s">
        <v>23</v>
      </c>
      <c r="D211" t="s">
        <v>16</v>
      </c>
      <c r="E211">
        <v>31</v>
      </c>
      <c r="F211">
        <v>307.14</v>
      </c>
      <c r="G211">
        <v>15</v>
      </c>
      <c r="H211">
        <v>8093.14</v>
      </c>
      <c r="I211">
        <v>20</v>
      </c>
      <c r="J211" s="2">
        <v>45664</v>
      </c>
      <c r="K211" t="str">
        <v>Yes</v>
      </c>
    </row>
    <row r="212" spans="1:11" x14ac:dyDescent="0.45">
      <c r="A212" t="s">
        <v>237</v>
      </c>
      <c r="B212" t="s">
        <v>18</v>
      </c>
      <c r="C212" t="s">
        <v>15</v>
      </c>
      <c r="D212" t="s">
        <v>43</v>
      </c>
      <c r="E212">
        <v>12</v>
      </c>
      <c r="F212">
        <v>491.74</v>
      </c>
      <c r="G212">
        <v>5</v>
      </c>
      <c r="H212">
        <v>5605.84</v>
      </c>
      <c r="I212">
        <v>15</v>
      </c>
      <c r="J212" s="2">
        <v>45696</v>
      </c>
      <c r="K212" t="str">
        <v>Yes</v>
      </c>
    </row>
    <row r="213" spans="1:11" x14ac:dyDescent="0.45">
      <c r="A213" t="s">
        <v>238</v>
      </c>
      <c r="B213" t="s">
        <v>26</v>
      </c>
      <c r="C213" t="s">
        <v>23</v>
      </c>
      <c r="D213" t="s">
        <v>24</v>
      </c>
      <c r="E213">
        <v>7</v>
      </c>
      <c r="F213">
        <v>140.26</v>
      </c>
      <c r="G213">
        <v>20</v>
      </c>
      <c r="H213">
        <v>785.46</v>
      </c>
      <c r="I213">
        <v>10</v>
      </c>
      <c r="J213" s="2">
        <v>45729</v>
      </c>
      <c r="K213" t="str">
        <v>NO</v>
      </c>
    </row>
    <row r="214" spans="1:11" x14ac:dyDescent="0.45">
      <c r="A214" t="s">
        <v>239</v>
      </c>
      <c r="B214" t="s">
        <v>26</v>
      </c>
      <c r="C214" t="s">
        <v>23</v>
      </c>
      <c r="D214" t="s">
        <v>20</v>
      </c>
      <c r="E214">
        <v>18</v>
      </c>
      <c r="F214">
        <v>450.72</v>
      </c>
      <c r="G214">
        <v>10</v>
      </c>
      <c r="H214">
        <v>7301.66</v>
      </c>
      <c r="I214">
        <v>15</v>
      </c>
      <c r="J214" s="2">
        <v>45717</v>
      </c>
      <c r="K214" t="str">
        <v>Yes</v>
      </c>
    </row>
    <row r="215" spans="1:11" x14ac:dyDescent="0.45">
      <c r="A215" t="s">
        <v>240</v>
      </c>
      <c r="B215" t="s">
        <v>30</v>
      </c>
      <c r="C215" t="s">
        <v>23</v>
      </c>
      <c r="D215" t="s">
        <v>20</v>
      </c>
      <c r="E215">
        <v>26</v>
      </c>
      <c r="F215">
        <v>167.11</v>
      </c>
      <c r="G215">
        <v>15</v>
      </c>
      <c r="H215">
        <v>3693.13</v>
      </c>
      <c r="I215">
        <v>5</v>
      </c>
      <c r="J215" s="2">
        <v>45631</v>
      </c>
      <c r="K215" t="str">
        <v>NO</v>
      </c>
    </row>
    <row r="216" spans="1:11" x14ac:dyDescent="0.45">
      <c r="A216" t="s">
        <v>241</v>
      </c>
      <c r="B216" t="s">
        <v>22</v>
      </c>
      <c r="C216" t="s">
        <v>31</v>
      </c>
      <c r="D216" t="s">
        <v>20</v>
      </c>
      <c r="E216">
        <v>34</v>
      </c>
      <c r="F216">
        <v>88.84</v>
      </c>
      <c r="G216">
        <v>15</v>
      </c>
      <c r="H216">
        <v>2567.48</v>
      </c>
      <c r="I216">
        <v>10</v>
      </c>
      <c r="J216" s="2">
        <v>45718</v>
      </c>
      <c r="K216" t="str">
        <v>NO</v>
      </c>
    </row>
    <row r="217" spans="1:11" x14ac:dyDescent="0.45">
      <c r="A217" t="s">
        <v>242</v>
      </c>
      <c r="B217" t="s">
        <v>30</v>
      </c>
      <c r="C217" t="s">
        <v>23</v>
      </c>
      <c r="D217" t="s">
        <v>24</v>
      </c>
      <c r="E217">
        <v>21</v>
      </c>
      <c r="F217">
        <v>252.58</v>
      </c>
      <c r="G217">
        <v>20</v>
      </c>
      <c r="H217">
        <v>4243.34</v>
      </c>
      <c r="I217">
        <v>15</v>
      </c>
      <c r="J217" s="2">
        <v>45774</v>
      </c>
      <c r="K217" t="str">
        <v>NO</v>
      </c>
    </row>
    <row r="218" spans="1:11" x14ac:dyDescent="0.45">
      <c r="A218" t="s">
        <v>243</v>
      </c>
      <c r="B218" t="s">
        <v>30</v>
      </c>
      <c r="C218" t="s">
        <v>19</v>
      </c>
      <c r="D218" t="s">
        <v>43</v>
      </c>
      <c r="E218">
        <v>18</v>
      </c>
      <c r="F218">
        <v>237.09</v>
      </c>
      <c r="G218">
        <v>15</v>
      </c>
      <c r="H218">
        <v>3627.48</v>
      </c>
      <c r="I218">
        <v>15</v>
      </c>
      <c r="J218" s="2">
        <v>45722</v>
      </c>
      <c r="K218" t="str">
        <v>NO</v>
      </c>
    </row>
    <row r="219" spans="1:11" x14ac:dyDescent="0.45">
      <c r="A219" t="s">
        <v>244</v>
      </c>
      <c r="B219" t="s">
        <v>30</v>
      </c>
      <c r="C219" t="s">
        <v>31</v>
      </c>
      <c r="D219" t="s">
        <v>43</v>
      </c>
      <c r="E219">
        <v>2</v>
      </c>
      <c r="F219">
        <v>107.09</v>
      </c>
      <c r="G219">
        <v>15</v>
      </c>
      <c r="H219">
        <v>182.05</v>
      </c>
      <c r="I219">
        <v>15</v>
      </c>
      <c r="J219" s="2">
        <v>45783</v>
      </c>
      <c r="K219" t="str">
        <v>NO</v>
      </c>
    </row>
    <row r="220" spans="1:11" x14ac:dyDescent="0.45">
      <c r="A220" t="s">
        <v>245</v>
      </c>
      <c r="B220" t="s">
        <v>30</v>
      </c>
      <c r="C220" t="s">
        <v>31</v>
      </c>
      <c r="D220" t="s">
        <v>16</v>
      </c>
      <c r="E220">
        <v>43</v>
      </c>
      <c r="F220">
        <v>168.66</v>
      </c>
      <c r="G220">
        <v>5</v>
      </c>
      <c r="H220">
        <v>6889.76</v>
      </c>
      <c r="I220">
        <v>10</v>
      </c>
      <c r="J220" s="2">
        <v>45793</v>
      </c>
      <c r="K220" t="str">
        <v>Yes</v>
      </c>
    </row>
    <row r="221" spans="1:11" x14ac:dyDescent="0.45">
      <c r="A221" t="s">
        <v>246</v>
      </c>
      <c r="B221" t="s">
        <v>18</v>
      </c>
      <c r="C221" t="s">
        <v>23</v>
      </c>
      <c r="D221" t="s">
        <v>32</v>
      </c>
      <c r="E221">
        <v>21</v>
      </c>
      <c r="F221">
        <v>146.63999999999999</v>
      </c>
      <c r="G221">
        <v>0</v>
      </c>
      <c r="H221">
        <v>3079.44</v>
      </c>
      <c r="I221">
        <v>15</v>
      </c>
      <c r="J221" s="2">
        <v>45739</v>
      </c>
      <c r="K221" t="str">
        <v>NO</v>
      </c>
    </row>
    <row r="222" spans="1:11" x14ac:dyDescent="0.45">
      <c r="A222" t="s">
        <v>247</v>
      </c>
      <c r="B222" t="s">
        <v>18</v>
      </c>
      <c r="C222" t="s">
        <v>15</v>
      </c>
      <c r="D222" t="s">
        <v>24</v>
      </c>
      <c r="E222">
        <v>22</v>
      </c>
      <c r="F222">
        <v>10.32</v>
      </c>
      <c r="G222">
        <v>10</v>
      </c>
      <c r="H222">
        <v>204.34</v>
      </c>
      <c r="I222">
        <v>5</v>
      </c>
      <c r="J222" s="2">
        <v>45683</v>
      </c>
      <c r="K222" t="str">
        <v>NO</v>
      </c>
    </row>
    <row r="223" spans="1:11" x14ac:dyDescent="0.45">
      <c r="A223" t="s">
        <v>248</v>
      </c>
      <c r="B223" t="s">
        <v>18</v>
      </c>
      <c r="C223" t="s">
        <v>15</v>
      </c>
      <c r="D223" t="s">
        <v>16</v>
      </c>
      <c r="E223">
        <v>21</v>
      </c>
      <c r="F223">
        <v>370.42</v>
      </c>
      <c r="G223">
        <v>15</v>
      </c>
      <c r="H223">
        <v>6612</v>
      </c>
      <c r="I223">
        <v>10</v>
      </c>
      <c r="J223" s="2">
        <v>45740</v>
      </c>
      <c r="K223" t="str">
        <v>Yes</v>
      </c>
    </row>
    <row r="224" spans="1:11" x14ac:dyDescent="0.45">
      <c r="A224" t="s">
        <v>249</v>
      </c>
      <c r="B224" t="s">
        <v>22</v>
      </c>
      <c r="C224" t="s">
        <v>19</v>
      </c>
      <c r="D224" t="s">
        <v>24</v>
      </c>
      <c r="E224">
        <v>17</v>
      </c>
      <c r="F224">
        <v>452.13</v>
      </c>
      <c r="G224">
        <v>10</v>
      </c>
      <c r="H224">
        <v>6917.59</v>
      </c>
      <c r="I224">
        <v>10</v>
      </c>
      <c r="J224" s="2">
        <v>45701</v>
      </c>
      <c r="K224" t="str">
        <v>Yes</v>
      </c>
    </row>
    <row r="225" spans="1:11" x14ac:dyDescent="0.45">
      <c r="A225" t="s">
        <v>250</v>
      </c>
      <c r="B225" t="s">
        <v>30</v>
      </c>
      <c r="C225" t="s">
        <v>19</v>
      </c>
      <c r="D225" t="s">
        <v>24</v>
      </c>
      <c r="E225">
        <v>40</v>
      </c>
      <c r="F225">
        <v>188.18</v>
      </c>
      <c r="G225">
        <v>15</v>
      </c>
      <c r="H225">
        <v>6398.12</v>
      </c>
      <c r="I225">
        <v>20</v>
      </c>
      <c r="J225" s="2">
        <v>45720</v>
      </c>
      <c r="K225" t="str">
        <v>Yes</v>
      </c>
    </row>
    <row r="226" spans="1:11" x14ac:dyDescent="0.45">
      <c r="A226" t="s">
        <v>251</v>
      </c>
      <c r="B226" t="s">
        <v>26</v>
      </c>
      <c r="C226" t="s">
        <v>31</v>
      </c>
      <c r="D226" t="s">
        <v>16</v>
      </c>
      <c r="E226">
        <v>7</v>
      </c>
      <c r="F226">
        <v>467.04</v>
      </c>
      <c r="G226">
        <v>0</v>
      </c>
      <c r="H226">
        <v>3269.28</v>
      </c>
      <c r="I226">
        <v>5</v>
      </c>
      <c r="J226" s="2">
        <v>45793</v>
      </c>
      <c r="K226" t="str">
        <v>NO</v>
      </c>
    </row>
    <row r="227" spans="1:11" x14ac:dyDescent="0.45">
      <c r="A227" t="s">
        <v>252</v>
      </c>
      <c r="B227" t="s">
        <v>30</v>
      </c>
      <c r="C227" t="s">
        <v>15</v>
      </c>
      <c r="D227" t="s">
        <v>24</v>
      </c>
      <c r="E227">
        <v>41</v>
      </c>
      <c r="F227">
        <v>144.79</v>
      </c>
      <c r="G227">
        <v>0</v>
      </c>
      <c r="H227">
        <v>5936.39</v>
      </c>
      <c r="I227">
        <v>20</v>
      </c>
      <c r="J227" s="2">
        <v>45680</v>
      </c>
      <c r="K227" t="str">
        <v>Yes</v>
      </c>
    </row>
    <row r="228" spans="1:11" x14ac:dyDescent="0.45">
      <c r="A228" t="s">
        <v>253</v>
      </c>
      <c r="B228" t="s">
        <v>30</v>
      </c>
      <c r="C228" t="s">
        <v>31</v>
      </c>
      <c r="D228" t="s">
        <v>43</v>
      </c>
      <c r="E228">
        <v>27</v>
      </c>
      <c r="F228">
        <v>162.24</v>
      </c>
      <c r="G228">
        <v>15</v>
      </c>
      <c r="H228">
        <v>3723.41</v>
      </c>
      <c r="I228">
        <v>5</v>
      </c>
      <c r="J228" s="2">
        <v>45800</v>
      </c>
      <c r="K228" t="str">
        <v>NO</v>
      </c>
    </row>
    <row r="229" spans="1:11" x14ac:dyDescent="0.45">
      <c r="A229" t="s">
        <v>254</v>
      </c>
      <c r="B229" t="s">
        <v>22</v>
      </c>
      <c r="C229" t="s">
        <v>19</v>
      </c>
      <c r="D229" t="s">
        <v>16</v>
      </c>
      <c r="E229">
        <v>41</v>
      </c>
      <c r="F229">
        <v>101.04</v>
      </c>
      <c r="G229">
        <v>15</v>
      </c>
      <c r="H229">
        <v>3521.24</v>
      </c>
      <c r="I229">
        <v>20</v>
      </c>
      <c r="J229" s="2">
        <v>45685</v>
      </c>
      <c r="K229" t="str">
        <v>NO</v>
      </c>
    </row>
    <row r="230" spans="1:11" x14ac:dyDescent="0.45">
      <c r="A230" t="s">
        <v>255</v>
      </c>
      <c r="B230" t="s">
        <v>26</v>
      </c>
      <c r="C230" t="s">
        <v>19</v>
      </c>
      <c r="D230" t="s">
        <v>32</v>
      </c>
      <c r="E230">
        <v>7</v>
      </c>
      <c r="F230">
        <v>241.28</v>
      </c>
      <c r="G230">
        <v>20</v>
      </c>
      <c r="H230">
        <v>1351.17</v>
      </c>
      <c r="I230">
        <v>20</v>
      </c>
      <c r="J230" s="2">
        <v>45770</v>
      </c>
      <c r="K230" t="str">
        <v>NO</v>
      </c>
    </row>
    <row r="231" spans="1:11" x14ac:dyDescent="0.45">
      <c r="A231" t="s">
        <v>256</v>
      </c>
      <c r="B231" t="s">
        <v>14</v>
      </c>
      <c r="C231" t="s">
        <v>19</v>
      </c>
      <c r="D231" t="s">
        <v>20</v>
      </c>
      <c r="E231">
        <v>2</v>
      </c>
      <c r="F231">
        <v>337.48</v>
      </c>
      <c r="G231">
        <v>5</v>
      </c>
      <c r="H231">
        <v>641.21</v>
      </c>
      <c r="I231">
        <v>20</v>
      </c>
      <c r="J231" s="2">
        <v>45790</v>
      </c>
      <c r="K231" t="str">
        <v>NO</v>
      </c>
    </row>
    <row r="232" spans="1:11" x14ac:dyDescent="0.45">
      <c r="A232" t="s">
        <v>257</v>
      </c>
      <c r="B232" t="s">
        <v>18</v>
      </c>
      <c r="C232" t="s">
        <v>23</v>
      </c>
      <c r="D232" t="s">
        <v>32</v>
      </c>
      <c r="E232">
        <v>4</v>
      </c>
      <c r="F232">
        <v>402.97</v>
      </c>
      <c r="G232">
        <v>20</v>
      </c>
      <c r="H232">
        <v>1289.5</v>
      </c>
      <c r="I232">
        <v>5</v>
      </c>
      <c r="J232" s="2">
        <v>45649</v>
      </c>
      <c r="K232" t="str">
        <v>NO</v>
      </c>
    </row>
    <row r="233" spans="1:11" x14ac:dyDescent="0.45">
      <c r="A233" t="s">
        <v>258</v>
      </c>
      <c r="B233" t="s">
        <v>26</v>
      </c>
      <c r="C233" t="s">
        <v>19</v>
      </c>
      <c r="D233" t="s">
        <v>24</v>
      </c>
      <c r="E233">
        <v>31</v>
      </c>
      <c r="F233">
        <v>49.21</v>
      </c>
      <c r="G233">
        <v>10</v>
      </c>
      <c r="H233">
        <v>1372.96</v>
      </c>
      <c r="I233">
        <v>10</v>
      </c>
      <c r="J233" s="2">
        <v>45649</v>
      </c>
      <c r="K233" t="str">
        <v>NO</v>
      </c>
    </row>
    <row r="234" spans="1:11" x14ac:dyDescent="0.45">
      <c r="A234" t="s">
        <v>259</v>
      </c>
      <c r="B234" t="s">
        <v>26</v>
      </c>
      <c r="C234" t="s">
        <v>23</v>
      </c>
      <c r="D234" t="s">
        <v>32</v>
      </c>
      <c r="E234">
        <v>6</v>
      </c>
      <c r="F234">
        <v>446.67</v>
      </c>
      <c r="G234">
        <v>10</v>
      </c>
      <c r="H234">
        <v>2412.02</v>
      </c>
      <c r="I234">
        <v>5</v>
      </c>
      <c r="J234" s="2">
        <v>45701</v>
      </c>
      <c r="K234" t="str">
        <v>NO</v>
      </c>
    </row>
    <row r="235" spans="1:11" x14ac:dyDescent="0.45">
      <c r="A235" t="s">
        <v>260</v>
      </c>
      <c r="B235" t="s">
        <v>22</v>
      </c>
      <c r="C235" t="s">
        <v>15</v>
      </c>
      <c r="D235" t="s">
        <v>32</v>
      </c>
      <c r="E235">
        <v>31</v>
      </c>
      <c r="F235">
        <v>99.09</v>
      </c>
      <c r="G235">
        <v>15</v>
      </c>
      <c r="H235">
        <v>2611.02</v>
      </c>
      <c r="I235">
        <v>5</v>
      </c>
      <c r="J235" s="2">
        <v>45696</v>
      </c>
      <c r="K235" t="str">
        <v>NO</v>
      </c>
    </row>
    <row r="236" spans="1:11" x14ac:dyDescent="0.45">
      <c r="A236" t="s">
        <v>261</v>
      </c>
      <c r="B236" t="s">
        <v>22</v>
      </c>
      <c r="C236" t="s">
        <v>31</v>
      </c>
      <c r="D236" t="s">
        <v>32</v>
      </c>
      <c r="E236">
        <v>27</v>
      </c>
      <c r="F236">
        <v>276.95999999999998</v>
      </c>
      <c r="G236">
        <v>10</v>
      </c>
      <c r="H236">
        <v>6730.13</v>
      </c>
      <c r="I236">
        <v>10</v>
      </c>
      <c r="J236" s="2">
        <v>45806</v>
      </c>
      <c r="K236" t="str">
        <v>Yes</v>
      </c>
    </row>
    <row r="237" spans="1:11" x14ac:dyDescent="0.45">
      <c r="A237" t="s">
        <v>262</v>
      </c>
      <c r="B237" t="s">
        <v>18</v>
      </c>
      <c r="C237" t="s">
        <v>15</v>
      </c>
      <c r="D237" t="s">
        <v>16</v>
      </c>
      <c r="E237">
        <v>18</v>
      </c>
      <c r="F237">
        <v>234</v>
      </c>
      <c r="G237">
        <v>0</v>
      </c>
      <c r="H237">
        <v>4212</v>
      </c>
      <c r="I237">
        <v>15</v>
      </c>
      <c r="J237" s="2">
        <v>45736</v>
      </c>
      <c r="K237" t="str">
        <v>NO</v>
      </c>
    </row>
    <row r="238" spans="1:11" x14ac:dyDescent="0.45">
      <c r="A238" t="s">
        <v>263</v>
      </c>
      <c r="B238" t="s">
        <v>22</v>
      </c>
      <c r="C238" t="s">
        <v>23</v>
      </c>
      <c r="D238" t="s">
        <v>20</v>
      </c>
      <c r="E238">
        <v>28</v>
      </c>
      <c r="F238">
        <v>410.09</v>
      </c>
      <c r="G238">
        <v>5</v>
      </c>
      <c r="H238">
        <v>10908.39</v>
      </c>
      <c r="I238">
        <v>15</v>
      </c>
      <c r="J238" s="2">
        <v>45785</v>
      </c>
      <c r="K238" t="str">
        <v>Yes</v>
      </c>
    </row>
    <row r="239" spans="1:11" x14ac:dyDescent="0.45">
      <c r="A239" t="s">
        <v>264</v>
      </c>
      <c r="B239" t="s">
        <v>18</v>
      </c>
      <c r="C239" t="s">
        <v>31</v>
      </c>
      <c r="D239" t="s">
        <v>32</v>
      </c>
      <c r="E239">
        <v>25</v>
      </c>
      <c r="F239">
        <v>246.1</v>
      </c>
      <c r="G239">
        <v>20</v>
      </c>
      <c r="H239">
        <v>4922</v>
      </c>
      <c r="I239">
        <v>20</v>
      </c>
      <c r="J239" s="2">
        <v>45763</v>
      </c>
      <c r="K239" t="str">
        <v>NO</v>
      </c>
    </row>
    <row r="240" spans="1:11" x14ac:dyDescent="0.45">
      <c r="A240" t="s">
        <v>265</v>
      </c>
      <c r="B240" t="s">
        <v>26</v>
      </c>
      <c r="C240" t="s">
        <v>15</v>
      </c>
      <c r="D240" t="s">
        <v>24</v>
      </c>
      <c r="E240">
        <v>21</v>
      </c>
      <c r="F240">
        <v>375.44</v>
      </c>
      <c r="G240">
        <v>10</v>
      </c>
      <c r="H240">
        <v>7095.82</v>
      </c>
      <c r="I240">
        <v>20</v>
      </c>
      <c r="J240" s="2">
        <v>45665</v>
      </c>
      <c r="K240" t="str">
        <v>Yes</v>
      </c>
    </row>
    <row r="241" spans="1:11" x14ac:dyDescent="0.45">
      <c r="A241" t="s">
        <v>266</v>
      </c>
      <c r="B241" t="s">
        <v>30</v>
      </c>
      <c r="C241" t="s">
        <v>19</v>
      </c>
      <c r="D241" t="s">
        <v>43</v>
      </c>
      <c r="E241">
        <v>30</v>
      </c>
      <c r="F241">
        <v>330.85</v>
      </c>
      <c r="G241">
        <v>10</v>
      </c>
      <c r="H241">
        <v>8932.9500000000007</v>
      </c>
      <c r="I241">
        <v>5</v>
      </c>
      <c r="J241" s="2">
        <v>45714</v>
      </c>
      <c r="K241" t="str">
        <v>Yes</v>
      </c>
    </row>
    <row r="242" spans="1:11" x14ac:dyDescent="0.45">
      <c r="A242" t="s">
        <v>267</v>
      </c>
      <c r="B242" t="s">
        <v>18</v>
      </c>
      <c r="C242" t="s">
        <v>15</v>
      </c>
      <c r="D242" t="s">
        <v>32</v>
      </c>
      <c r="E242">
        <v>25</v>
      </c>
      <c r="F242">
        <v>371.92</v>
      </c>
      <c r="G242">
        <v>0</v>
      </c>
      <c r="H242">
        <v>9298</v>
      </c>
      <c r="I242">
        <v>20</v>
      </c>
      <c r="J242" s="2">
        <v>45794</v>
      </c>
      <c r="K242" t="str">
        <v>Yes</v>
      </c>
    </row>
    <row r="243" spans="1:11" x14ac:dyDescent="0.45">
      <c r="A243" t="s">
        <v>268</v>
      </c>
      <c r="B243" t="s">
        <v>30</v>
      </c>
      <c r="C243" t="s">
        <v>19</v>
      </c>
      <c r="D243" t="s">
        <v>24</v>
      </c>
      <c r="E243">
        <v>39</v>
      </c>
      <c r="F243">
        <v>47.32</v>
      </c>
      <c r="G243">
        <v>10</v>
      </c>
      <c r="H243">
        <v>1660.93</v>
      </c>
      <c r="I243">
        <v>5</v>
      </c>
      <c r="J243" s="2">
        <v>45663</v>
      </c>
      <c r="K243" t="str">
        <v>NO</v>
      </c>
    </row>
    <row r="244" spans="1:11" x14ac:dyDescent="0.45">
      <c r="A244" t="s">
        <v>269</v>
      </c>
      <c r="B244" t="s">
        <v>26</v>
      </c>
      <c r="C244" t="s">
        <v>15</v>
      </c>
      <c r="D244" t="s">
        <v>24</v>
      </c>
      <c r="E244">
        <v>35</v>
      </c>
      <c r="F244">
        <v>454.37</v>
      </c>
      <c r="G244">
        <v>15</v>
      </c>
      <c r="H244">
        <v>13517.51</v>
      </c>
      <c r="I244">
        <v>5</v>
      </c>
      <c r="J244" s="2">
        <v>45790</v>
      </c>
      <c r="K244" t="str">
        <v>Yes</v>
      </c>
    </row>
    <row r="245" spans="1:11" x14ac:dyDescent="0.45">
      <c r="A245" t="s">
        <v>270</v>
      </c>
      <c r="B245" t="s">
        <v>18</v>
      </c>
      <c r="C245" t="s">
        <v>19</v>
      </c>
      <c r="D245" t="s">
        <v>43</v>
      </c>
      <c r="E245">
        <v>10</v>
      </c>
      <c r="F245">
        <v>483.3</v>
      </c>
      <c r="G245">
        <v>10</v>
      </c>
      <c r="H245">
        <v>4349.7</v>
      </c>
      <c r="I245">
        <v>10</v>
      </c>
      <c r="J245" s="2">
        <v>45715</v>
      </c>
      <c r="K245" t="str">
        <v>NO</v>
      </c>
    </row>
    <row r="246" spans="1:11" x14ac:dyDescent="0.45">
      <c r="A246" t="s">
        <v>271</v>
      </c>
      <c r="B246" t="s">
        <v>22</v>
      </c>
      <c r="C246" t="s">
        <v>23</v>
      </c>
      <c r="D246" t="s">
        <v>32</v>
      </c>
      <c r="E246">
        <v>2</v>
      </c>
      <c r="F246">
        <v>155.56</v>
      </c>
      <c r="G246">
        <v>20</v>
      </c>
      <c r="H246">
        <v>248.9</v>
      </c>
      <c r="I246">
        <v>15</v>
      </c>
      <c r="J246" s="2">
        <v>45736</v>
      </c>
      <c r="K246" t="str">
        <v>NO</v>
      </c>
    </row>
    <row r="247" spans="1:11" x14ac:dyDescent="0.45">
      <c r="A247" t="s">
        <v>272</v>
      </c>
      <c r="B247" t="s">
        <v>18</v>
      </c>
      <c r="C247" t="s">
        <v>23</v>
      </c>
      <c r="D247" t="s">
        <v>43</v>
      </c>
      <c r="E247">
        <v>22</v>
      </c>
      <c r="F247">
        <v>195.02</v>
      </c>
      <c r="G247">
        <v>15</v>
      </c>
      <c r="H247">
        <v>3646.87</v>
      </c>
      <c r="I247">
        <v>20</v>
      </c>
      <c r="J247" s="2">
        <v>45782</v>
      </c>
      <c r="K247" t="str">
        <v>NO</v>
      </c>
    </row>
    <row r="248" spans="1:11" x14ac:dyDescent="0.45">
      <c r="A248" t="s">
        <v>273</v>
      </c>
      <c r="B248" t="s">
        <v>14</v>
      </c>
      <c r="C248" t="s">
        <v>31</v>
      </c>
      <c r="D248" t="s">
        <v>20</v>
      </c>
      <c r="E248">
        <v>8</v>
      </c>
      <c r="F248">
        <v>128.63</v>
      </c>
      <c r="G248">
        <v>10</v>
      </c>
      <c r="H248">
        <v>926.14</v>
      </c>
      <c r="I248">
        <v>5</v>
      </c>
      <c r="J248" s="2">
        <v>45742</v>
      </c>
      <c r="K248" t="str">
        <v>NO</v>
      </c>
    </row>
    <row r="249" spans="1:11" x14ac:dyDescent="0.45">
      <c r="A249" t="s">
        <v>274</v>
      </c>
      <c r="B249" t="s">
        <v>22</v>
      </c>
      <c r="C249" t="s">
        <v>19</v>
      </c>
      <c r="D249" t="s">
        <v>24</v>
      </c>
      <c r="E249">
        <v>44</v>
      </c>
      <c r="F249">
        <v>265.66000000000003</v>
      </c>
      <c r="G249">
        <v>15</v>
      </c>
      <c r="H249">
        <v>9935.68</v>
      </c>
      <c r="I249">
        <v>15</v>
      </c>
      <c r="J249" s="2">
        <v>45665</v>
      </c>
      <c r="K249" t="str">
        <v>Yes</v>
      </c>
    </row>
    <row r="250" spans="1:11" x14ac:dyDescent="0.45">
      <c r="A250" t="s">
        <v>275</v>
      </c>
      <c r="B250" t="s">
        <v>14</v>
      </c>
      <c r="C250" t="s">
        <v>15</v>
      </c>
      <c r="D250" t="s">
        <v>24</v>
      </c>
      <c r="E250">
        <v>13</v>
      </c>
      <c r="F250">
        <v>485.09</v>
      </c>
      <c r="G250">
        <v>20</v>
      </c>
      <c r="H250">
        <v>5044.9399999999996</v>
      </c>
      <c r="I250">
        <v>10</v>
      </c>
      <c r="J250" s="2">
        <v>45752</v>
      </c>
      <c r="K250" t="str">
        <v>Yes</v>
      </c>
    </row>
    <row r="251" spans="1:11" x14ac:dyDescent="0.45">
      <c r="A251" t="s">
        <v>276</v>
      </c>
      <c r="B251" t="s">
        <v>14</v>
      </c>
      <c r="C251" t="s">
        <v>23</v>
      </c>
      <c r="D251" t="s">
        <v>43</v>
      </c>
      <c r="E251">
        <v>17</v>
      </c>
      <c r="F251">
        <v>197.81</v>
      </c>
      <c r="G251">
        <v>0</v>
      </c>
      <c r="H251">
        <v>3362.77</v>
      </c>
      <c r="I251">
        <v>20</v>
      </c>
      <c r="J251" s="2">
        <v>45673</v>
      </c>
      <c r="K251" t="str">
        <v>NO</v>
      </c>
    </row>
    <row r="252" spans="1:11" x14ac:dyDescent="0.45">
      <c r="A252" t="s">
        <v>277</v>
      </c>
      <c r="B252" t="s">
        <v>26</v>
      </c>
      <c r="C252" t="s">
        <v>23</v>
      </c>
      <c r="D252" t="s">
        <v>24</v>
      </c>
      <c r="E252">
        <v>37</v>
      </c>
      <c r="F252">
        <v>201.25</v>
      </c>
      <c r="G252">
        <v>0</v>
      </c>
      <c r="H252">
        <v>7446.25</v>
      </c>
      <c r="I252">
        <v>15</v>
      </c>
      <c r="J252" s="2">
        <v>45624</v>
      </c>
      <c r="K252" t="str">
        <v>Yes</v>
      </c>
    </row>
    <row r="253" spans="1:11" x14ac:dyDescent="0.45">
      <c r="A253" t="s">
        <v>278</v>
      </c>
      <c r="B253" t="s">
        <v>22</v>
      </c>
      <c r="C253" t="s">
        <v>31</v>
      </c>
      <c r="D253" t="s">
        <v>20</v>
      </c>
      <c r="E253">
        <v>8</v>
      </c>
      <c r="F253">
        <v>410.7</v>
      </c>
      <c r="G253">
        <v>5</v>
      </c>
      <c r="H253">
        <v>3121.32</v>
      </c>
      <c r="I253">
        <v>20</v>
      </c>
      <c r="J253" s="2">
        <v>45706</v>
      </c>
      <c r="K253" t="str">
        <v>NO</v>
      </c>
    </row>
    <row r="254" spans="1:11" x14ac:dyDescent="0.45">
      <c r="A254" t="s">
        <v>279</v>
      </c>
      <c r="B254" t="s">
        <v>30</v>
      </c>
      <c r="C254" t="s">
        <v>15</v>
      </c>
      <c r="D254" t="s">
        <v>16</v>
      </c>
      <c r="E254">
        <v>16</v>
      </c>
      <c r="F254">
        <v>50.13</v>
      </c>
      <c r="G254">
        <v>15</v>
      </c>
      <c r="H254">
        <v>681.77</v>
      </c>
      <c r="I254">
        <v>15</v>
      </c>
      <c r="J254" s="2">
        <v>45759</v>
      </c>
      <c r="K254" t="str">
        <v>NO</v>
      </c>
    </row>
    <row r="255" spans="1:11" x14ac:dyDescent="0.45">
      <c r="A255" t="s">
        <v>280</v>
      </c>
      <c r="B255" t="s">
        <v>18</v>
      </c>
      <c r="C255" t="s">
        <v>23</v>
      </c>
      <c r="D255" t="s">
        <v>43</v>
      </c>
      <c r="E255">
        <v>44</v>
      </c>
      <c r="F255">
        <v>257.61</v>
      </c>
      <c r="G255">
        <v>0</v>
      </c>
      <c r="H255">
        <v>11334.84</v>
      </c>
      <c r="I255">
        <v>15</v>
      </c>
      <c r="J255" s="2">
        <v>45648</v>
      </c>
      <c r="K255" t="str">
        <v>Yes</v>
      </c>
    </row>
    <row r="256" spans="1:11" x14ac:dyDescent="0.45">
      <c r="A256" t="s">
        <v>281</v>
      </c>
      <c r="B256" t="s">
        <v>18</v>
      </c>
      <c r="C256" t="s">
        <v>31</v>
      </c>
      <c r="D256" t="s">
        <v>32</v>
      </c>
      <c r="E256">
        <v>20</v>
      </c>
      <c r="F256">
        <v>345.07</v>
      </c>
      <c r="G256">
        <v>0</v>
      </c>
      <c r="H256">
        <v>6901.4</v>
      </c>
      <c r="I256">
        <v>5</v>
      </c>
      <c r="J256" s="2">
        <v>45756</v>
      </c>
      <c r="K256" t="str">
        <v>Yes</v>
      </c>
    </row>
    <row r="257" spans="1:11" x14ac:dyDescent="0.45">
      <c r="A257" t="s">
        <v>282</v>
      </c>
      <c r="B257" t="s">
        <v>14</v>
      </c>
      <c r="C257" t="s">
        <v>31</v>
      </c>
      <c r="D257" t="s">
        <v>16</v>
      </c>
      <c r="E257">
        <v>16</v>
      </c>
      <c r="F257">
        <v>156.66</v>
      </c>
      <c r="G257">
        <v>20</v>
      </c>
      <c r="H257">
        <v>2005.25</v>
      </c>
      <c r="I257">
        <v>10</v>
      </c>
      <c r="J257" s="2">
        <v>45771</v>
      </c>
      <c r="K257" t="str">
        <v>NO</v>
      </c>
    </row>
    <row r="258" spans="1:11" x14ac:dyDescent="0.45">
      <c r="A258" t="s">
        <v>283</v>
      </c>
      <c r="B258" t="s">
        <v>30</v>
      </c>
      <c r="C258" t="s">
        <v>31</v>
      </c>
      <c r="D258" t="s">
        <v>24</v>
      </c>
      <c r="E258">
        <v>43</v>
      </c>
      <c r="F258">
        <v>427.27</v>
      </c>
      <c r="G258">
        <v>15</v>
      </c>
      <c r="H258">
        <v>15616.72</v>
      </c>
      <c r="I258">
        <v>15</v>
      </c>
      <c r="J258" s="2">
        <v>45669</v>
      </c>
      <c r="K258" t="str">
        <v>Yes</v>
      </c>
    </row>
    <row r="259" spans="1:11" x14ac:dyDescent="0.45">
      <c r="A259" t="s">
        <v>284</v>
      </c>
      <c r="B259" t="s">
        <v>14</v>
      </c>
      <c r="C259" t="s">
        <v>15</v>
      </c>
      <c r="D259" t="s">
        <v>16</v>
      </c>
      <c r="E259">
        <v>45</v>
      </c>
      <c r="F259">
        <v>83.16</v>
      </c>
      <c r="G259">
        <v>20</v>
      </c>
      <c r="H259">
        <v>2993.76</v>
      </c>
      <c r="I259">
        <v>15</v>
      </c>
      <c r="J259" s="2">
        <v>45764</v>
      </c>
      <c r="K259" t="str">
        <v>NO</v>
      </c>
    </row>
    <row r="260" spans="1:11" x14ac:dyDescent="0.45">
      <c r="A260" t="s">
        <v>285</v>
      </c>
      <c r="B260" t="s">
        <v>18</v>
      </c>
      <c r="C260" t="s">
        <v>15</v>
      </c>
      <c r="D260" t="s">
        <v>16</v>
      </c>
      <c r="E260">
        <v>37</v>
      </c>
      <c r="F260">
        <v>410.88</v>
      </c>
      <c r="G260">
        <v>20</v>
      </c>
      <c r="H260">
        <v>12162.05</v>
      </c>
      <c r="I260">
        <v>15</v>
      </c>
      <c r="J260" s="2">
        <v>45663</v>
      </c>
      <c r="K260" t="str">
        <v>Yes</v>
      </c>
    </row>
    <row r="261" spans="1:11" x14ac:dyDescent="0.45">
      <c r="A261" t="s">
        <v>286</v>
      </c>
      <c r="B261" t="s">
        <v>14</v>
      </c>
      <c r="C261" t="s">
        <v>31</v>
      </c>
      <c r="D261" t="s">
        <v>20</v>
      </c>
      <c r="E261">
        <v>38</v>
      </c>
      <c r="F261">
        <v>134.71</v>
      </c>
      <c r="G261">
        <v>5</v>
      </c>
      <c r="H261">
        <v>4863.03</v>
      </c>
      <c r="I261">
        <v>10</v>
      </c>
      <c r="J261" s="2">
        <v>45751</v>
      </c>
      <c r="K261" t="str">
        <v>NO</v>
      </c>
    </row>
    <row r="262" spans="1:11" x14ac:dyDescent="0.45">
      <c r="A262" t="s">
        <v>287</v>
      </c>
      <c r="B262" t="s">
        <v>14</v>
      </c>
      <c r="C262" t="s">
        <v>23</v>
      </c>
      <c r="D262" t="s">
        <v>16</v>
      </c>
      <c r="E262">
        <v>10</v>
      </c>
      <c r="F262">
        <v>70.760000000000005</v>
      </c>
      <c r="G262">
        <v>5</v>
      </c>
      <c r="H262">
        <v>672.22</v>
      </c>
      <c r="I262">
        <v>15</v>
      </c>
      <c r="J262" s="2">
        <v>45771</v>
      </c>
      <c r="K262" t="str">
        <v>NO</v>
      </c>
    </row>
    <row r="263" spans="1:11" x14ac:dyDescent="0.45">
      <c r="A263" t="s">
        <v>288</v>
      </c>
      <c r="B263" t="s">
        <v>18</v>
      </c>
      <c r="C263" t="s">
        <v>23</v>
      </c>
      <c r="D263" t="s">
        <v>20</v>
      </c>
      <c r="E263">
        <v>40</v>
      </c>
      <c r="F263">
        <v>461.68</v>
      </c>
      <c r="G263">
        <v>5</v>
      </c>
      <c r="H263">
        <v>17543.84</v>
      </c>
      <c r="I263">
        <v>10</v>
      </c>
      <c r="J263" s="2">
        <v>45635</v>
      </c>
      <c r="K263" t="str">
        <v>Yes</v>
      </c>
    </row>
    <row r="264" spans="1:11" x14ac:dyDescent="0.45">
      <c r="A264" t="s">
        <v>289</v>
      </c>
      <c r="B264" t="s">
        <v>26</v>
      </c>
      <c r="C264" t="s">
        <v>23</v>
      </c>
      <c r="D264" t="s">
        <v>20</v>
      </c>
      <c r="E264">
        <v>3</v>
      </c>
      <c r="F264">
        <v>6.31</v>
      </c>
      <c r="G264">
        <v>20</v>
      </c>
      <c r="H264">
        <v>15.14</v>
      </c>
      <c r="I264">
        <v>5</v>
      </c>
      <c r="J264" s="2">
        <v>45786</v>
      </c>
      <c r="K264" t="str">
        <v>NO</v>
      </c>
    </row>
    <row r="265" spans="1:11" x14ac:dyDescent="0.45">
      <c r="A265" t="s">
        <v>290</v>
      </c>
      <c r="B265" t="s">
        <v>26</v>
      </c>
      <c r="C265" t="s">
        <v>19</v>
      </c>
      <c r="D265" t="s">
        <v>16</v>
      </c>
      <c r="E265">
        <v>20</v>
      </c>
      <c r="F265">
        <v>189.88</v>
      </c>
      <c r="G265">
        <v>20</v>
      </c>
      <c r="H265">
        <v>3038.08</v>
      </c>
      <c r="I265">
        <v>15</v>
      </c>
      <c r="J265" s="2">
        <v>45725</v>
      </c>
      <c r="K265" t="str">
        <v>NO</v>
      </c>
    </row>
    <row r="266" spans="1:11" x14ac:dyDescent="0.45">
      <c r="A266" t="s">
        <v>291</v>
      </c>
      <c r="B266" t="s">
        <v>26</v>
      </c>
      <c r="C266" t="s">
        <v>23</v>
      </c>
      <c r="D266" t="s">
        <v>24</v>
      </c>
      <c r="E266">
        <v>12</v>
      </c>
      <c r="F266">
        <v>73.5</v>
      </c>
      <c r="G266">
        <v>0</v>
      </c>
      <c r="H266">
        <v>882</v>
      </c>
      <c r="I266">
        <v>20</v>
      </c>
      <c r="J266" s="2">
        <v>45788</v>
      </c>
      <c r="K266" t="str">
        <v>NO</v>
      </c>
    </row>
    <row r="267" spans="1:11" x14ac:dyDescent="0.45">
      <c r="A267" t="s">
        <v>292</v>
      </c>
      <c r="B267" t="s">
        <v>14</v>
      </c>
      <c r="C267" t="s">
        <v>15</v>
      </c>
      <c r="D267" t="s">
        <v>24</v>
      </c>
      <c r="E267">
        <v>5</v>
      </c>
      <c r="F267">
        <v>474.81</v>
      </c>
      <c r="G267">
        <v>20</v>
      </c>
      <c r="H267">
        <v>1899.24</v>
      </c>
      <c r="I267">
        <v>5</v>
      </c>
      <c r="J267" s="2">
        <v>45699</v>
      </c>
      <c r="K267" t="str">
        <v>NO</v>
      </c>
    </row>
    <row r="268" spans="1:11" x14ac:dyDescent="0.45">
      <c r="A268" t="s">
        <v>293</v>
      </c>
      <c r="B268" t="s">
        <v>26</v>
      </c>
      <c r="C268" t="s">
        <v>23</v>
      </c>
      <c r="D268" t="s">
        <v>32</v>
      </c>
      <c r="E268">
        <v>27</v>
      </c>
      <c r="F268">
        <v>224.14</v>
      </c>
      <c r="G268">
        <v>20</v>
      </c>
      <c r="H268">
        <v>4841.42</v>
      </c>
      <c r="I268">
        <v>5</v>
      </c>
      <c r="J268" s="2">
        <v>45718</v>
      </c>
      <c r="K268" t="str">
        <v>NO</v>
      </c>
    </row>
    <row r="269" spans="1:11" x14ac:dyDescent="0.45">
      <c r="A269" t="s">
        <v>294</v>
      </c>
      <c r="B269" t="s">
        <v>18</v>
      </c>
      <c r="C269" t="s">
        <v>15</v>
      </c>
      <c r="D269" t="s">
        <v>16</v>
      </c>
      <c r="E269">
        <v>2</v>
      </c>
      <c r="F269">
        <v>225.08</v>
      </c>
      <c r="G269">
        <v>15</v>
      </c>
      <c r="H269">
        <v>382.64</v>
      </c>
      <c r="I269">
        <v>20</v>
      </c>
      <c r="J269" s="2">
        <v>45686</v>
      </c>
      <c r="K269" t="str">
        <v>NO</v>
      </c>
    </row>
    <row r="270" spans="1:11" x14ac:dyDescent="0.45">
      <c r="A270" t="s">
        <v>295</v>
      </c>
      <c r="B270" t="s">
        <v>14</v>
      </c>
      <c r="C270" t="s">
        <v>15</v>
      </c>
      <c r="D270" t="s">
        <v>16</v>
      </c>
      <c r="E270">
        <v>28</v>
      </c>
      <c r="F270">
        <v>378.44</v>
      </c>
      <c r="G270">
        <v>20</v>
      </c>
      <c r="H270">
        <v>8477.06</v>
      </c>
      <c r="I270">
        <v>15</v>
      </c>
      <c r="J270" s="2">
        <v>45734</v>
      </c>
      <c r="K270" t="str">
        <v>Yes</v>
      </c>
    </row>
    <row r="271" spans="1:11" x14ac:dyDescent="0.45">
      <c r="A271" t="s">
        <v>296</v>
      </c>
      <c r="B271" t="s">
        <v>30</v>
      </c>
      <c r="C271" t="s">
        <v>19</v>
      </c>
      <c r="D271" t="s">
        <v>20</v>
      </c>
      <c r="E271">
        <v>6</v>
      </c>
      <c r="F271">
        <v>274.82</v>
      </c>
      <c r="G271">
        <v>10</v>
      </c>
      <c r="H271">
        <v>1484.03</v>
      </c>
      <c r="I271">
        <v>5</v>
      </c>
      <c r="J271" s="2">
        <v>45770</v>
      </c>
      <c r="K271" t="str">
        <v>NO</v>
      </c>
    </row>
    <row r="272" spans="1:11" x14ac:dyDescent="0.45">
      <c r="A272" t="s">
        <v>297</v>
      </c>
      <c r="B272" t="s">
        <v>26</v>
      </c>
      <c r="C272" t="s">
        <v>19</v>
      </c>
      <c r="D272" t="s">
        <v>16</v>
      </c>
      <c r="E272">
        <v>13</v>
      </c>
      <c r="F272">
        <v>120.53</v>
      </c>
      <c r="G272">
        <v>20</v>
      </c>
      <c r="H272">
        <v>1253.51</v>
      </c>
      <c r="I272">
        <v>20</v>
      </c>
      <c r="J272" s="2">
        <v>45668</v>
      </c>
      <c r="K272" t="str">
        <v>NO</v>
      </c>
    </row>
    <row r="273" spans="1:11" x14ac:dyDescent="0.45">
      <c r="A273" t="s">
        <v>298</v>
      </c>
      <c r="B273" t="s">
        <v>26</v>
      </c>
      <c r="C273" t="s">
        <v>31</v>
      </c>
      <c r="D273" t="s">
        <v>43</v>
      </c>
      <c r="E273">
        <v>30</v>
      </c>
      <c r="F273">
        <v>258.58</v>
      </c>
      <c r="G273">
        <v>5</v>
      </c>
      <c r="H273">
        <v>7369.53</v>
      </c>
      <c r="I273">
        <v>20</v>
      </c>
      <c r="J273" s="2">
        <v>45788</v>
      </c>
      <c r="K273" t="str">
        <v>Yes</v>
      </c>
    </row>
    <row r="274" spans="1:11" x14ac:dyDescent="0.45">
      <c r="A274" t="s">
        <v>299</v>
      </c>
      <c r="B274" t="s">
        <v>18</v>
      </c>
      <c r="C274" t="s">
        <v>15</v>
      </c>
      <c r="D274" t="s">
        <v>43</v>
      </c>
      <c r="E274">
        <v>27</v>
      </c>
      <c r="F274">
        <v>349.78</v>
      </c>
      <c r="G274">
        <v>20</v>
      </c>
      <c r="H274">
        <v>7555.25</v>
      </c>
      <c r="I274">
        <v>10</v>
      </c>
      <c r="J274" s="2">
        <v>45785</v>
      </c>
      <c r="K274" t="str">
        <v>Yes</v>
      </c>
    </row>
    <row r="275" spans="1:11" x14ac:dyDescent="0.45">
      <c r="A275" t="s">
        <v>300</v>
      </c>
      <c r="B275" t="s">
        <v>22</v>
      </c>
      <c r="C275" t="s">
        <v>15</v>
      </c>
      <c r="D275" t="s">
        <v>32</v>
      </c>
      <c r="E275">
        <v>4</v>
      </c>
      <c r="F275">
        <v>21.91</v>
      </c>
      <c r="G275">
        <v>10</v>
      </c>
      <c r="H275">
        <v>78.88</v>
      </c>
      <c r="I275">
        <v>5</v>
      </c>
      <c r="J275" s="2">
        <v>45732</v>
      </c>
      <c r="K275" t="str">
        <v>NO</v>
      </c>
    </row>
    <row r="276" spans="1:11" x14ac:dyDescent="0.45">
      <c r="A276" t="s">
        <v>301</v>
      </c>
      <c r="B276" t="s">
        <v>26</v>
      </c>
      <c r="C276" t="s">
        <v>19</v>
      </c>
      <c r="D276" t="s">
        <v>20</v>
      </c>
      <c r="E276">
        <v>1</v>
      </c>
      <c r="F276">
        <v>262.22000000000003</v>
      </c>
      <c r="G276">
        <v>0</v>
      </c>
      <c r="H276">
        <v>262.22000000000003</v>
      </c>
      <c r="I276">
        <v>20</v>
      </c>
      <c r="J276" s="2">
        <v>45647</v>
      </c>
      <c r="K276" t="str">
        <v>NO</v>
      </c>
    </row>
    <row r="277" spans="1:11" x14ac:dyDescent="0.45">
      <c r="A277" t="s">
        <v>302</v>
      </c>
      <c r="B277" t="s">
        <v>14</v>
      </c>
      <c r="C277" t="s">
        <v>19</v>
      </c>
      <c r="D277" t="s">
        <v>20</v>
      </c>
      <c r="E277">
        <v>36</v>
      </c>
      <c r="F277">
        <v>130.01</v>
      </c>
      <c r="G277">
        <v>0</v>
      </c>
      <c r="H277">
        <v>4680.3599999999997</v>
      </c>
      <c r="I277">
        <v>10</v>
      </c>
      <c r="J277" s="2">
        <v>45747</v>
      </c>
      <c r="K277" t="str">
        <v>NO</v>
      </c>
    </row>
    <row r="278" spans="1:11" x14ac:dyDescent="0.45">
      <c r="A278" t="s">
        <v>303</v>
      </c>
      <c r="B278" t="s">
        <v>14</v>
      </c>
      <c r="C278" t="s">
        <v>15</v>
      </c>
      <c r="D278" t="s">
        <v>16</v>
      </c>
      <c r="E278">
        <v>26</v>
      </c>
      <c r="F278">
        <v>369.01</v>
      </c>
      <c r="G278">
        <v>5</v>
      </c>
      <c r="H278">
        <v>9114.5499999999993</v>
      </c>
      <c r="I278">
        <v>5</v>
      </c>
      <c r="J278" s="2">
        <v>45778</v>
      </c>
      <c r="K278" t="str">
        <v>Yes</v>
      </c>
    </row>
    <row r="279" spans="1:11" x14ac:dyDescent="0.45">
      <c r="A279" t="s">
        <v>304</v>
      </c>
      <c r="B279" t="s">
        <v>14</v>
      </c>
      <c r="C279" t="s">
        <v>31</v>
      </c>
      <c r="D279" t="s">
        <v>24</v>
      </c>
      <c r="E279">
        <v>35</v>
      </c>
      <c r="F279">
        <v>386.26</v>
      </c>
      <c r="G279">
        <v>0</v>
      </c>
      <c r="H279">
        <v>13519.1</v>
      </c>
      <c r="I279">
        <v>20</v>
      </c>
      <c r="J279" s="2">
        <v>45681</v>
      </c>
      <c r="K279" t="str">
        <v>Yes</v>
      </c>
    </row>
    <row r="280" spans="1:11" x14ac:dyDescent="0.45">
      <c r="A280" t="s">
        <v>305</v>
      </c>
      <c r="B280" t="s">
        <v>22</v>
      </c>
      <c r="C280" t="s">
        <v>23</v>
      </c>
      <c r="D280" t="s">
        <v>20</v>
      </c>
      <c r="E280">
        <v>33</v>
      </c>
      <c r="F280">
        <v>30.4</v>
      </c>
      <c r="G280">
        <v>15</v>
      </c>
      <c r="H280">
        <v>852.72</v>
      </c>
      <c r="I280">
        <v>20</v>
      </c>
      <c r="J280" s="2">
        <v>45748</v>
      </c>
      <c r="K280" t="str">
        <v>NO</v>
      </c>
    </row>
    <row r="281" spans="1:11" x14ac:dyDescent="0.45">
      <c r="A281" t="s">
        <v>306</v>
      </c>
      <c r="B281" t="s">
        <v>30</v>
      </c>
      <c r="C281" t="s">
        <v>15</v>
      </c>
      <c r="D281" t="s">
        <v>16</v>
      </c>
      <c r="E281">
        <v>8</v>
      </c>
      <c r="F281">
        <v>311.91000000000003</v>
      </c>
      <c r="G281">
        <v>5</v>
      </c>
      <c r="H281">
        <v>2370.52</v>
      </c>
      <c r="I281">
        <v>20</v>
      </c>
      <c r="J281" s="2">
        <v>45682</v>
      </c>
      <c r="K281" t="str">
        <v>NO</v>
      </c>
    </row>
    <row r="282" spans="1:11" x14ac:dyDescent="0.45">
      <c r="A282" t="s">
        <v>307</v>
      </c>
      <c r="B282" t="s">
        <v>22</v>
      </c>
      <c r="C282" t="s">
        <v>23</v>
      </c>
      <c r="D282" t="s">
        <v>24</v>
      </c>
      <c r="E282">
        <v>37</v>
      </c>
      <c r="F282">
        <v>381.94</v>
      </c>
      <c r="G282">
        <v>15</v>
      </c>
      <c r="H282">
        <v>12012.01</v>
      </c>
      <c r="I282">
        <v>15</v>
      </c>
      <c r="J282" s="2">
        <v>45733</v>
      </c>
      <c r="K282" t="str">
        <v>Yes</v>
      </c>
    </row>
    <row r="283" spans="1:11" x14ac:dyDescent="0.45">
      <c r="A283" t="s">
        <v>308</v>
      </c>
      <c r="B283" t="s">
        <v>26</v>
      </c>
      <c r="C283" t="s">
        <v>19</v>
      </c>
      <c r="D283" t="s">
        <v>24</v>
      </c>
      <c r="E283">
        <v>1</v>
      </c>
      <c r="F283">
        <v>172.67</v>
      </c>
      <c r="G283">
        <v>20</v>
      </c>
      <c r="H283">
        <v>138.13999999999999</v>
      </c>
      <c r="I283">
        <v>5</v>
      </c>
      <c r="J283" s="2">
        <v>45782</v>
      </c>
      <c r="K283" t="str">
        <v>NO</v>
      </c>
    </row>
    <row r="284" spans="1:11" x14ac:dyDescent="0.45">
      <c r="A284" t="s">
        <v>309</v>
      </c>
      <c r="B284" t="s">
        <v>14</v>
      </c>
      <c r="C284" t="s">
        <v>15</v>
      </c>
      <c r="D284" t="s">
        <v>24</v>
      </c>
      <c r="E284">
        <v>47</v>
      </c>
      <c r="F284">
        <v>254.47</v>
      </c>
      <c r="G284">
        <v>5</v>
      </c>
      <c r="H284">
        <v>11362.09</v>
      </c>
      <c r="I284">
        <v>15</v>
      </c>
      <c r="J284" s="2">
        <v>45681</v>
      </c>
      <c r="K284" t="str">
        <v>Yes</v>
      </c>
    </row>
    <row r="285" spans="1:11" x14ac:dyDescent="0.45">
      <c r="A285" t="s">
        <v>310</v>
      </c>
      <c r="B285" t="s">
        <v>30</v>
      </c>
      <c r="C285" t="s">
        <v>23</v>
      </c>
      <c r="D285" t="s">
        <v>32</v>
      </c>
      <c r="E285">
        <v>20</v>
      </c>
      <c r="F285">
        <v>445.85</v>
      </c>
      <c r="G285">
        <v>15</v>
      </c>
      <c r="H285">
        <v>7579.45</v>
      </c>
      <c r="I285">
        <v>10</v>
      </c>
      <c r="J285" s="2">
        <v>45806</v>
      </c>
      <c r="K285" t="str">
        <v>Yes</v>
      </c>
    </row>
    <row r="286" spans="1:11" x14ac:dyDescent="0.45">
      <c r="A286" t="s">
        <v>311</v>
      </c>
      <c r="B286" t="s">
        <v>14</v>
      </c>
      <c r="C286" t="s">
        <v>15</v>
      </c>
      <c r="D286" t="s">
        <v>32</v>
      </c>
      <c r="E286">
        <v>49</v>
      </c>
      <c r="F286">
        <v>241.08</v>
      </c>
      <c r="G286">
        <v>20</v>
      </c>
      <c r="H286">
        <v>9450.34</v>
      </c>
      <c r="I286">
        <v>20</v>
      </c>
      <c r="J286" s="2">
        <v>45745</v>
      </c>
      <c r="K286" t="str">
        <v>Yes</v>
      </c>
    </row>
    <row r="287" spans="1:11" x14ac:dyDescent="0.45">
      <c r="A287" t="s">
        <v>312</v>
      </c>
      <c r="B287" t="s">
        <v>26</v>
      </c>
      <c r="C287" t="s">
        <v>23</v>
      </c>
      <c r="D287" t="s">
        <v>43</v>
      </c>
      <c r="E287">
        <v>48</v>
      </c>
      <c r="F287">
        <v>214.31</v>
      </c>
      <c r="G287">
        <v>0</v>
      </c>
      <c r="H287">
        <v>10286.879999999999</v>
      </c>
      <c r="I287">
        <v>10</v>
      </c>
      <c r="J287" s="2">
        <v>45717</v>
      </c>
      <c r="K287" t="str">
        <v>Yes</v>
      </c>
    </row>
    <row r="288" spans="1:11" x14ac:dyDescent="0.45">
      <c r="A288" t="s">
        <v>313</v>
      </c>
      <c r="B288" t="s">
        <v>18</v>
      </c>
      <c r="C288" t="s">
        <v>19</v>
      </c>
      <c r="D288" t="s">
        <v>20</v>
      </c>
      <c r="E288">
        <v>14</v>
      </c>
      <c r="F288">
        <v>31.06</v>
      </c>
      <c r="G288">
        <v>5</v>
      </c>
      <c r="H288">
        <v>413.1</v>
      </c>
      <c r="I288">
        <v>20</v>
      </c>
      <c r="J288" s="2">
        <v>45668</v>
      </c>
      <c r="K288" t="str">
        <v>NO</v>
      </c>
    </row>
    <row r="289" spans="1:11" x14ac:dyDescent="0.45">
      <c r="A289" t="s">
        <v>314</v>
      </c>
      <c r="B289" t="s">
        <v>22</v>
      </c>
      <c r="C289" t="s">
        <v>19</v>
      </c>
      <c r="D289" t="s">
        <v>24</v>
      </c>
      <c r="E289">
        <v>15</v>
      </c>
      <c r="F289">
        <v>342.32</v>
      </c>
      <c r="G289">
        <v>0</v>
      </c>
      <c r="H289">
        <v>5134.8</v>
      </c>
      <c r="I289">
        <v>20</v>
      </c>
      <c r="J289" s="2">
        <v>45763</v>
      </c>
      <c r="K289" t="str">
        <v>Yes</v>
      </c>
    </row>
    <row r="290" spans="1:11" x14ac:dyDescent="0.45">
      <c r="A290" t="s">
        <v>315</v>
      </c>
      <c r="B290" t="s">
        <v>26</v>
      </c>
      <c r="C290" t="s">
        <v>23</v>
      </c>
      <c r="D290" t="s">
        <v>43</v>
      </c>
      <c r="E290">
        <v>18</v>
      </c>
      <c r="F290">
        <v>444.08</v>
      </c>
      <c r="G290">
        <v>5</v>
      </c>
      <c r="H290">
        <v>7593.77</v>
      </c>
      <c r="I290">
        <v>10</v>
      </c>
      <c r="J290" s="2">
        <v>45805</v>
      </c>
      <c r="K290" t="str">
        <v>Yes</v>
      </c>
    </row>
    <row r="291" spans="1:11" x14ac:dyDescent="0.45">
      <c r="A291" t="s">
        <v>316</v>
      </c>
      <c r="B291" t="s">
        <v>22</v>
      </c>
      <c r="C291" t="s">
        <v>31</v>
      </c>
      <c r="D291" t="s">
        <v>16</v>
      </c>
      <c r="E291">
        <v>42</v>
      </c>
      <c r="F291">
        <v>298.95</v>
      </c>
      <c r="G291">
        <v>10</v>
      </c>
      <c r="H291">
        <v>11300.31</v>
      </c>
      <c r="I291">
        <v>5</v>
      </c>
      <c r="J291" s="2">
        <v>45755</v>
      </c>
      <c r="K291" t="str">
        <v>Yes</v>
      </c>
    </row>
    <row r="292" spans="1:11" x14ac:dyDescent="0.45">
      <c r="A292" t="s">
        <v>317</v>
      </c>
      <c r="B292" t="s">
        <v>22</v>
      </c>
      <c r="C292" t="s">
        <v>23</v>
      </c>
      <c r="D292" t="s">
        <v>43</v>
      </c>
      <c r="E292">
        <v>14</v>
      </c>
      <c r="F292">
        <v>188.56</v>
      </c>
      <c r="G292">
        <v>20</v>
      </c>
      <c r="H292">
        <v>2111.87</v>
      </c>
      <c r="I292">
        <v>10</v>
      </c>
      <c r="J292" s="2">
        <v>45712</v>
      </c>
      <c r="K292" t="str">
        <v>NO</v>
      </c>
    </row>
    <row r="293" spans="1:11" x14ac:dyDescent="0.45">
      <c r="A293" t="s">
        <v>318</v>
      </c>
      <c r="B293" t="s">
        <v>30</v>
      </c>
      <c r="C293" t="s">
        <v>31</v>
      </c>
      <c r="D293" t="s">
        <v>43</v>
      </c>
      <c r="E293">
        <v>20</v>
      </c>
      <c r="F293">
        <v>37.89</v>
      </c>
      <c r="G293">
        <v>20</v>
      </c>
      <c r="H293">
        <v>606.24</v>
      </c>
      <c r="I293">
        <v>20</v>
      </c>
      <c r="J293" s="2">
        <v>45640</v>
      </c>
      <c r="K293" t="str">
        <v>NO</v>
      </c>
    </row>
    <row r="294" spans="1:11" x14ac:dyDescent="0.45">
      <c r="A294" t="s">
        <v>319</v>
      </c>
      <c r="B294" t="s">
        <v>18</v>
      </c>
      <c r="C294" t="s">
        <v>23</v>
      </c>
      <c r="D294" t="s">
        <v>20</v>
      </c>
      <c r="E294">
        <v>10</v>
      </c>
      <c r="F294">
        <v>165.69</v>
      </c>
      <c r="G294">
        <v>15</v>
      </c>
      <c r="H294">
        <v>1408.36</v>
      </c>
      <c r="I294">
        <v>5</v>
      </c>
      <c r="J294" s="2">
        <v>45639</v>
      </c>
      <c r="K294" t="str">
        <v>NO</v>
      </c>
    </row>
    <row r="295" spans="1:11" x14ac:dyDescent="0.45">
      <c r="A295" t="s">
        <v>320</v>
      </c>
      <c r="B295" t="s">
        <v>26</v>
      </c>
      <c r="C295" t="s">
        <v>23</v>
      </c>
      <c r="D295" t="s">
        <v>20</v>
      </c>
      <c r="E295">
        <v>47</v>
      </c>
      <c r="F295">
        <v>228.62</v>
      </c>
      <c r="G295">
        <v>10</v>
      </c>
      <c r="H295">
        <v>9670.6299999999992</v>
      </c>
      <c r="I295">
        <v>20</v>
      </c>
      <c r="J295" s="2">
        <v>45715</v>
      </c>
      <c r="K295" t="str">
        <v>Yes</v>
      </c>
    </row>
    <row r="296" spans="1:11" x14ac:dyDescent="0.45">
      <c r="A296" t="s">
        <v>321</v>
      </c>
      <c r="B296" t="s">
        <v>18</v>
      </c>
      <c r="C296" t="s">
        <v>31</v>
      </c>
      <c r="D296" t="s">
        <v>43</v>
      </c>
      <c r="E296">
        <v>38</v>
      </c>
      <c r="F296">
        <v>471.94</v>
      </c>
      <c r="G296">
        <v>5</v>
      </c>
      <c r="H296">
        <v>17037.03</v>
      </c>
      <c r="I296">
        <v>20</v>
      </c>
      <c r="J296" s="2">
        <v>45708</v>
      </c>
      <c r="K296" t="str">
        <v>Yes</v>
      </c>
    </row>
    <row r="297" spans="1:11" x14ac:dyDescent="0.45">
      <c r="A297" t="s">
        <v>322</v>
      </c>
      <c r="B297" t="s">
        <v>26</v>
      </c>
      <c r="C297" t="s">
        <v>19</v>
      </c>
      <c r="D297" t="s">
        <v>16</v>
      </c>
      <c r="E297">
        <v>4</v>
      </c>
      <c r="F297">
        <v>488.38</v>
      </c>
      <c r="G297">
        <v>15</v>
      </c>
      <c r="H297">
        <v>1660.49</v>
      </c>
      <c r="I297">
        <v>15</v>
      </c>
      <c r="J297" s="2">
        <v>45773</v>
      </c>
      <c r="K297" t="str">
        <v>NO</v>
      </c>
    </row>
    <row r="298" spans="1:11" x14ac:dyDescent="0.45">
      <c r="A298" t="s">
        <v>323</v>
      </c>
      <c r="B298" t="s">
        <v>30</v>
      </c>
      <c r="C298" t="s">
        <v>19</v>
      </c>
      <c r="D298" t="s">
        <v>16</v>
      </c>
      <c r="E298">
        <v>19</v>
      </c>
      <c r="F298">
        <v>145.47</v>
      </c>
      <c r="G298">
        <v>10</v>
      </c>
      <c r="H298">
        <v>2487.54</v>
      </c>
      <c r="I298">
        <v>5</v>
      </c>
      <c r="J298" s="2">
        <v>45707</v>
      </c>
      <c r="K298" t="str">
        <v>NO</v>
      </c>
    </row>
    <row r="299" spans="1:11" x14ac:dyDescent="0.45">
      <c r="A299" t="s">
        <v>324</v>
      </c>
      <c r="B299" t="s">
        <v>14</v>
      </c>
      <c r="C299" t="s">
        <v>19</v>
      </c>
      <c r="D299" t="s">
        <v>43</v>
      </c>
      <c r="E299">
        <v>32</v>
      </c>
      <c r="F299">
        <v>480.23</v>
      </c>
      <c r="G299">
        <v>20</v>
      </c>
      <c r="H299">
        <v>12293.89</v>
      </c>
      <c r="I299">
        <v>15</v>
      </c>
      <c r="J299" s="2">
        <v>45762</v>
      </c>
      <c r="K299" t="str">
        <v>Yes</v>
      </c>
    </row>
    <row r="300" spans="1:11" x14ac:dyDescent="0.45">
      <c r="A300" t="s">
        <v>325</v>
      </c>
      <c r="B300" t="s">
        <v>22</v>
      </c>
      <c r="C300" t="s">
        <v>15</v>
      </c>
      <c r="D300" t="s">
        <v>16</v>
      </c>
      <c r="E300">
        <v>23</v>
      </c>
      <c r="F300">
        <v>45.28</v>
      </c>
      <c r="G300">
        <v>0</v>
      </c>
      <c r="H300">
        <v>1041.44</v>
      </c>
      <c r="I300">
        <v>10</v>
      </c>
      <c r="J300" s="2">
        <v>45773</v>
      </c>
      <c r="K300" t="str">
        <v>NO</v>
      </c>
    </row>
    <row r="301" spans="1:11" x14ac:dyDescent="0.45">
      <c r="A301" t="s">
        <v>326</v>
      </c>
      <c r="B301" t="s">
        <v>30</v>
      </c>
      <c r="C301" t="s">
        <v>15</v>
      </c>
      <c r="D301" t="s">
        <v>16</v>
      </c>
      <c r="E301">
        <v>7</v>
      </c>
      <c r="F301">
        <v>72.63</v>
      </c>
      <c r="G301">
        <v>0</v>
      </c>
      <c r="H301">
        <v>508.41</v>
      </c>
      <c r="I301">
        <v>20</v>
      </c>
      <c r="J301" s="2">
        <v>45779</v>
      </c>
      <c r="K301" t="str">
        <v>NO</v>
      </c>
    </row>
  </sheetData>
  <mergeCells count="7">
    <mergeCell ref="P28:R28"/>
    <mergeCell ref="P35:R35"/>
    <mergeCell ref="M3:R3"/>
    <mergeCell ref="L42:U42"/>
    <mergeCell ref="P17:R17"/>
    <mergeCell ref="P21:R21"/>
    <mergeCell ref="P24:R2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1"/>
  <sheetViews>
    <sheetView zoomScale="170" workbookViewId="0">
      <selection activeCell="A11" sqref="A11"/>
    </sheetView>
  </sheetViews>
  <sheetFormatPr defaultRowHeight="14.25" x14ac:dyDescent="0.45"/>
  <cols>
    <col min="1" max="1" width="71.59765625" customWidth="1"/>
  </cols>
  <sheetData>
    <row r="1" spans="1:1" x14ac:dyDescent="0.45">
      <c r="A1" s="1" t="s">
        <v>327</v>
      </c>
    </row>
    <row r="2" spans="1:1" ht="14.65" customHeight="1" x14ac:dyDescent="0.45">
      <c r="A2" t="s">
        <v>328</v>
      </c>
    </row>
    <row r="3" spans="1:1" x14ac:dyDescent="0.45">
      <c r="A3" t="s">
        <v>329</v>
      </c>
    </row>
    <row r="4" spans="1:1" x14ac:dyDescent="0.45">
      <c r="A4" t="s">
        <v>330</v>
      </c>
    </row>
    <row r="5" spans="1:1" ht="17.25" customHeight="1" x14ac:dyDescent="0.45">
      <c r="A5" t="s">
        <v>331</v>
      </c>
    </row>
    <row r="6" spans="1:1" x14ac:dyDescent="0.45">
      <c r="A6" t="s">
        <v>332</v>
      </c>
    </row>
    <row r="7" spans="1:1" x14ac:dyDescent="0.45">
      <c r="A7" t="s">
        <v>333</v>
      </c>
    </row>
    <row r="8" spans="1:1" x14ac:dyDescent="0.45">
      <c r="A8" t="s">
        <v>334</v>
      </c>
    </row>
    <row r="9" spans="1:1" x14ac:dyDescent="0.45">
      <c r="A9" t="s">
        <v>335</v>
      </c>
    </row>
    <row r="10" spans="1:1" x14ac:dyDescent="0.45">
      <c r="A10" t="s">
        <v>336</v>
      </c>
    </row>
    <row r="11" spans="1:1" x14ac:dyDescent="0.45">
      <c r="A11" t="s">
        <v>337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01"/>
  <sheetViews>
    <sheetView topLeftCell="A2" zoomScale="50" workbookViewId="0">
      <selection activeCell="F58" sqref="F58"/>
    </sheetView>
  </sheetViews>
  <sheetFormatPr defaultRowHeight="14.25" x14ac:dyDescent="0.45"/>
  <cols>
    <col min="1" max="1" width="10" customWidth="1"/>
    <col min="2" max="2" width="16.19921875" customWidth="1"/>
    <col min="4" max="4" width="9.796875" customWidth="1"/>
    <col min="6" max="6" width="14.59765625" customWidth="1"/>
    <col min="7" max="7" width="12.06640625" customWidth="1"/>
    <col min="9" max="9" width="10.796875" customWidth="1"/>
    <col min="11" max="11" width="14.265625" customWidth="1"/>
  </cols>
  <sheetData>
    <row r="1" spans="1:11" x14ac:dyDescent="0.45">
      <c r="A1" s="8" t="s">
        <v>338</v>
      </c>
      <c r="B1" s="8" t="s">
        <v>339</v>
      </c>
      <c r="C1" s="8" t="s">
        <v>340</v>
      </c>
      <c r="D1" s="8" t="s">
        <v>341</v>
      </c>
      <c r="E1" s="8" t="s">
        <v>342</v>
      </c>
      <c r="F1" s="8" t="s">
        <v>343</v>
      </c>
      <c r="G1" s="8" t="s">
        <v>344</v>
      </c>
      <c r="H1" s="8" t="s">
        <v>5</v>
      </c>
      <c r="I1" s="8" t="s">
        <v>345</v>
      </c>
      <c r="J1" s="8" t="s">
        <v>346</v>
      </c>
      <c r="K1" s="8" t="s">
        <v>347</v>
      </c>
    </row>
    <row r="2" spans="1:11" x14ac:dyDescent="0.45">
      <c r="A2" t="s">
        <v>348</v>
      </c>
      <c r="B2" t="s">
        <v>349</v>
      </c>
      <c r="C2" t="s">
        <v>350</v>
      </c>
      <c r="D2" t="s">
        <v>20</v>
      </c>
      <c r="E2">
        <v>62</v>
      </c>
      <c r="F2">
        <v>54.96</v>
      </c>
      <c r="G2" s="2">
        <v>45728</v>
      </c>
      <c r="H2" t="s">
        <v>23</v>
      </c>
      <c r="I2" t="s">
        <v>351</v>
      </c>
      <c r="J2" t="s">
        <v>352</v>
      </c>
      <c r="K2">
        <v>3407.52</v>
      </c>
    </row>
    <row r="3" spans="1:11" hidden="1" x14ac:dyDescent="0.45">
      <c r="A3" t="s">
        <v>353</v>
      </c>
      <c r="B3" t="s">
        <v>354</v>
      </c>
      <c r="C3" t="s">
        <v>355</v>
      </c>
      <c r="D3" t="s">
        <v>43</v>
      </c>
      <c r="E3">
        <v>80</v>
      </c>
      <c r="F3">
        <v>156.41</v>
      </c>
      <c r="G3" s="2">
        <v>45775</v>
      </c>
      <c r="H3" t="s">
        <v>15</v>
      </c>
      <c r="I3" t="s">
        <v>356</v>
      </c>
      <c r="J3" t="s">
        <v>357</v>
      </c>
      <c r="K3">
        <v>12512.8</v>
      </c>
    </row>
    <row r="4" spans="1:11" hidden="1" x14ac:dyDescent="0.45">
      <c r="A4" t="s">
        <v>358</v>
      </c>
      <c r="B4" t="s">
        <v>359</v>
      </c>
      <c r="C4" t="s">
        <v>360</v>
      </c>
      <c r="D4" t="s">
        <v>24</v>
      </c>
      <c r="E4">
        <v>55</v>
      </c>
      <c r="F4">
        <v>11.36</v>
      </c>
      <c r="G4" s="2">
        <v>45749</v>
      </c>
      <c r="H4" t="s">
        <v>15</v>
      </c>
      <c r="I4" t="s">
        <v>361</v>
      </c>
      <c r="J4" t="s">
        <v>362</v>
      </c>
      <c r="K4">
        <v>624.79999999999995</v>
      </c>
    </row>
    <row r="5" spans="1:11" x14ac:dyDescent="0.45">
      <c r="A5" t="s">
        <v>363</v>
      </c>
      <c r="B5" t="s">
        <v>364</v>
      </c>
      <c r="C5" t="s">
        <v>355</v>
      </c>
      <c r="D5" t="s">
        <v>16</v>
      </c>
      <c r="E5">
        <v>94</v>
      </c>
      <c r="F5">
        <v>132.78</v>
      </c>
      <c r="G5" s="2">
        <v>45772</v>
      </c>
      <c r="H5" t="s">
        <v>19</v>
      </c>
      <c r="I5" t="s">
        <v>365</v>
      </c>
      <c r="J5" t="s">
        <v>352</v>
      </c>
      <c r="K5">
        <v>12481.32</v>
      </c>
    </row>
    <row r="6" spans="1:11" x14ac:dyDescent="0.45">
      <c r="A6" t="s">
        <v>366</v>
      </c>
      <c r="B6" t="s">
        <v>367</v>
      </c>
      <c r="C6" t="s">
        <v>368</v>
      </c>
      <c r="D6" t="s">
        <v>20</v>
      </c>
      <c r="E6">
        <v>88</v>
      </c>
      <c r="F6">
        <v>49.39</v>
      </c>
      <c r="G6" s="2">
        <v>45774</v>
      </c>
      <c r="H6" t="s">
        <v>15</v>
      </c>
      <c r="I6" t="s">
        <v>369</v>
      </c>
      <c r="J6" t="s">
        <v>352</v>
      </c>
      <c r="K6">
        <v>4346.32</v>
      </c>
    </row>
    <row r="7" spans="1:11" x14ac:dyDescent="0.45">
      <c r="A7" t="s">
        <v>370</v>
      </c>
      <c r="B7" t="s">
        <v>371</v>
      </c>
      <c r="C7" t="s">
        <v>372</v>
      </c>
      <c r="D7" t="s">
        <v>20</v>
      </c>
      <c r="E7">
        <v>96</v>
      </c>
      <c r="F7">
        <v>94.49</v>
      </c>
      <c r="G7" s="2">
        <v>45676</v>
      </c>
      <c r="H7" t="s">
        <v>15</v>
      </c>
      <c r="I7" t="s">
        <v>373</v>
      </c>
      <c r="J7" t="s">
        <v>374</v>
      </c>
      <c r="K7">
        <v>9071.0400000000009</v>
      </c>
    </row>
    <row r="8" spans="1:11" hidden="1" x14ac:dyDescent="0.45">
      <c r="A8" t="s">
        <v>375</v>
      </c>
      <c r="B8" t="s">
        <v>376</v>
      </c>
      <c r="C8" t="s">
        <v>368</v>
      </c>
      <c r="D8" t="s">
        <v>24</v>
      </c>
      <c r="E8">
        <v>83</v>
      </c>
      <c r="F8">
        <v>14.76</v>
      </c>
      <c r="G8" s="2">
        <v>45741</v>
      </c>
      <c r="H8" t="s">
        <v>23</v>
      </c>
      <c r="I8" t="s">
        <v>377</v>
      </c>
      <c r="J8" t="s">
        <v>362</v>
      </c>
      <c r="K8">
        <v>1225.08</v>
      </c>
    </row>
    <row r="9" spans="1:11" hidden="1" x14ac:dyDescent="0.45">
      <c r="A9" t="s">
        <v>378</v>
      </c>
      <c r="B9" t="s">
        <v>379</v>
      </c>
      <c r="C9" t="s">
        <v>380</v>
      </c>
      <c r="D9" t="s">
        <v>24</v>
      </c>
      <c r="E9">
        <v>72</v>
      </c>
      <c r="F9">
        <v>138.43</v>
      </c>
      <c r="G9" s="2">
        <v>45637</v>
      </c>
      <c r="H9" t="s">
        <v>31</v>
      </c>
      <c r="I9" t="s">
        <v>381</v>
      </c>
      <c r="J9" t="s">
        <v>362</v>
      </c>
      <c r="K9">
        <v>9966.9599999999991</v>
      </c>
    </row>
    <row r="10" spans="1:11" hidden="1" x14ac:dyDescent="0.45">
      <c r="A10" t="s">
        <v>382</v>
      </c>
      <c r="B10" t="s">
        <v>383</v>
      </c>
      <c r="C10" t="s">
        <v>368</v>
      </c>
      <c r="D10" t="s">
        <v>16</v>
      </c>
      <c r="E10">
        <v>47</v>
      </c>
      <c r="F10">
        <v>32.700000000000003</v>
      </c>
      <c r="G10" s="2">
        <v>45719</v>
      </c>
      <c r="H10" t="s">
        <v>23</v>
      </c>
      <c r="I10" t="s">
        <v>384</v>
      </c>
      <c r="J10" t="s">
        <v>362</v>
      </c>
      <c r="K10">
        <v>1536.9</v>
      </c>
    </row>
    <row r="11" spans="1:11" x14ac:dyDescent="0.45">
      <c r="A11" t="s">
        <v>385</v>
      </c>
      <c r="B11" t="s">
        <v>386</v>
      </c>
      <c r="C11" t="s">
        <v>380</v>
      </c>
      <c r="D11" t="s">
        <v>20</v>
      </c>
      <c r="E11">
        <v>3</v>
      </c>
      <c r="F11">
        <v>112.94</v>
      </c>
      <c r="G11" s="2">
        <v>45750</v>
      </c>
      <c r="H11" t="s">
        <v>31</v>
      </c>
      <c r="I11" t="s">
        <v>387</v>
      </c>
      <c r="J11" t="s">
        <v>374</v>
      </c>
      <c r="K11">
        <v>338.82</v>
      </c>
    </row>
    <row r="12" spans="1:11" hidden="1" x14ac:dyDescent="0.45">
      <c r="A12" t="s">
        <v>388</v>
      </c>
      <c r="B12" t="s">
        <v>389</v>
      </c>
      <c r="C12" t="s">
        <v>390</v>
      </c>
      <c r="D12" t="s">
        <v>24</v>
      </c>
      <c r="E12">
        <v>81</v>
      </c>
      <c r="F12">
        <v>117.04</v>
      </c>
      <c r="G12" s="2">
        <v>45749</v>
      </c>
      <c r="H12" t="s">
        <v>31</v>
      </c>
      <c r="I12" t="s">
        <v>391</v>
      </c>
      <c r="J12" t="s">
        <v>357</v>
      </c>
      <c r="K12">
        <v>9480.24</v>
      </c>
    </row>
    <row r="13" spans="1:11" x14ac:dyDescent="0.45">
      <c r="A13" t="s">
        <v>392</v>
      </c>
      <c r="B13" t="s">
        <v>393</v>
      </c>
      <c r="C13" t="s">
        <v>360</v>
      </c>
      <c r="D13" t="s">
        <v>16</v>
      </c>
      <c r="E13">
        <v>20</v>
      </c>
      <c r="F13">
        <v>155.12</v>
      </c>
      <c r="G13" s="2">
        <v>45787</v>
      </c>
      <c r="H13" t="s">
        <v>23</v>
      </c>
      <c r="I13" t="s">
        <v>394</v>
      </c>
      <c r="J13" t="s">
        <v>374</v>
      </c>
      <c r="K13">
        <v>3102.4</v>
      </c>
    </row>
    <row r="14" spans="1:11" hidden="1" x14ac:dyDescent="0.45">
      <c r="A14" t="s">
        <v>395</v>
      </c>
      <c r="B14" t="s">
        <v>396</v>
      </c>
      <c r="C14" t="s">
        <v>368</v>
      </c>
      <c r="D14" t="s">
        <v>43</v>
      </c>
      <c r="E14">
        <v>28</v>
      </c>
      <c r="F14">
        <v>76.069999999999993</v>
      </c>
      <c r="G14" s="2">
        <v>45654</v>
      </c>
      <c r="H14" t="s">
        <v>19</v>
      </c>
      <c r="I14" t="s">
        <v>397</v>
      </c>
      <c r="J14" t="s">
        <v>357</v>
      </c>
      <c r="K14">
        <v>2129.96</v>
      </c>
    </row>
    <row r="15" spans="1:11" x14ac:dyDescent="0.45">
      <c r="A15" t="s">
        <v>398</v>
      </c>
      <c r="B15" t="s">
        <v>399</v>
      </c>
      <c r="C15" t="s">
        <v>350</v>
      </c>
      <c r="D15" t="s">
        <v>20</v>
      </c>
      <c r="E15">
        <v>77</v>
      </c>
      <c r="F15">
        <v>39.869999999999997</v>
      </c>
      <c r="G15" s="2">
        <v>45635</v>
      </c>
      <c r="H15" t="s">
        <v>31</v>
      </c>
      <c r="I15" t="s">
        <v>400</v>
      </c>
      <c r="J15" t="s">
        <v>352</v>
      </c>
      <c r="K15">
        <v>3069.99</v>
      </c>
    </row>
    <row r="16" spans="1:11" hidden="1" x14ac:dyDescent="0.45">
      <c r="A16" t="s">
        <v>401</v>
      </c>
      <c r="B16" t="s">
        <v>402</v>
      </c>
      <c r="C16" t="s">
        <v>360</v>
      </c>
      <c r="D16" t="s">
        <v>43</v>
      </c>
      <c r="E16">
        <v>36</v>
      </c>
      <c r="F16">
        <v>99.66</v>
      </c>
      <c r="G16" s="2">
        <v>45692</v>
      </c>
      <c r="H16" t="s">
        <v>15</v>
      </c>
      <c r="I16" t="s">
        <v>403</v>
      </c>
      <c r="J16" t="s">
        <v>357</v>
      </c>
      <c r="K16">
        <v>3587.76</v>
      </c>
    </row>
    <row r="17" spans="1:11" x14ac:dyDescent="0.45">
      <c r="A17" t="s">
        <v>404</v>
      </c>
      <c r="B17" t="s">
        <v>405</v>
      </c>
      <c r="C17" t="s">
        <v>406</v>
      </c>
      <c r="D17" t="s">
        <v>20</v>
      </c>
      <c r="E17">
        <v>77</v>
      </c>
      <c r="F17">
        <v>107.64</v>
      </c>
      <c r="G17" s="2">
        <v>45736</v>
      </c>
      <c r="H17" t="s">
        <v>23</v>
      </c>
      <c r="I17" t="s">
        <v>407</v>
      </c>
      <c r="J17" t="s">
        <v>374</v>
      </c>
      <c r="K17">
        <v>8288.2800000000007</v>
      </c>
    </row>
    <row r="18" spans="1:11" hidden="1" x14ac:dyDescent="0.45">
      <c r="A18" t="s">
        <v>408</v>
      </c>
      <c r="B18" t="s">
        <v>409</v>
      </c>
      <c r="C18" t="s">
        <v>360</v>
      </c>
      <c r="D18" t="s">
        <v>16</v>
      </c>
      <c r="E18">
        <v>69</v>
      </c>
      <c r="F18">
        <v>164.77</v>
      </c>
      <c r="G18" s="2">
        <v>45803</v>
      </c>
      <c r="H18" t="s">
        <v>23</v>
      </c>
      <c r="I18" t="s">
        <v>410</v>
      </c>
      <c r="J18" t="s">
        <v>362</v>
      </c>
      <c r="K18">
        <v>11369.13</v>
      </c>
    </row>
    <row r="19" spans="1:11" x14ac:dyDescent="0.45">
      <c r="A19" t="s">
        <v>411</v>
      </c>
      <c r="B19" t="s">
        <v>412</v>
      </c>
      <c r="C19" t="s">
        <v>380</v>
      </c>
      <c r="D19" t="s">
        <v>20</v>
      </c>
      <c r="E19">
        <v>83</v>
      </c>
      <c r="F19">
        <v>60.19</v>
      </c>
      <c r="G19" s="2">
        <v>45788</v>
      </c>
      <c r="H19" t="s">
        <v>31</v>
      </c>
      <c r="I19" t="s">
        <v>413</v>
      </c>
      <c r="J19" t="s">
        <v>374</v>
      </c>
      <c r="K19">
        <v>4995.7700000000004</v>
      </c>
    </row>
    <row r="20" spans="1:11" x14ac:dyDescent="0.45">
      <c r="A20" t="s">
        <v>414</v>
      </c>
      <c r="B20" t="s">
        <v>415</v>
      </c>
      <c r="C20" t="s">
        <v>360</v>
      </c>
      <c r="D20" t="s">
        <v>24</v>
      </c>
      <c r="E20">
        <v>94</v>
      </c>
      <c r="F20">
        <v>40.92</v>
      </c>
      <c r="G20" s="2">
        <v>45678</v>
      </c>
      <c r="H20" t="s">
        <v>15</v>
      </c>
      <c r="I20" t="s">
        <v>416</v>
      </c>
      <c r="J20" t="s">
        <v>352</v>
      </c>
      <c r="K20">
        <v>3846.48</v>
      </c>
    </row>
    <row r="21" spans="1:11" x14ac:dyDescent="0.45">
      <c r="A21" t="s">
        <v>417</v>
      </c>
      <c r="B21" t="s">
        <v>418</v>
      </c>
      <c r="C21" t="s">
        <v>350</v>
      </c>
      <c r="D21" t="s">
        <v>24</v>
      </c>
      <c r="E21">
        <v>5</v>
      </c>
      <c r="F21">
        <v>199.57</v>
      </c>
      <c r="G21" s="2">
        <v>45733</v>
      </c>
      <c r="H21" t="s">
        <v>23</v>
      </c>
      <c r="I21" t="s">
        <v>419</v>
      </c>
      <c r="J21" t="s">
        <v>352</v>
      </c>
      <c r="K21">
        <v>997.85</v>
      </c>
    </row>
    <row r="22" spans="1:11" hidden="1" x14ac:dyDescent="0.45">
      <c r="A22" t="s">
        <v>420</v>
      </c>
      <c r="B22" t="s">
        <v>421</v>
      </c>
      <c r="C22" t="s">
        <v>360</v>
      </c>
      <c r="D22" t="s">
        <v>32</v>
      </c>
      <c r="E22">
        <v>95</v>
      </c>
      <c r="F22">
        <v>192.29</v>
      </c>
      <c r="G22" s="2">
        <v>45675</v>
      </c>
      <c r="H22" t="s">
        <v>15</v>
      </c>
      <c r="I22" t="s">
        <v>422</v>
      </c>
      <c r="J22" t="s">
        <v>362</v>
      </c>
      <c r="K22">
        <v>18267.55</v>
      </c>
    </row>
    <row r="23" spans="1:11" x14ac:dyDescent="0.45">
      <c r="A23" t="s">
        <v>423</v>
      </c>
      <c r="B23" t="s">
        <v>424</v>
      </c>
      <c r="C23" t="s">
        <v>425</v>
      </c>
      <c r="D23" t="s">
        <v>32</v>
      </c>
      <c r="E23">
        <v>75</v>
      </c>
      <c r="F23">
        <v>156.91999999999999</v>
      </c>
      <c r="G23" s="2">
        <v>45637</v>
      </c>
      <c r="H23" t="s">
        <v>15</v>
      </c>
      <c r="I23" t="s">
        <v>426</v>
      </c>
      <c r="J23" t="s">
        <v>374</v>
      </c>
      <c r="K23">
        <v>11769</v>
      </c>
    </row>
    <row r="24" spans="1:11" hidden="1" x14ac:dyDescent="0.45">
      <c r="A24" t="s">
        <v>427</v>
      </c>
      <c r="B24" t="s">
        <v>428</v>
      </c>
      <c r="C24" t="s">
        <v>350</v>
      </c>
      <c r="D24" t="s">
        <v>32</v>
      </c>
      <c r="E24">
        <v>53</v>
      </c>
      <c r="F24">
        <v>143.36000000000001</v>
      </c>
      <c r="G24" s="2">
        <v>45667</v>
      </c>
      <c r="H24" t="s">
        <v>23</v>
      </c>
      <c r="I24" t="s">
        <v>429</v>
      </c>
      <c r="J24" t="s">
        <v>362</v>
      </c>
      <c r="K24">
        <v>7598.08</v>
      </c>
    </row>
    <row r="25" spans="1:11" x14ac:dyDescent="0.45">
      <c r="A25" t="s">
        <v>430</v>
      </c>
      <c r="B25" t="s">
        <v>431</v>
      </c>
      <c r="C25" t="s">
        <v>355</v>
      </c>
      <c r="D25" t="s">
        <v>24</v>
      </c>
      <c r="E25">
        <v>25</v>
      </c>
      <c r="F25">
        <v>83.11</v>
      </c>
      <c r="G25" s="2">
        <v>45738</v>
      </c>
      <c r="H25" t="s">
        <v>23</v>
      </c>
      <c r="I25" t="s">
        <v>432</v>
      </c>
      <c r="J25" t="s">
        <v>352</v>
      </c>
      <c r="K25">
        <v>2077.75</v>
      </c>
    </row>
    <row r="26" spans="1:11" x14ac:dyDescent="0.45">
      <c r="A26" t="s">
        <v>433</v>
      </c>
      <c r="B26" t="s">
        <v>434</v>
      </c>
      <c r="C26" t="s">
        <v>372</v>
      </c>
      <c r="D26" t="s">
        <v>43</v>
      </c>
      <c r="E26">
        <v>98</v>
      </c>
      <c r="F26">
        <v>117.04</v>
      </c>
      <c r="G26" s="2">
        <v>45671</v>
      </c>
      <c r="H26" t="s">
        <v>31</v>
      </c>
      <c r="I26" t="s">
        <v>435</v>
      </c>
      <c r="J26" t="s">
        <v>352</v>
      </c>
      <c r="K26">
        <v>11469.92</v>
      </c>
    </row>
    <row r="27" spans="1:11" hidden="1" x14ac:dyDescent="0.45">
      <c r="A27" t="s">
        <v>436</v>
      </c>
      <c r="B27" t="s">
        <v>437</v>
      </c>
      <c r="C27" t="s">
        <v>406</v>
      </c>
      <c r="D27" t="s">
        <v>24</v>
      </c>
      <c r="E27">
        <v>9</v>
      </c>
      <c r="F27">
        <v>97.43</v>
      </c>
      <c r="G27" s="2">
        <v>45794</v>
      </c>
      <c r="H27" t="s">
        <v>23</v>
      </c>
      <c r="I27" t="s">
        <v>438</v>
      </c>
      <c r="J27" t="s">
        <v>362</v>
      </c>
      <c r="K27">
        <v>876.87</v>
      </c>
    </row>
    <row r="28" spans="1:11" hidden="1" x14ac:dyDescent="0.45">
      <c r="A28" t="s">
        <v>439</v>
      </c>
      <c r="B28" t="s">
        <v>440</v>
      </c>
      <c r="C28" t="s">
        <v>425</v>
      </c>
      <c r="D28" t="s">
        <v>20</v>
      </c>
      <c r="E28">
        <v>79</v>
      </c>
      <c r="F28">
        <v>81.13</v>
      </c>
      <c r="G28" s="2">
        <v>45740</v>
      </c>
      <c r="H28" t="s">
        <v>19</v>
      </c>
      <c r="I28" t="s">
        <v>441</v>
      </c>
      <c r="J28" t="s">
        <v>362</v>
      </c>
      <c r="K28">
        <v>6409.27</v>
      </c>
    </row>
    <row r="29" spans="1:11" hidden="1" x14ac:dyDescent="0.45">
      <c r="A29" t="s">
        <v>442</v>
      </c>
      <c r="B29" t="s">
        <v>443</v>
      </c>
      <c r="C29" t="s">
        <v>390</v>
      </c>
      <c r="D29" t="s">
        <v>24</v>
      </c>
      <c r="E29">
        <v>1</v>
      </c>
      <c r="F29">
        <v>37.9</v>
      </c>
      <c r="G29" s="2">
        <v>45723</v>
      </c>
      <c r="H29" t="s">
        <v>23</v>
      </c>
      <c r="I29" t="s">
        <v>444</v>
      </c>
      <c r="J29" t="s">
        <v>357</v>
      </c>
      <c r="K29">
        <v>37.9</v>
      </c>
    </row>
    <row r="30" spans="1:11" x14ac:dyDescent="0.45">
      <c r="A30" t="s">
        <v>445</v>
      </c>
      <c r="B30" t="s">
        <v>446</v>
      </c>
      <c r="C30" t="s">
        <v>355</v>
      </c>
      <c r="D30" t="s">
        <v>43</v>
      </c>
      <c r="E30">
        <v>52</v>
      </c>
      <c r="F30">
        <v>131.31</v>
      </c>
      <c r="G30" s="2">
        <v>45630</v>
      </c>
      <c r="H30" t="s">
        <v>19</v>
      </c>
      <c r="I30" t="s">
        <v>447</v>
      </c>
      <c r="J30" t="s">
        <v>352</v>
      </c>
      <c r="K30">
        <v>6828.12</v>
      </c>
    </row>
    <row r="31" spans="1:11" x14ac:dyDescent="0.45">
      <c r="A31" t="s">
        <v>448</v>
      </c>
      <c r="B31" t="s">
        <v>449</v>
      </c>
      <c r="C31" t="s">
        <v>350</v>
      </c>
      <c r="D31" t="s">
        <v>43</v>
      </c>
      <c r="E31">
        <v>43</v>
      </c>
      <c r="F31">
        <v>130.37</v>
      </c>
      <c r="G31" s="2">
        <v>45729</v>
      </c>
      <c r="H31" t="s">
        <v>15</v>
      </c>
      <c r="I31" t="s">
        <v>450</v>
      </c>
      <c r="J31" t="s">
        <v>352</v>
      </c>
      <c r="K31">
        <v>5605.91</v>
      </c>
    </row>
    <row r="32" spans="1:11" x14ac:dyDescent="0.45">
      <c r="A32" t="s">
        <v>451</v>
      </c>
      <c r="B32" t="s">
        <v>452</v>
      </c>
      <c r="C32" t="s">
        <v>355</v>
      </c>
      <c r="D32" t="s">
        <v>20</v>
      </c>
      <c r="E32">
        <v>90</v>
      </c>
      <c r="F32">
        <v>20.92</v>
      </c>
      <c r="G32" s="2">
        <v>45725</v>
      </c>
      <c r="H32" t="s">
        <v>23</v>
      </c>
      <c r="I32" t="s">
        <v>453</v>
      </c>
      <c r="J32" t="s">
        <v>374</v>
      </c>
      <c r="K32">
        <v>1882.8</v>
      </c>
    </row>
    <row r="33" spans="1:11" x14ac:dyDescent="0.45">
      <c r="A33" t="s">
        <v>454</v>
      </c>
      <c r="B33" t="s">
        <v>455</v>
      </c>
      <c r="C33" t="s">
        <v>368</v>
      </c>
      <c r="D33" t="s">
        <v>24</v>
      </c>
      <c r="E33">
        <v>79</v>
      </c>
      <c r="F33">
        <v>24.25</v>
      </c>
      <c r="G33" s="2">
        <v>45627</v>
      </c>
      <c r="H33" t="s">
        <v>15</v>
      </c>
      <c r="I33" t="s">
        <v>456</v>
      </c>
      <c r="J33" t="s">
        <v>352</v>
      </c>
      <c r="K33">
        <v>1915.75</v>
      </c>
    </row>
    <row r="34" spans="1:11" x14ac:dyDescent="0.45">
      <c r="A34" t="s">
        <v>457</v>
      </c>
      <c r="B34" t="s">
        <v>458</v>
      </c>
      <c r="C34" t="s">
        <v>425</v>
      </c>
      <c r="D34" t="s">
        <v>43</v>
      </c>
      <c r="E34">
        <v>75</v>
      </c>
      <c r="F34">
        <v>108.54</v>
      </c>
      <c r="G34" s="2">
        <v>45725</v>
      </c>
      <c r="H34" t="s">
        <v>31</v>
      </c>
      <c r="I34" t="s">
        <v>459</v>
      </c>
      <c r="J34" t="s">
        <v>374</v>
      </c>
      <c r="K34">
        <v>8140.5</v>
      </c>
    </row>
    <row r="35" spans="1:11" hidden="1" x14ac:dyDescent="0.45">
      <c r="A35" t="s">
        <v>460</v>
      </c>
      <c r="B35" t="s">
        <v>461</v>
      </c>
      <c r="C35" t="s">
        <v>355</v>
      </c>
      <c r="D35" t="s">
        <v>16</v>
      </c>
      <c r="E35">
        <v>55</v>
      </c>
      <c r="F35">
        <v>58.98</v>
      </c>
      <c r="G35" s="2">
        <v>45690</v>
      </c>
      <c r="H35" t="s">
        <v>15</v>
      </c>
      <c r="I35" t="s">
        <v>462</v>
      </c>
      <c r="J35" t="s">
        <v>357</v>
      </c>
      <c r="K35">
        <v>3243.9</v>
      </c>
    </row>
    <row r="36" spans="1:11" x14ac:dyDescent="0.45">
      <c r="A36" t="s">
        <v>463</v>
      </c>
      <c r="B36" t="s">
        <v>464</v>
      </c>
      <c r="C36" t="s">
        <v>465</v>
      </c>
      <c r="D36" t="s">
        <v>16</v>
      </c>
      <c r="E36">
        <v>26</v>
      </c>
      <c r="F36">
        <v>113.2</v>
      </c>
      <c r="G36" s="2">
        <v>45684</v>
      </c>
      <c r="H36" t="s">
        <v>15</v>
      </c>
      <c r="I36" t="s">
        <v>466</v>
      </c>
      <c r="J36" t="s">
        <v>352</v>
      </c>
      <c r="K36">
        <v>2943.2</v>
      </c>
    </row>
    <row r="37" spans="1:11" hidden="1" x14ac:dyDescent="0.45">
      <c r="A37" t="s">
        <v>467</v>
      </c>
      <c r="B37" t="s">
        <v>468</v>
      </c>
      <c r="C37" t="s">
        <v>372</v>
      </c>
      <c r="D37" t="s">
        <v>24</v>
      </c>
      <c r="E37">
        <v>2</v>
      </c>
      <c r="F37">
        <v>91.91</v>
      </c>
      <c r="G37" s="2">
        <v>45680</v>
      </c>
      <c r="H37" t="s">
        <v>31</v>
      </c>
      <c r="I37" t="s">
        <v>469</v>
      </c>
      <c r="J37" t="s">
        <v>362</v>
      </c>
      <c r="K37">
        <v>183.82</v>
      </c>
    </row>
    <row r="38" spans="1:11" x14ac:dyDescent="0.45">
      <c r="A38" t="s">
        <v>470</v>
      </c>
      <c r="B38" t="s">
        <v>471</v>
      </c>
      <c r="C38" t="s">
        <v>465</v>
      </c>
      <c r="D38" t="s">
        <v>16</v>
      </c>
      <c r="E38">
        <v>29</v>
      </c>
      <c r="F38">
        <v>151.72</v>
      </c>
      <c r="G38" s="2">
        <v>45649</v>
      </c>
      <c r="H38" t="s">
        <v>19</v>
      </c>
      <c r="I38" t="s">
        <v>472</v>
      </c>
      <c r="J38" t="s">
        <v>352</v>
      </c>
      <c r="K38">
        <v>4399.88</v>
      </c>
    </row>
    <row r="39" spans="1:11" x14ac:dyDescent="0.45">
      <c r="A39" t="s">
        <v>473</v>
      </c>
      <c r="B39" t="s">
        <v>474</v>
      </c>
      <c r="C39" t="s">
        <v>390</v>
      </c>
      <c r="D39" t="s">
        <v>20</v>
      </c>
      <c r="E39">
        <v>53</v>
      </c>
      <c r="F39">
        <v>144.34</v>
      </c>
      <c r="G39" s="2">
        <v>45756</v>
      </c>
      <c r="H39" t="s">
        <v>31</v>
      </c>
      <c r="I39" t="s">
        <v>475</v>
      </c>
      <c r="J39" t="s">
        <v>352</v>
      </c>
      <c r="K39">
        <v>7650.02</v>
      </c>
    </row>
    <row r="40" spans="1:11" x14ac:dyDescent="0.45">
      <c r="A40" t="s">
        <v>476</v>
      </c>
      <c r="B40" t="s">
        <v>477</v>
      </c>
      <c r="C40" t="s">
        <v>350</v>
      </c>
      <c r="D40" t="s">
        <v>32</v>
      </c>
      <c r="E40">
        <v>13</v>
      </c>
      <c r="F40">
        <v>82.61</v>
      </c>
      <c r="G40" s="2">
        <v>45716</v>
      </c>
      <c r="H40" t="s">
        <v>23</v>
      </c>
      <c r="I40" t="s">
        <v>478</v>
      </c>
      <c r="J40" t="s">
        <v>374</v>
      </c>
      <c r="K40">
        <v>1073.93</v>
      </c>
    </row>
    <row r="41" spans="1:11" hidden="1" x14ac:dyDescent="0.45">
      <c r="A41" t="s">
        <v>479</v>
      </c>
      <c r="B41" t="s">
        <v>480</v>
      </c>
      <c r="C41" t="s">
        <v>425</v>
      </c>
      <c r="D41" t="s">
        <v>32</v>
      </c>
      <c r="E41">
        <v>84</v>
      </c>
      <c r="F41">
        <v>25.26</v>
      </c>
      <c r="G41" s="2">
        <v>45678</v>
      </c>
      <c r="H41" t="s">
        <v>15</v>
      </c>
      <c r="I41" t="s">
        <v>481</v>
      </c>
      <c r="J41" t="s">
        <v>357</v>
      </c>
      <c r="K41">
        <v>2121.84</v>
      </c>
    </row>
    <row r="42" spans="1:11" hidden="1" x14ac:dyDescent="0.45">
      <c r="A42" t="s">
        <v>482</v>
      </c>
      <c r="B42" t="s">
        <v>483</v>
      </c>
      <c r="C42" t="s">
        <v>465</v>
      </c>
      <c r="D42" t="s">
        <v>16</v>
      </c>
      <c r="E42">
        <v>2</v>
      </c>
      <c r="F42">
        <v>128.83000000000001</v>
      </c>
      <c r="G42" s="2">
        <v>45634</v>
      </c>
      <c r="H42" t="s">
        <v>19</v>
      </c>
      <c r="I42" t="s">
        <v>484</v>
      </c>
      <c r="J42" t="s">
        <v>362</v>
      </c>
      <c r="K42">
        <v>257.66000000000003</v>
      </c>
    </row>
    <row r="43" spans="1:11" hidden="1" x14ac:dyDescent="0.45">
      <c r="A43" t="s">
        <v>485</v>
      </c>
      <c r="B43" t="s">
        <v>486</v>
      </c>
      <c r="C43" t="s">
        <v>465</v>
      </c>
      <c r="D43" t="s">
        <v>24</v>
      </c>
      <c r="E43">
        <v>66</v>
      </c>
      <c r="F43">
        <v>149.41</v>
      </c>
      <c r="G43" s="2">
        <v>45724</v>
      </c>
      <c r="H43" t="s">
        <v>31</v>
      </c>
      <c r="I43" t="s">
        <v>487</v>
      </c>
      <c r="J43" t="s">
        <v>362</v>
      </c>
      <c r="K43">
        <v>9861.06</v>
      </c>
    </row>
    <row r="44" spans="1:11" x14ac:dyDescent="0.45">
      <c r="A44" t="s">
        <v>488</v>
      </c>
      <c r="B44" t="s">
        <v>489</v>
      </c>
      <c r="C44" t="s">
        <v>465</v>
      </c>
      <c r="D44" t="s">
        <v>16</v>
      </c>
      <c r="E44">
        <v>31</v>
      </c>
      <c r="F44">
        <v>116.26</v>
      </c>
      <c r="G44" s="2">
        <v>45664</v>
      </c>
      <c r="H44" t="s">
        <v>23</v>
      </c>
      <c r="I44" t="s">
        <v>490</v>
      </c>
      <c r="J44" t="s">
        <v>352</v>
      </c>
      <c r="K44">
        <v>3604.06</v>
      </c>
    </row>
    <row r="45" spans="1:11" hidden="1" x14ac:dyDescent="0.45">
      <c r="A45" t="s">
        <v>491</v>
      </c>
      <c r="B45" t="s">
        <v>492</v>
      </c>
      <c r="C45" t="s">
        <v>406</v>
      </c>
      <c r="D45" t="s">
        <v>32</v>
      </c>
      <c r="E45">
        <v>56</v>
      </c>
      <c r="F45">
        <v>28.5</v>
      </c>
      <c r="G45" s="2">
        <v>45700</v>
      </c>
      <c r="H45" t="s">
        <v>23</v>
      </c>
      <c r="I45" t="s">
        <v>493</v>
      </c>
      <c r="J45" t="s">
        <v>357</v>
      </c>
      <c r="K45">
        <v>1596</v>
      </c>
    </row>
    <row r="46" spans="1:11" x14ac:dyDescent="0.45">
      <c r="A46" t="s">
        <v>494</v>
      </c>
      <c r="B46" t="s">
        <v>495</v>
      </c>
      <c r="C46" t="s">
        <v>380</v>
      </c>
      <c r="D46" t="s">
        <v>24</v>
      </c>
      <c r="E46">
        <v>77</v>
      </c>
      <c r="F46">
        <v>107.01</v>
      </c>
      <c r="G46" s="2">
        <v>45650</v>
      </c>
      <c r="H46" t="s">
        <v>31</v>
      </c>
      <c r="I46" t="s">
        <v>496</v>
      </c>
      <c r="J46" t="s">
        <v>352</v>
      </c>
      <c r="K46">
        <v>8239.77</v>
      </c>
    </row>
    <row r="47" spans="1:11" x14ac:dyDescent="0.45">
      <c r="A47" t="s">
        <v>497</v>
      </c>
      <c r="B47" t="s">
        <v>498</v>
      </c>
      <c r="C47" t="s">
        <v>390</v>
      </c>
      <c r="D47" t="s">
        <v>20</v>
      </c>
      <c r="E47">
        <v>47</v>
      </c>
      <c r="F47">
        <v>84.09</v>
      </c>
      <c r="G47" s="2">
        <v>45786</v>
      </c>
      <c r="H47" t="s">
        <v>15</v>
      </c>
      <c r="I47" t="s">
        <v>499</v>
      </c>
      <c r="J47" t="s">
        <v>352</v>
      </c>
      <c r="K47">
        <v>3952.23</v>
      </c>
    </row>
    <row r="48" spans="1:11" hidden="1" x14ac:dyDescent="0.45">
      <c r="A48" t="s">
        <v>500</v>
      </c>
      <c r="B48" t="s">
        <v>501</v>
      </c>
      <c r="C48" t="s">
        <v>425</v>
      </c>
      <c r="D48" t="s">
        <v>32</v>
      </c>
      <c r="E48">
        <v>41</v>
      </c>
      <c r="F48">
        <v>132.53</v>
      </c>
      <c r="G48" s="2">
        <v>45789</v>
      </c>
      <c r="H48" t="s">
        <v>15</v>
      </c>
      <c r="I48" t="s">
        <v>502</v>
      </c>
      <c r="J48" t="s">
        <v>357</v>
      </c>
      <c r="K48">
        <v>5433.73</v>
      </c>
    </row>
    <row r="49" spans="1:11" hidden="1" x14ac:dyDescent="0.45">
      <c r="A49" t="s">
        <v>503</v>
      </c>
      <c r="B49" t="s">
        <v>504</v>
      </c>
      <c r="C49" t="s">
        <v>380</v>
      </c>
      <c r="D49" t="s">
        <v>20</v>
      </c>
      <c r="E49">
        <v>48</v>
      </c>
      <c r="F49">
        <v>127.05</v>
      </c>
      <c r="G49" s="2">
        <v>45630</v>
      </c>
      <c r="H49" t="s">
        <v>15</v>
      </c>
      <c r="I49" t="s">
        <v>505</v>
      </c>
      <c r="J49" t="s">
        <v>357</v>
      </c>
      <c r="K49">
        <v>6098.4</v>
      </c>
    </row>
    <row r="50" spans="1:11" x14ac:dyDescent="0.45">
      <c r="A50" t="s">
        <v>506</v>
      </c>
      <c r="B50" t="s">
        <v>507</v>
      </c>
      <c r="C50" t="s">
        <v>425</v>
      </c>
      <c r="D50" t="s">
        <v>32</v>
      </c>
      <c r="E50">
        <v>63</v>
      </c>
      <c r="F50">
        <v>174.68</v>
      </c>
      <c r="G50" s="2">
        <v>45721</v>
      </c>
      <c r="H50" t="s">
        <v>23</v>
      </c>
      <c r="I50" t="s">
        <v>508</v>
      </c>
      <c r="J50" t="s">
        <v>352</v>
      </c>
      <c r="K50">
        <v>11004.84</v>
      </c>
    </row>
    <row r="51" spans="1:11" x14ac:dyDescent="0.45">
      <c r="A51" t="s">
        <v>509</v>
      </c>
      <c r="B51" t="s">
        <v>510</v>
      </c>
      <c r="C51" t="s">
        <v>372</v>
      </c>
      <c r="D51" t="s">
        <v>24</v>
      </c>
      <c r="E51">
        <v>75</v>
      </c>
      <c r="F51">
        <v>44.42</v>
      </c>
      <c r="G51" s="2">
        <v>45697</v>
      </c>
      <c r="H51" t="s">
        <v>19</v>
      </c>
      <c r="I51" t="s">
        <v>511</v>
      </c>
      <c r="J51" t="s">
        <v>374</v>
      </c>
      <c r="K51">
        <v>3331.5</v>
      </c>
    </row>
    <row r="52" spans="1:11" x14ac:dyDescent="0.45">
      <c r="A52" t="s">
        <v>512</v>
      </c>
      <c r="B52" t="s">
        <v>513</v>
      </c>
      <c r="C52" t="s">
        <v>355</v>
      </c>
      <c r="D52" t="s">
        <v>32</v>
      </c>
      <c r="E52">
        <v>95</v>
      </c>
      <c r="F52">
        <v>134.71</v>
      </c>
      <c r="G52" s="2">
        <v>45745</v>
      </c>
      <c r="H52" t="s">
        <v>19</v>
      </c>
      <c r="I52" t="s">
        <v>514</v>
      </c>
      <c r="J52" t="s">
        <v>352</v>
      </c>
      <c r="K52">
        <v>12797.45</v>
      </c>
    </row>
    <row r="53" spans="1:11" hidden="1" x14ac:dyDescent="0.45">
      <c r="A53" t="s">
        <v>515</v>
      </c>
      <c r="B53" t="s">
        <v>516</v>
      </c>
      <c r="C53" t="s">
        <v>406</v>
      </c>
      <c r="D53" t="s">
        <v>32</v>
      </c>
      <c r="E53">
        <v>60</v>
      </c>
      <c r="F53">
        <v>77</v>
      </c>
      <c r="G53" s="2">
        <v>45783</v>
      </c>
      <c r="H53" t="s">
        <v>23</v>
      </c>
      <c r="I53" t="s">
        <v>517</v>
      </c>
      <c r="J53" t="s">
        <v>357</v>
      </c>
      <c r="K53">
        <v>4620</v>
      </c>
    </row>
    <row r="54" spans="1:11" x14ac:dyDescent="0.45">
      <c r="A54" t="s">
        <v>518</v>
      </c>
      <c r="B54" t="s">
        <v>519</v>
      </c>
      <c r="C54" t="s">
        <v>368</v>
      </c>
      <c r="D54" t="s">
        <v>16</v>
      </c>
      <c r="E54">
        <v>5</v>
      </c>
      <c r="F54">
        <v>24.37</v>
      </c>
      <c r="G54" s="2">
        <v>45722</v>
      </c>
      <c r="H54" t="s">
        <v>23</v>
      </c>
      <c r="I54" t="s">
        <v>520</v>
      </c>
      <c r="J54" t="s">
        <v>352</v>
      </c>
      <c r="K54">
        <v>121.85</v>
      </c>
    </row>
    <row r="55" spans="1:11" hidden="1" x14ac:dyDescent="0.45">
      <c r="A55" t="s">
        <v>521</v>
      </c>
      <c r="B55" t="s">
        <v>522</v>
      </c>
      <c r="C55" t="s">
        <v>350</v>
      </c>
      <c r="D55" t="s">
        <v>43</v>
      </c>
      <c r="E55">
        <v>60</v>
      </c>
      <c r="F55">
        <v>34.82</v>
      </c>
      <c r="G55" s="2">
        <v>45805</v>
      </c>
      <c r="H55" t="s">
        <v>15</v>
      </c>
      <c r="I55" t="s">
        <v>523</v>
      </c>
      <c r="J55" t="s">
        <v>362</v>
      </c>
      <c r="K55">
        <v>2089.1999999999998</v>
      </c>
    </row>
    <row r="56" spans="1:11" x14ac:dyDescent="0.45">
      <c r="A56" t="s">
        <v>524</v>
      </c>
      <c r="B56" t="s">
        <v>525</v>
      </c>
      <c r="C56" t="s">
        <v>350</v>
      </c>
      <c r="D56" t="s">
        <v>32</v>
      </c>
      <c r="E56">
        <v>97</v>
      </c>
      <c r="F56">
        <v>95.29</v>
      </c>
      <c r="G56" s="2">
        <v>45797</v>
      </c>
      <c r="H56" t="s">
        <v>15</v>
      </c>
      <c r="I56" t="s">
        <v>526</v>
      </c>
      <c r="J56" t="s">
        <v>352</v>
      </c>
      <c r="K56">
        <v>9243.1299999999992</v>
      </c>
    </row>
    <row r="57" spans="1:11" hidden="1" x14ac:dyDescent="0.45">
      <c r="A57" t="s">
        <v>527</v>
      </c>
      <c r="B57" t="s">
        <v>528</v>
      </c>
      <c r="C57" t="s">
        <v>380</v>
      </c>
      <c r="D57" t="s">
        <v>16</v>
      </c>
      <c r="E57">
        <v>20</v>
      </c>
      <c r="F57">
        <v>107.18</v>
      </c>
      <c r="G57" s="2">
        <v>45721</v>
      </c>
      <c r="H57" t="s">
        <v>19</v>
      </c>
      <c r="I57" t="s">
        <v>529</v>
      </c>
      <c r="J57" t="s">
        <v>357</v>
      </c>
      <c r="K57">
        <v>2143.6</v>
      </c>
    </row>
    <row r="58" spans="1:11" x14ac:dyDescent="0.45">
      <c r="A58" t="s">
        <v>530</v>
      </c>
      <c r="B58" t="s">
        <v>531</v>
      </c>
      <c r="C58" t="s">
        <v>406</v>
      </c>
      <c r="D58" t="s">
        <v>43</v>
      </c>
      <c r="E58">
        <v>39</v>
      </c>
      <c r="F58">
        <v>105.68</v>
      </c>
      <c r="G58" s="2">
        <v>45691</v>
      </c>
      <c r="H58" t="s">
        <v>19</v>
      </c>
      <c r="I58" t="s">
        <v>532</v>
      </c>
      <c r="J58" t="s">
        <v>374</v>
      </c>
      <c r="K58">
        <v>4121.5200000000004</v>
      </c>
    </row>
    <row r="59" spans="1:11" x14ac:dyDescent="0.45">
      <c r="A59" t="s">
        <v>533</v>
      </c>
      <c r="B59" t="s">
        <v>534</v>
      </c>
      <c r="C59" t="s">
        <v>368</v>
      </c>
      <c r="D59" t="s">
        <v>32</v>
      </c>
      <c r="E59">
        <v>95</v>
      </c>
      <c r="F59">
        <v>147.1</v>
      </c>
      <c r="G59" s="2">
        <v>45645</v>
      </c>
      <c r="H59" t="s">
        <v>19</v>
      </c>
      <c r="I59" t="s">
        <v>535</v>
      </c>
      <c r="J59" t="s">
        <v>352</v>
      </c>
      <c r="K59">
        <v>13974.5</v>
      </c>
    </row>
    <row r="60" spans="1:11" hidden="1" x14ac:dyDescent="0.45">
      <c r="A60" t="s">
        <v>536</v>
      </c>
      <c r="B60" t="s">
        <v>537</v>
      </c>
      <c r="C60" t="s">
        <v>368</v>
      </c>
      <c r="D60" t="s">
        <v>20</v>
      </c>
      <c r="E60">
        <v>94</v>
      </c>
      <c r="F60">
        <v>50.49</v>
      </c>
      <c r="G60" s="2">
        <v>45759</v>
      </c>
      <c r="H60" t="s">
        <v>31</v>
      </c>
      <c r="I60" t="s">
        <v>538</v>
      </c>
      <c r="J60" t="s">
        <v>362</v>
      </c>
      <c r="K60">
        <v>4746.0600000000004</v>
      </c>
    </row>
    <row r="61" spans="1:11" x14ac:dyDescent="0.45">
      <c r="A61" t="s">
        <v>539</v>
      </c>
      <c r="B61" t="s">
        <v>540</v>
      </c>
      <c r="C61" t="s">
        <v>380</v>
      </c>
      <c r="D61" t="s">
        <v>16</v>
      </c>
      <c r="E61">
        <v>14</v>
      </c>
      <c r="F61">
        <v>161.18</v>
      </c>
      <c r="G61" s="2">
        <v>45734</v>
      </c>
      <c r="H61" t="s">
        <v>31</v>
      </c>
      <c r="I61" t="s">
        <v>541</v>
      </c>
      <c r="J61" t="s">
        <v>352</v>
      </c>
      <c r="K61">
        <v>2256.52</v>
      </c>
    </row>
    <row r="62" spans="1:11" hidden="1" x14ac:dyDescent="0.45">
      <c r="A62" t="s">
        <v>542</v>
      </c>
      <c r="B62" t="s">
        <v>543</v>
      </c>
      <c r="C62" t="s">
        <v>390</v>
      </c>
      <c r="D62" t="s">
        <v>32</v>
      </c>
      <c r="E62">
        <v>48</v>
      </c>
      <c r="F62">
        <v>166.72</v>
      </c>
      <c r="G62" s="2">
        <v>45760</v>
      </c>
      <c r="H62" t="s">
        <v>23</v>
      </c>
      <c r="I62" t="s">
        <v>544</v>
      </c>
      <c r="J62" t="s">
        <v>357</v>
      </c>
      <c r="K62">
        <v>8002.56</v>
      </c>
    </row>
    <row r="63" spans="1:11" x14ac:dyDescent="0.45">
      <c r="A63" t="s">
        <v>545</v>
      </c>
      <c r="B63" t="s">
        <v>546</v>
      </c>
      <c r="C63" t="s">
        <v>380</v>
      </c>
      <c r="D63" t="s">
        <v>16</v>
      </c>
      <c r="E63">
        <v>47</v>
      </c>
      <c r="F63">
        <v>83.46</v>
      </c>
      <c r="G63" s="2">
        <v>45716</v>
      </c>
      <c r="H63" t="s">
        <v>31</v>
      </c>
      <c r="I63" t="s">
        <v>547</v>
      </c>
      <c r="J63" t="s">
        <v>352</v>
      </c>
      <c r="K63">
        <v>3922.62</v>
      </c>
    </row>
    <row r="64" spans="1:11" hidden="1" x14ac:dyDescent="0.45">
      <c r="A64" t="s">
        <v>548</v>
      </c>
      <c r="B64" t="s">
        <v>549</v>
      </c>
      <c r="C64" t="s">
        <v>425</v>
      </c>
      <c r="D64" t="s">
        <v>20</v>
      </c>
      <c r="E64">
        <v>36</v>
      </c>
      <c r="F64">
        <v>98.53</v>
      </c>
      <c r="G64" s="2">
        <v>45733</v>
      </c>
      <c r="H64" t="s">
        <v>23</v>
      </c>
      <c r="I64" t="s">
        <v>550</v>
      </c>
      <c r="J64" t="s">
        <v>362</v>
      </c>
      <c r="K64">
        <v>3547.08</v>
      </c>
    </row>
    <row r="65" spans="1:11" hidden="1" x14ac:dyDescent="0.45">
      <c r="A65" t="s">
        <v>551</v>
      </c>
      <c r="B65" t="s">
        <v>552</v>
      </c>
      <c r="C65" t="s">
        <v>355</v>
      </c>
      <c r="D65" t="s">
        <v>24</v>
      </c>
      <c r="E65">
        <v>85</v>
      </c>
      <c r="F65">
        <v>192.88</v>
      </c>
      <c r="G65" s="2">
        <v>45760</v>
      </c>
      <c r="H65" t="s">
        <v>31</v>
      </c>
      <c r="I65" t="s">
        <v>553</v>
      </c>
      <c r="J65" t="s">
        <v>357</v>
      </c>
      <c r="K65">
        <v>16394.8</v>
      </c>
    </row>
    <row r="66" spans="1:11" hidden="1" x14ac:dyDescent="0.45">
      <c r="A66" t="s">
        <v>554</v>
      </c>
      <c r="B66" t="s">
        <v>555</v>
      </c>
      <c r="C66" t="s">
        <v>425</v>
      </c>
      <c r="D66" t="s">
        <v>16</v>
      </c>
      <c r="E66">
        <v>37</v>
      </c>
      <c r="F66">
        <v>22.16</v>
      </c>
      <c r="G66" s="2">
        <v>45665</v>
      </c>
      <c r="H66" t="s">
        <v>15</v>
      </c>
      <c r="I66" t="s">
        <v>556</v>
      </c>
      <c r="J66" t="s">
        <v>362</v>
      </c>
      <c r="K66">
        <v>819.92</v>
      </c>
    </row>
    <row r="67" spans="1:11" hidden="1" x14ac:dyDescent="0.45">
      <c r="A67" t="s">
        <v>557</v>
      </c>
      <c r="B67" t="s">
        <v>558</v>
      </c>
      <c r="C67" t="s">
        <v>465</v>
      </c>
      <c r="D67" t="s">
        <v>24</v>
      </c>
      <c r="E67">
        <v>71</v>
      </c>
      <c r="F67">
        <v>84.37</v>
      </c>
      <c r="G67" s="2">
        <v>45648</v>
      </c>
      <c r="H67" t="s">
        <v>23</v>
      </c>
      <c r="I67" t="s">
        <v>559</v>
      </c>
      <c r="J67" t="s">
        <v>362</v>
      </c>
      <c r="K67">
        <v>5990.27</v>
      </c>
    </row>
    <row r="68" spans="1:11" x14ac:dyDescent="0.45">
      <c r="A68" t="s">
        <v>560</v>
      </c>
      <c r="B68" t="s">
        <v>561</v>
      </c>
      <c r="C68" t="s">
        <v>360</v>
      </c>
      <c r="D68" t="s">
        <v>32</v>
      </c>
      <c r="E68">
        <v>90</v>
      </c>
      <c r="F68">
        <v>41.64</v>
      </c>
      <c r="G68" s="2">
        <v>45806</v>
      </c>
      <c r="H68" t="s">
        <v>15</v>
      </c>
      <c r="I68" t="s">
        <v>562</v>
      </c>
      <c r="J68" t="s">
        <v>352</v>
      </c>
      <c r="K68">
        <v>3747.6</v>
      </c>
    </row>
    <row r="69" spans="1:11" hidden="1" x14ac:dyDescent="0.45">
      <c r="A69" t="s">
        <v>563</v>
      </c>
      <c r="B69" t="s">
        <v>564</v>
      </c>
      <c r="C69" t="s">
        <v>406</v>
      </c>
      <c r="D69" t="s">
        <v>16</v>
      </c>
      <c r="E69">
        <v>8</v>
      </c>
      <c r="F69">
        <v>42.01</v>
      </c>
      <c r="G69" s="2">
        <v>45761</v>
      </c>
      <c r="H69" t="s">
        <v>19</v>
      </c>
      <c r="I69" t="s">
        <v>565</v>
      </c>
      <c r="J69" t="s">
        <v>357</v>
      </c>
      <c r="K69">
        <v>336.08</v>
      </c>
    </row>
    <row r="70" spans="1:11" hidden="1" x14ac:dyDescent="0.45">
      <c r="A70" t="s">
        <v>566</v>
      </c>
      <c r="B70" t="s">
        <v>567</v>
      </c>
      <c r="C70" t="s">
        <v>425</v>
      </c>
      <c r="D70" t="s">
        <v>24</v>
      </c>
      <c r="E70">
        <v>99</v>
      </c>
      <c r="F70">
        <v>144.76</v>
      </c>
      <c r="G70" s="2">
        <v>45643</v>
      </c>
      <c r="H70" t="s">
        <v>23</v>
      </c>
      <c r="I70" t="s">
        <v>568</v>
      </c>
      <c r="J70" t="s">
        <v>362</v>
      </c>
      <c r="K70">
        <v>14331.24</v>
      </c>
    </row>
    <row r="71" spans="1:11" hidden="1" x14ac:dyDescent="0.45">
      <c r="A71" t="s">
        <v>569</v>
      </c>
      <c r="B71" t="s">
        <v>570</v>
      </c>
      <c r="C71" t="s">
        <v>355</v>
      </c>
      <c r="D71" t="s">
        <v>20</v>
      </c>
      <c r="E71">
        <v>80</v>
      </c>
      <c r="F71">
        <v>97.19</v>
      </c>
      <c r="G71" s="2">
        <v>45712</v>
      </c>
      <c r="H71" t="s">
        <v>31</v>
      </c>
      <c r="I71" t="s">
        <v>571</v>
      </c>
      <c r="J71" t="s">
        <v>357</v>
      </c>
      <c r="K71">
        <v>7775.2</v>
      </c>
    </row>
    <row r="72" spans="1:11" x14ac:dyDescent="0.45">
      <c r="A72" t="s">
        <v>572</v>
      </c>
      <c r="B72" t="s">
        <v>573</v>
      </c>
      <c r="C72" t="s">
        <v>425</v>
      </c>
      <c r="D72" t="s">
        <v>16</v>
      </c>
      <c r="E72">
        <v>84</v>
      </c>
      <c r="F72">
        <v>57.09</v>
      </c>
      <c r="G72" s="2">
        <v>45707</v>
      </c>
      <c r="H72" t="s">
        <v>23</v>
      </c>
      <c r="I72" t="s">
        <v>574</v>
      </c>
      <c r="J72" t="s">
        <v>374</v>
      </c>
      <c r="K72">
        <v>4795.5600000000004</v>
      </c>
    </row>
    <row r="73" spans="1:11" x14ac:dyDescent="0.45">
      <c r="A73" t="s">
        <v>575</v>
      </c>
      <c r="B73" t="s">
        <v>576</v>
      </c>
      <c r="C73" t="s">
        <v>350</v>
      </c>
      <c r="D73" t="s">
        <v>16</v>
      </c>
      <c r="E73">
        <v>21</v>
      </c>
      <c r="F73">
        <v>166.57</v>
      </c>
      <c r="G73" s="2">
        <v>45767</v>
      </c>
      <c r="H73" t="s">
        <v>19</v>
      </c>
      <c r="I73" t="s">
        <v>577</v>
      </c>
      <c r="J73" t="s">
        <v>374</v>
      </c>
      <c r="K73">
        <v>3497.97</v>
      </c>
    </row>
    <row r="74" spans="1:11" hidden="1" x14ac:dyDescent="0.45">
      <c r="A74" t="s">
        <v>578</v>
      </c>
      <c r="B74" t="s">
        <v>579</v>
      </c>
      <c r="C74" t="s">
        <v>355</v>
      </c>
      <c r="D74" t="s">
        <v>16</v>
      </c>
      <c r="E74">
        <v>2</v>
      </c>
      <c r="F74">
        <v>191.48</v>
      </c>
      <c r="G74" s="2">
        <v>45760</v>
      </c>
      <c r="H74" t="s">
        <v>23</v>
      </c>
      <c r="I74" t="s">
        <v>580</v>
      </c>
      <c r="J74" t="s">
        <v>357</v>
      </c>
      <c r="K74">
        <v>382.96</v>
      </c>
    </row>
    <row r="75" spans="1:11" x14ac:dyDescent="0.45">
      <c r="A75" t="s">
        <v>581</v>
      </c>
      <c r="B75" t="s">
        <v>582</v>
      </c>
      <c r="C75" t="s">
        <v>372</v>
      </c>
      <c r="D75" t="s">
        <v>16</v>
      </c>
      <c r="E75">
        <v>44</v>
      </c>
      <c r="F75">
        <v>83.28</v>
      </c>
      <c r="G75" s="2">
        <v>45757</v>
      </c>
      <c r="H75" t="s">
        <v>15</v>
      </c>
      <c r="I75" t="s">
        <v>583</v>
      </c>
      <c r="J75" t="s">
        <v>352</v>
      </c>
      <c r="K75">
        <v>3664.32</v>
      </c>
    </row>
    <row r="76" spans="1:11" x14ac:dyDescent="0.45">
      <c r="A76" t="s">
        <v>584</v>
      </c>
      <c r="B76" t="s">
        <v>585</v>
      </c>
      <c r="C76" t="s">
        <v>380</v>
      </c>
      <c r="D76" t="s">
        <v>43</v>
      </c>
      <c r="E76">
        <v>9</v>
      </c>
      <c r="F76">
        <v>32.1</v>
      </c>
      <c r="G76" s="2">
        <v>45803</v>
      </c>
      <c r="H76" t="s">
        <v>19</v>
      </c>
      <c r="I76" t="s">
        <v>547</v>
      </c>
      <c r="J76" t="s">
        <v>374</v>
      </c>
      <c r="K76">
        <v>288.89999999999998</v>
      </c>
    </row>
    <row r="77" spans="1:11" x14ac:dyDescent="0.45">
      <c r="A77" t="s">
        <v>586</v>
      </c>
      <c r="B77" t="s">
        <v>587</v>
      </c>
      <c r="C77" t="s">
        <v>390</v>
      </c>
      <c r="D77" t="s">
        <v>43</v>
      </c>
      <c r="E77">
        <v>85</v>
      </c>
      <c r="F77">
        <v>141.59</v>
      </c>
      <c r="G77" s="2">
        <v>45714</v>
      </c>
      <c r="H77" t="s">
        <v>23</v>
      </c>
      <c r="I77" t="s">
        <v>588</v>
      </c>
      <c r="J77" t="s">
        <v>374</v>
      </c>
      <c r="K77">
        <v>12035.15</v>
      </c>
    </row>
    <row r="78" spans="1:11" hidden="1" x14ac:dyDescent="0.45">
      <c r="A78" t="s">
        <v>589</v>
      </c>
      <c r="B78" t="s">
        <v>590</v>
      </c>
      <c r="C78" t="s">
        <v>390</v>
      </c>
      <c r="D78" t="s">
        <v>20</v>
      </c>
      <c r="E78">
        <v>64</v>
      </c>
      <c r="F78">
        <v>38.28</v>
      </c>
      <c r="G78" s="2">
        <v>45704</v>
      </c>
      <c r="H78" t="s">
        <v>15</v>
      </c>
      <c r="I78" t="s">
        <v>591</v>
      </c>
      <c r="J78" t="s">
        <v>362</v>
      </c>
      <c r="K78">
        <v>2449.92</v>
      </c>
    </row>
    <row r="79" spans="1:11" x14ac:dyDescent="0.45">
      <c r="A79" t="s">
        <v>592</v>
      </c>
      <c r="B79" t="s">
        <v>593</v>
      </c>
      <c r="C79" t="s">
        <v>360</v>
      </c>
      <c r="D79" t="s">
        <v>24</v>
      </c>
      <c r="E79">
        <v>23</v>
      </c>
      <c r="F79">
        <v>101.57</v>
      </c>
      <c r="G79" s="2">
        <v>45675</v>
      </c>
      <c r="H79" t="s">
        <v>19</v>
      </c>
      <c r="I79" t="s">
        <v>594</v>
      </c>
      <c r="J79" t="s">
        <v>352</v>
      </c>
      <c r="K79">
        <v>2336.11</v>
      </c>
    </row>
    <row r="80" spans="1:11" hidden="1" x14ac:dyDescent="0.45">
      <c r="A80" t="s">
        <v>595</v>
      </c>
      <c r="B80" t="s">
        <v>596</v>
      </c>
      <c r="C80" t="s">
        <v>406</v>
      </c>
      <c r="D80" t="s">
        <v>43</v>
      </c>
      <c r="E80">
        <v>10</v>
      </c>
      <c r="F80">
        <v>16.45</v>
      </c>
      <c r="G80" s="2">
        <v>45701</v>
      </c>
      <c r="H80" t="s">
        <v>15</v>
      </c>
      <c r="I80" t="s">
        <v>597</v>
      </c>
      <c r="J80" t="s">
        <v>362</v>
      </c>
      <c r="K80">
        <v>164.5</v>
      </c>
    </row>
    <row r="81" spans="1:11" x14ac:dyDescent="0.45">
      <c r="A81" t="s">
        <v>598</v>
      </c>
      <c r="B81" t="s">
        <v>599</v>
      </c>
      <c r="C81" t="s">
        <v>360</v>
      </c>
      <c r="D81" t="s">
        <v>16</v>
      </c>
      <c r="E81">
        <v>97</v>
      </c>
      <c r="F81">
        <v>142.36000000000001</v>
      </c>
      <c r="G81" s="2">
        <v>45678</v>
      </c>
      <c r="H81" t="s">
        <v>31</v>
      </c>
      <c r="I81" t="s">
        <v>600</v>
      </c>
      <c r="J81" t="s">
        <v>374</v>
      </c>
      <c r="K81">
        <v>13808.92</v>
      </c>
    </row>
    <row r="82" spans="1:11" hidden="1" x14ac:dyDescent="0.45">
      <c r="A82" t="s">
        <v>601</v>
      </c>
      <c r="B82" t="s">
        <v>602</v>
      </c>
      <c r="C82" t="s">
        <v>390</v>
      </c>
      <c r="D82" t="s">
        <v>24</v>
      </c>
      <c r="E82">
        <v>10</v>
      </c>
      <c r="F82">
        <v>52.03</v>
      </c>
      <c r="G82" s="2">
        <v>45776</v>
      </c>
      <c r="H82" t="s">
        <v>19</v>
      </c>
      <c r="I82" t="s">
        <v>603</v>
      </c>
      <c r="J82" t="s">
        <v>362</v>
      </c>
      <c r="K82">
        <v>520.29999999999995</v>
      </c>
    </row>
    <row r="83" spans="1:11" x14ac:dyDescent="0.45">
      <c r="A83" t="s">
        <v>604</v>
      </c>
      <c r="B83" t="s">
        <v>605</v>
      </c>
      <c r="C83" t="s">
        <v>390</v>
      </c>
      <c r="D83" t="s">
        <v>43</v>
      </c>
      <c r="E83">
        <v>56</v>
      </c>
      <c r="F83">
        <v>178.76</v>
      </c>
      <c r="G83" s="2">
        <v>45705</v>
      </c>
      <c r="H83" t="s">
        <v>23</v>
      </c>
      <c r="I83" t="s">
        <v>606</v>
      </c>
      <c r="J83" t="s">
        <v>374</v>
      </c>
      <c r="K83">
        <v>10010.56</v>
      </c>
    </row>
    <row r="84" spans="1:11" x14ac:dyDescent="0.45">
      <c r="A84" t="s">
        <v>607</v>
      </c>
      <c r="B84" t="s">
        <v>608</v>
      </c>
      <c r="C84" t="s">
        <v>425</v>
      </c>
      <c r="D84" t="s">
        <v>24</v>
      </c>
      <c r="E84">
        <v>8</v>
      </c>
      <c r="F84">
        <v>20.38</v>
      </c>
      <c r="G84" s="2">
        <v>45703</v>
      </c>
      <c r="H84" t="s">
        <v>23</v>
      </c>
      <c r="I84" t="s">
        <v>609</v>
      </c>
      <c r="J84" t="s">
        <v>352</v>
      </c>
      <c r="K84">
        <v>163.04</v>
      </c>
    </row>
    <row r="85" spans="1:11" x14ac:dyDescent="0.45">
      <c r="A85" t="s">
        <v>610</v>
      </c>
      <c r="B85" t="s">
        <v>611</v>
      </c>
      <c r="C85" t="s">
        <v>390</v>
      </c>
      <c r="D85" t="s">
        <v>32</v>
      </c>
      <c r="E85">
        <v>81</v>
      </c>
      <c r="F85">
        <v>55.47</v>
      </c>
      <c r="G85" s="2">
        <v>45719</v>
      </c>
      <c r="H85" t="s">
        <v>23</v>
      </c>
      <c r="I85" t="s">
        <v>612</v>
      </c>
      <c r="J85" t="s">
        <v>352</v>
      </c>
      <c r="K85">
        <v>4493.07</v>
      </c>
    </row>
    <row r="86" spans="1:11" x14ac:dyDescent="0.45">
      <c r="A86" t="s">
        <v>613</v>
      </c>
      <c r="B86" t="s">
        <v>614</v>
      </c>
      <c r="C86" t="s">
        <v>360</v>
      </c>
      <c r="D86" t="s">
        <v>16</v>
      </c>
      <c r="E86">
        <v>73</v>
      </c>
      <c r="F86">
        <v>63.35</v>
      </c>
      <c r="G86" s="2">
        <v>45763</v>
      </c>
      <c r="H86" t="s">
        <v>15</v>
      </c>
      <c r="I86" t="s">
        <v>615</v>
      </c>
      <c r="J86" t="s">
        <v>352</v>
      </c>
      <c r="K86">
        <v>4624.55</v>
      </c>
    </row>
    <row r="87" spans="1:11" x14ac:dyDescent="0.45">
      <c r="A87" t="s">
        <v>616</v>
      </c>
      <c r="B87" t="s">
        <v>617</v>
      </c>
      <c r="C87" t="s">
        <v>360</v>
      </c>
      <c r="D87" t="s">
        <v>24</v>
      </c>
      <c r="E87">
        <v>74</v>
      </c>
      <c r="F87">
        <v>153.09</v>
      </c>
      <c r="G87" s="2">
        <v>45631</v>
      </c>
      <c r="H87" t="s">
        <v>31</v>
      </c>
      <c r="I87" t="s">
        <v>618</v>
      </c>
      <c r="J87" t="s">
        <v>374</v>
      </c>
      <c r="K87">
        <v>11328.66</v>
      </c>
    </row>
    <row r="88" spans="1:11" x14ac:dyDescent="0.45">
      <c r="A88" t="s">
        <v>619</v>
      </c>
      <c r="B88" t="s">
        <v>620</v>
      </c>
      <c r="C88" t="s">
        <v>360</v>
      </c>
      <c r="D88" t="s">
        <v>24</v>
      </c>
      <c r="E88">
        <v>1</v>
      </c>
      <c r="F88">
        <v>188.87</v>
      </c>
      <c r="G88" s="2">
        <v>45682</v>
      </c>
      <c r="H88" t="s">
        <v>23</v>
      </c>
      <c r="I88" t="s">
        <v>621</v>
      </c>
      <c r="J88" t="s">
        <v>352</v>
      </c>
      <c r="K88">
        <v>188.87</v>
      </c>
    </row>
    <row r="89" spans="1:11" hidden="1" x14ac:dyDescent="0.45">
      <c r="A89" t="s">
        <v>622</v>
      </c>
      <c r="B89" t="s">
        <v>623</v>
      </c>
      <c r="C89" t="s">
        <v>425</v>
      </c>
      <c r="D89" t="s">
        <v>32</v>
      </c>
      <c r="E89">
        <v>67</v>
      </c>
      <c r="F89">
        <v>106.57</v>
      </c>
      <c r="G89" s="2">
        <v>45687</v>
      </c>
      <c r="H89" t="s">
        <v>23</v>
      </c>
      <c r="I89" t="s">
        <v>624</v>
      </c>
      <c r="J89" t="s">
        <v>357</v>
      </c>
      <c r="K89">
        <v>7140.19</v>
      </c>
    </row>
    <row r="90" spans="1:11" hidden="1" x14ac:dyDescent="0.45">
      <c r="A90" t="s">
        <v>625</v>
      </c>
      <c r="B90" t="s">
        <v>626</v>
      </c>
      <c r="C90" t="s">
        <v>380</v>
      </c>
      <c r="D90" t="s">
        <v>32</v>
      </c>
      <c r="E90">
        <v>88</v>
      </c>
      <c r="F90">
        <v>129.12</v>
      </c>
      <c r="G90" s="2">
        <v>45709</v>
      </c>
      <c r="H90" t="s">
        <v>23</v>
      </c>
      <c r="I90" t="s">
        <v>627</v>
      </c>
      <c r="J90" t="s">
        <v>362</v>
      </c>
      <c r="K90">
        <v>11362.56</v>
      </c>
    </row>
    <row r="91" spans="1:11" hidden="1" x14ac:dyDescent="0.45">
      <c r="A91" t="s">
        <v>628</v>
      </c>
      <c r="B91" t="s">
        <v>629</v>
      </c>
      <c r="C91" t="s">
        <v>425</v>
      </c>
      <c r="D91" t="s">
        <v>20</v>
      </c>
      <c r="E91">
        <v>48</v>
      </c>
      <c r="F91">
        <v>114.29</v>
      </c>
      <c r="G91" s="2">
        <v>45752</v>
      </c>
      <c r="H91" t="s">
        <v>23</v>
      </c>
      <c r="I91" t="s">
        <v>630</v>
      </c>
      <c r="J91" t="s">
        <v>357</v>
      </c>
      <c r="K91">
        <v>5485.92</v>
      </c>
    </row>
    <row r="92" spans="1:11" hidden="1" x14ac:dyDescent="0.45">
      <c r="A92" t="s">
        <v>631</v>
      </c>
      <c r="B92" t="s">
        <v>632</v>
      </c>
      <c r="C92" t="s">
        <v>350</v>
      </c>
      <c r="D92" t="s">
        <v>43</v>
      </c>
      <c r="E92">
        <v>50</v>
      </c>
      <c r="F92">
        <v>79.510000000000005</v>
      </c>
      <c r="G92" s="2">
        <v>45724</v>
      </c>
      <c r="H92" t="s">
        <v>19</v>
      </c>
      <c r="I92" t="s">
        <v>633</v>
      </c>
      <c r="J92" t="s">
        <v>357</v>
      </c>
      <c r="K92">
        <v>3975.5</v>
      </c>
    </row>
    <row r="93" spans="1:11" x14ac:dyDescent="0.45">
      <c r="A93" t="s">
        <v>634</v>
      </c>
      <c r="B93" t="s">
        <v>635</v>
      </c>
      <c r="C93" t="s">
        <v>380</v>
      </c>
      <c r="D93" t="s">
        <v>20</v>
      </c>
      <c r="E93">
        <v>74</v>
      </c>
      <c r="F93">
        <v>75.63</v>
      </c>
      <c r="G93" s="2">
        <v>45671</v>
      </c>
      <c r="H93" t="s">
        <v>15</v>
      </c>
      <c r="I93" t="s">
        <v>636</v>
      </c>
      <c r="J93" t="s">
        <v>374</v>
      </c>
      <c r="K93">
        <v>5596.62</v>
      </c>
    </row>
    <row r="94" spans="1:11" hidden="1" x14ac:dyDescent="0.45">
      <c r="A94" t="s">
        <v>637</v>
      </c>
      <c r="B94" t="s">
        <v>638</v>
      </c>
      <c r="C94" t="s">
        <v>380</v>
      </c>
      <c r="D94" t="s">
        <v>32</v>
      </c>
      <c r="E94">
        <v>96</v>
      </c>
      <c r="F94">
        <v>10.199999999999999</v>
      </c>
      <c r="G94" s="2">
        <v>45657</v>
      </c>
      <c r="H94" t="s">
        <v>19</v>
      </c>
      <c r="I94" t="s">
        <v>639</v>
      </c>
      <c r="J94" t="s">
        <v>357</v>
      </c>
      <c r="K94">
        <v>979.2</v>
      </c>
    </row>
    <row r="95" spans="1:11" hidden="1" x14ac:dyDescent="0.45">
      <c r="A95" t="s">
        <v>640</v>
      </c>
      <c r="B95" t="s">
        <v>641</v>
      </c>
      <c r="C95" t="s">
        <v>406</v>
      </c>
      <c r="D95" t="s">
        <v>16</v>
      </c>
      <c r="E95">
        <v>26</v>
      </c>
      <c r="F95">
        <v>174.5</v>
      </c>
      <c r="G95" s="2">
        <v>45752</v>
      </c>
      <c r="H95" t="s">
        <v>23</v>
      </c>
      <c r="I95" t="s">
        <v>642</v>
      </c>
      <c r="J95" t="s">
        <v>357</v>
      </c>
      <c r="K95">
        <v>4537</v>
      </c>
    </row>
    <row r="96" spans="1:11" x14ac:dyDescent="0.45">
      <c r="A96" t="s">
        <v>643</v>
      </c>
      <c r="B96" t="s">
        <v>644</v>
      </c>
      <c r="C96" t="s">
        <v>368</v>
      </c>
      <c r="D96" t="s">
        <v>16</v>
      </c>
      <c r="E96">
        <v>61</v>
      </c>
      <c r="F96">
        <v>158.31</v>
      </c>
      <c r="G96" s="2">
        <v>45631</v>
      </c>
      <c r="H96" t="s">
        <v>19</v>
      </c>
      <c r="I96" t="s">
        <v>645</v>
      </c>
      <c r="J96" t="s">
        <v>374</v>
      </c>
      <c r="K96">
        <v>9656.91</v>
      </c>
    </row>
    <row r="97" spans="1:11" x14ac:dyDescent="0.45">
      <c r="A97" t="s">
        <v>646</v>
      </c>
      <c r="B97" t="s">
        <v>647</v>
      </c>
      <c r="C97" t="s">
        <v>350</v>
      </c>
      <c r="D97" t="s">
        <v>16</v>
      </c>
      <c r="E97">
        <v>11</v>
      </c>
      <c r="F97">
        <v>84.67</v>
      </c>
      <c r="G97" s="2">
        <v>45791</v>
      </c>
      <c r="H97" t="s">
        <v>23</v>
      </c>
      <c r="I97" t="s">
        <v>648</v>
      </c>
      <c r="J97" t="s">
        <v>374</v>
      </c>
      <c r="K97">
        <v>931.37</v>
      </c>
    </row>
    <row r="98" spans="1:11" hidden="1" x14ac:dyDescent="0.45">
      <c r="A98" t="s">
        <v>649</v>
      </c>
      <c r="B98" t="s">
        <v>650</v>
      </c>
      <c r="C98" t="s">
        <v>380</v>
      </c>
      <c r="D98" t="s">
        <v>32</v>
      </c>
      <c r="E98">
        <v>27</v>
      </c>
      <c r="F98">
        <v>68.84</v>
      </c>
      <c r="G98" s="2">
        <v>45797</v>
      </c>
      <c r="H98" t="s">
        <v>31</v>
      </c>
      <c r="I98" t="s">
        <v>651</v>
      </c>
      <c r="J98" t="s">
        <v>362</v>
      </c>
      <c r="K98">
        <v>1858.68</v>
      </c>
    </row>
    <row r="99" spans="1:11" x14ac:dyDescent="0.45">
      <c r="A99" t="s">
        <v>652</v>
      </c>
      <c r="B99" t="s">
        <v>653</v>
      </c>
      <c r="C99" t="s">
        <v>425</v>
      </c>
      <c r="D99" t="s">
        <v>32</v>
      </c>
      <c r="E99">
        <v>37</v>
      </c>
      <c r="F99">
        <v>38.31</v>
      </c>
      <c r="G99" s="2">
        <v>45644</v>
      </c>
      <c r="H99" t="s">
        <v>19</v>
      </c>
      <c r="I99" t="s">
        <v>654</v>
      </c>
      <c r="J99" t="s">
        <v>352</v>
      </c>
      <c r="K99">
        <v>1417.47</v>
      </c>
    </row>
    <row r="100" spans="1:11" x14ac:dyDescent="0.45">
      <c r="A100" t="s">
        <v>655</v>
      </c>
      <c r="B100" t="s">
        <v>656</v>
      </c>
      <c r="C100" t="s">
        <v>465</v>
      </c>
      <c r="D100" t="s">
        <v>16</v>
      </c>
      <c r="E100">
        <v>77</v>
      </c>
      <c r="F100">
        <v>131.47</v>
      </c>
      <c r="G100" s="2">
        <v>45688</v>
      </c>
      <c r="H100" t="s">
        <v>23</v>
      </c>
      <c r="I100" t="s">
        <v>657</v>
      </c>
      <c r="J100" t="s">
        <v>352</v>
      </c>
      <c r="K100">
        <v>10123.19</v>
      </c>
    </row>
    <row r="101" spans="1:11" hidden="1" x14ac:dyDescent="0.45">
      <c r="A101" t="s">
        <v>658</v>
      </c>
      <c r="B101" t="s">
        <v>659</v>
      </c>
      <c r="C101" t="s">
        <v>372</v>
      </c>
      <c r="D101" t="s">
        <v>16</v>
      </c>
      <c r="E101">
        <v>64</v>
      </c>
      <c r="F101">
        <v>182.84</v>
      </c>
      <c r="G101" s="2">
        <v>45629</v>
      </c>
      <c r="H101" t="s">
        <v>23</v>
      </c>
      <c r="I101" t="s">
        <v>660</v>
      </c>
      <c r="J101" t="s">
        <v>357</v>
      </c>
      <c r="K101">
        <v>11701.76</v>
      </c>
    </row>
    <row r="102" spans="1:11" x14ac:dyDescent="0.45">
      <c r="A102" t="s">
        <v>661</v>
      </c>
      <c r="B102" t="s">
        <v>662</v>
      </c>
      <c r="C102" t="s">
        <v>406</v>
      </c>
      <c r="D102" t="s">
        <v>32</v>
      </c>
      <c r="E102">
        <v>4</v>
      </c>
      <c r="F102">
        <v>197.91</v>
      </c>
      <c r="G102" s="2">
        <v>45772</v>
      </c>
      <c r="H102" t="s">
        <v>19</v>
      </c>
      <c r="I102" t="s">
        <v>663</v>
      </c>
      <c r="J102" t="s">
        <v>374</v>
      </c>
      <c r="K102">
        <v>791.64</v>
      </c>
    </row>
    <row r="103" spans="1:11" x14ac:dyDescent="0.45">
      <c r="A103" t="s">
        <v>664</v>
      </c>
      <c r="B103" t="s">
        <v>665</v>
      </c>
      <c r="C103" t="s">
        <v>380</v>
      </c>
      <c r="D103" t="s">
        <v>16</v>
      </c>
      <c r="E103">
        <v>74</v>
      </c>
      <c r="F103">
        <v>169.26</v>
      </c>
      <c r="G103" s="2">
        <v>45785</v>
      </c>
      <c r="H103" t="s">
        <v>31</v>
      </c>
      <c r="I103" t="s">
        <v>666</v>
      </c>
      <c r="J103" t="s">
        <v>374</v>
      </c>
      <c r="K103">
        <v>12525.24</v>
      </c>
    </row>
    <row r="104" spans="1:11" x14ac:dyDescent="0.45">
      <c r="A104" t="s">
        <v>667</v>
      </c>
      <c r="B104" t="s">
        <v>668</v>
      </c>
      <c r="C104" t="s">
        <v>465</v>
      </c>
      <c r="D104" t="s">
        <v>16</v>
      </c>
      <c r="E104">
        <v>24</v>
      </c>
      <c r="F104">
        <v>137.28</v>
      </c>
      <c r="G104" s="2">
        <v>45624</v>
      </c>
      <c r="H104" t="s">
        <v>23</v>
      </c>
      <c r="I104" t="s">
        <v>669</v>
      </c>
      <c r="J104" t="s">
        <v>352</v>
      </c>
      <c r="K104">
        <v>3294.72</v>
      </c>
    </row>
    <row r="105" spans="1:11" x14ac:dyDescent="0.45">
      <c r="A105" t="s">
        <v>670</v>
      </c>
      <c r="B105" t="s">
        <v>671</v>
      </c>
      <c r="C105" t="s">
        <v>368</v>
      </c>
      <c r="D105" t="s">
        <v>16</v>
      </c>
      <c r="E105">
        <v>27</v>
      </c>
      <c r="F105">
        <v>89.28</v>
      </c>
      <c r="G105" s="2">
        <v>45768</v>
      </c>
      <c r="H105" t="s">
        <v>19</v>
      </c>
      <c r="I105" t="s">
        <v>672</v>
      </c>
      <c r="J105" t="s">
        <v>374</v>
      </c>
      <c r="K105">
        <v>2410.56</v>
      </c>
    </row>
    <row r="106" spans="1:11" x14ac:dyDescent="0.45">
      <c r="A106" t="s">
        <v>673</v>
      </c>
      <c r="B106" t="s">
        <v>674</v>
      </c>
      <c r="C106" t="s">
        <v>465</v>
      </c>
      <c r="D106" t="s">
        <v>16</v>
      </c>
      <c r="E106">
        <v>88</v>
      </c>
      <c r="F106">
        <v>138.26</v>
      </c>
      <c r="G106" s="2">
        <v>45710</v>
      </c>
      <c r="H106" t="s">
        <v>23</v>
      </c>
      <c r="I106" t="s">
        <v>675</v>
      </c>
      <c r="J106" t="s">
        <v>374</v>
      </c>
      <c r="K106">
        <v>12166.88</v>
      </c>
    </row>
    <row r="107" spans="1:11" hidden="1" x14ac:dyDescent="0.45">
      <c r="A107" t="s">
        <v>676</v>
      </c>
      <c r="B107" t="s">
        <v>677</v>
      </c>
      <c r="C107" t="s">
        <v>350</v>
      </c>
      <c r="D107" t="s">
        <v>32</v>
      </c>
      <c r="E107">
        <v>23</v>
      </c>
      <c r="F107">
        <v>153.46</v>
      </c>
      <c r="G107" s="2">
        <v>45656</v>
      </c>
      <c r="H107" t="s">
        <v>15</v>
      </c>
      <c r="I107" t="s">
        <v>678</v>
      </c>
      <c r="J107" t="s">
        <v>357</v>
      </c>
      <c r="K107">
        <v>3529.58</v>
      </c>
    </row>
    <row r="108" spans="1:11" x14ac:dyDescent="0.45">
      <c r="A108" t="s">
        <v>679</v>
      </c>
      <c r="B108" t="s">
        <v>680</v>
      </c>
      <c r="C108" t="s">
        <v>372</v>
      </c>
      <c r="D108" t="s">
        <v>43</v>
      </c>
      <c r="E108">
        <v>5</v>
      </c>
      <c r="F108">
        <v>86.33</v>
      </c>
      <c r="G108" s="2">
        <v>45693</v>
      </c>
      <c r="H108" t="s">
        <v>31</v>
      </c>
      <c r="I108" t="s">
        <v>681</v>
      </c>
      <c r="J108" t="s">
        <v>374</v>
      </c>
      <c r="K108">
        <v>431.65</v>
      </c>
    </row>
    <row r="109" spans="1:11" hidden="1" x14ac:dyDescent="0.45">
      <c r="A109" t="s">
        <v>682</v>
      </c>
      <c r="B109" t="s">
        <v>683</v>
      </c>
      <c r="C109" t="s">
        <v>390</v>
      </c>
      <c r="D109" t="s">
        <v>32</v>
      </c>
      <c r="E109">
        <v>28</v>
      </c>
      <c r="F109">
        <v>199.47</v>
      </c>
      <c r="G109" s="2">
        <v>45693</v>
      </c>
      <c r="H109" t="s">
        <v>19</v>
      </c>
      <c r="I109" t="s">
        <v>684</v>
      </c>
      <c r="J109" t="s">
        <v>357</v>
      </c>
      <c r="K109">
        <v>5585.16</v>
      </c>
    </row>
    <row r="110" spans="1:11" hidden="1" x14ac:dyDescent="0.45">
      <c r="A110" t="s">
        <v>685</v>
      </c>
      <c r="B110" t="s">
        <v>686</v>
      </c>
      <c r="C110" t="s">
        <v>360</v>
      </c>
      <c r="D110" t="s">
        <v>16</v>
      </c>
      <c r="E110">
        <v>43</v>
      </c>
      <c r="F110">
        <v>23.27</v>
      </c>
      <c r="G110" s="2">
        <v>45683</v>
      </c>
      <c r="H110" t="s">
        <v>19</v>
      </c>
      <c r="I110" t="s">
        <v>687</v>
      </c>
      <c r="J110" t="s">
        <v>362</v>
      </c>
      <c r="K110">
        <v>1000.61</v>
      </c>
    </row>
    <row r="111" spans="1:11" hidden="1" x14ac:dyDescent="0.45">
      <c r="A111" t="s">
        <v>688</v>
      </c>
      <c r="B111" t="s">
        <v>689</v>
      </c>
      <c r="C111" t="s">
        <v>465</v>
      </c>
      <c r="D111" t="s">
        <v>20</v>
      </c>
      <c r="E111">
        <v>42</v>
      </c>
      <c r="F111">
        <v>195.09</v>
      </c>
      <c r="G111" s="2">
        <v>45646</v>
      </c>
      <c r="H111" t="s">
        <v>23</v>
      </c>
      <c r="I111" t="s">
        <v>690</v>
      </c>
      <c r="J111" t="s">
        <v>357</v>
      </c>
      <c r="K111">
        <v>8193.7800000000007</v>
      </c>
    </row>
    <row r="112" spans="1:11" hidden="1" x14ac:dyDescent="0.45">
      <c r="A112" t="s">
        <v>691</v>
      </c>
      <c r="B112" t="s">
        <v>692</v>
      </c>
      <c r="C112" t="s">
        <v>380</v>
      </c>
      <c r="D112" t="s">
        <v>32</v>
      </c>
      <c r="E112">
        <v>3</v>
      </c>
      <c r="F112">
        <v>69.17</v>
      </c>
      <c r="G112" s="2">
        <v>45759</v>
      </c>
      <c r="H112" t="s">
        <v>15</v>
      </c>
      <c r="I112" t="s">
        <v>693</v>
      </c>
      <c r="J112" t="s">
        <v>362</v>
      </c>
      <c r="K112">
        <v>207.51</v>
      </c>
    </row>
    <row r="113" spans="1:11" hidden="1" x14ac:dyDescent="0.45">
      <c r="A113" t="s">
        <v>694</v>
      </c>
      <c r="B113" t="s">
        <v>695</v>
      </c>
      <c r="C113" t="s">
        <v>406</v>
      </c>
      <c r="D113" t="s">
        <v>16</v>
      </c>
      <c r="E113">
        <v>96</v>
      </c>
      <c r="F113">
        <v>51.61</v>
      </c>
      <c r="G113" s="2">
        <v>45683</v>
      </c>
      <c r="H113" t="s">
        <v>31</v>
      </c>
      <c r="I113" t="s">
        <v>696</v>
      </c>
      <c r="J113" t="s">
        <v>357</v>
      </c>
      <c r="K113">
        <v>4954.5600000000004</v>
      </c>
    </row>
    <row r="114" spans="1:11" x14ac:dyDescent="0.45">
      <c r="A114" t="s">
        <v>697</v>
      </c>
      <c r="B114" t="s">
        <v>698</v>
      </c>
      <c r="C114" t="s">
        <v>406</v>
      </c>
      <c r="D114" t="s">
        <v>32</v>
      </c>
      <c r="E114">
        <v>26</v>
      </c>
      <c r="F114">
        <v>61.44</v>
      </c>
      <c r="G114" s="2">
        <v>45653</v>
      </c>
      <c r="H114" t="s">
        <v>31</v>
      </c>
      <c r="I114" t="s">
        <v>699</v>
      </c>
      <c r="J114" t="s">
        <v>374</v>
      </c>
      <c r="K114">
        <v>1597.44</v>
      </c>
    </row>
    <row r="115" spans="1:11" hidden="1" x14ac:dyDescent="0.45">
      <c r="A115" t="s">
        <v>700</v>
      </c>
      <c r="B115" t="s">
        <v>701</v>
      </c>
      <c r="C115" t="s">
        <v>355</v>
      </c>
      <c r="D115" t="s">
        <v>43</v>
      </c>
      <c r="E115">
        <v>47</v>
      </c>
      <c r="F115">
        <v>46.33</v>
      </c>
      <c r="G115" s="2">
        <v>45636</v>
      </c>
      <c r="H115" t="s">
        <v>31</v>
      </c>
      <c r="I115" t="s">
        <v>702</v>
      </c>
      <c r="J115" t="s">
        <v>362</v>
      </c>
      <c r="K115">
        <v>2177.5100000000002</v>
      </c>
    </row>
    <row r="116" spans="1:11" hidden="1" x14ac:dyDescent="0.45">
      <c r="A116" t="s">
        <v>703</v>
      </c>
      <c r="B116" t="s">
        <v>704</v>
      </c>
      <c r="C116" t="s">
        <v>406</v>
      </c>
      <c r="D116" t="s">
        <v>43</v>
      </c>
      <c r="E116">
        <v>23</v>
      </c>
      <c r="F116">
        <v>136.19999999999999</v>
      </c>
      <c r="G116" s="2">
        <v>45680</v>
      </c>
      <c r="H116" t="s">
        <v>19</v>
      </c>
      <c r="I116" t="s">
        <v>705</v>
      </c>
      <c r="J116" t="s">
        <v>357</v>
      </c>
      <c r="K116">
        <v>3132.6</v>
      </c>
    </row>
    <row r="117" spans="1:11" x14ac:dyDescent="0.45">
      <c r="A117" t="s">
        <v>706</v>
      </c>
      <c r="B117" t="s">
        <v>707</v>
      </c>
      <c r="C117" t="s">
        <v>372</v>
      </c>
      <c r="D117" t="s">
        <v>16</v>
      </c>
      <c r="E117">
        <v>52</v>
      </c>
      <c r="F117">
        <v>58.56</v>
      </c>
      <c r="G117" s="2">
        <v>45642</v>
      </c>
      <c r="H117" t="s">
        <v>15</v>
      </c>
      <c r="I117" t="s">
        <v>708</v>
      </c>
      <c r="J117" t="s">
        <v>352</v>
      </c>
      <c r="K117">
        <v>3045.12</v>
      </c>
    </row>
    <row r="118" spans="1:11" hidden="1" x14ac:dyDescent="0.45">
      <c r="A118" t="s">
        <v>709</v>
      </c>
      <c r="B118" t="s">
        <v>710</v>
      </c>
      <c r="C118" t="s">
        <v>355</v>
      </c>
      <c r="D118" t="s">
        <v>32</v>
      </c>
      <c r="E118">
        <v>26</v>
      </c>
      <c r="F118">
        <v>115.82</v>
      </c>
      <c r="G118" s="2">
        <v>45653</v>
      </c>
      <c r="H118" t="s">
        <v>19</v>
      </c>
      <c r="I118" t="s">
        <v>711</v>
      </c>
      <c r="J118" t="s">
        <v>362</v>
      </c>
      <c r="K118">
        <v>3011.32</v>
      </c>
    </row>
    <row r="119" spans="1:11" x14ac:dyDescent="0.45">
      <c r="A119" t="s">
        <v>712</v>
      </c>
      <c r="B119" t="s">
        <v>713</v>
      </c>
      <c r="C119" t="s">
        <v>425</v>
      </c>
      <c r="D119" t="s">
        <v>24</v>
      </c>
      <c r="E119">
        <v>29</v>
      </c>
      <c r="F119">
        <v>94.47</v>
      </c>
      <c r="G119" s="2">
        <v>45779</v>
      </c>
      <c r="H119" t="s">
        <v>31</v>
      </c>
      <c r="I119" t="s">
        <v>714</v>
      </c>
      <c r="J119" t="s">
        <v>352</v>
      </c>
      <c r="K119">
        <v>2739.63</v>
      </c>
    </row>
    <row r="120" spans="1:11" x14ac:dyDescent="0.45">
      <c r="A120" t="s">
        <v>715</v>
      </c>
      <c r="B120" t="s">
        <v>716</v>
      </c>
      <c r="C120" t="s">
        <v>360</v>
      </c>
      <c r="D120" t="s">
        <v>43</v>
      </c>
      <c r="E120">
        <v>77</v>
      </c>
      <c r="F120">
        <v>149.77000000000001</v>
      </c>
      <c r="G120" s="2">
        <v>45805</v>
      </c>
      <c r="H120" t="s">
        <v>15</v>
      </c>
      <c r="I120" t="s">
        <v>717</v>
      </c>
      <c r="J120" t="s">
        <v>374</v>
      </c>
      <c r="K120">
        <v>11532.29</v>
      </c>
    </row>
    <row r="121" spans="1:11" x14ac:dyDescent="0.45">
      <c r="A121" t="s">
        <v>718</v>
      </c>
      <c r="B121" t="s">
        <v>719</v>
      </c>
      <c r="C121" t="s">
        <v>465</v>
      </c>
      <c r="D121" t="s">
        <v>32</v>
      </c>
      <c r="E121">
        <v>40</v>
      </c>
      <c r="F121">
        <v>54.91</v>
      </c>
      <c r="G121" s="2">
        <v>45675</v>
      </c>
      <c r="H121" t="s">
        <v>19</v>
      </c>
      <c r="I121" t="s">
        <v>720</v>
      </c>
      <c r="J121" t="s">
        <v>374</v>
      </c>
      <c r="K121">
        <v>2196.4</v>
      </c>
    </row>
    <row r="122" spans="1:11" x14ac:dyDescent="0.45">
      <c r="A122" t="s">
        <v>721</v>
      </c>
      <c r="B122" t="s">
        <v>722</v>
      </c>
      <c r="C122" t="s">
        <v>355</v>
      </c>
      <c r="D122" t="s">
        <v>43</v>
      </c>
      <c r="E122">
        <v>7</v>
      </c>
      <c r="F122">
        <v>31.46</v>
      </c>
      <c r="G122" s="2">
        <v>45770</v>
      </c>
      <c r="H122" t="s">
        <v>19</v>
      </c>
      <c r="I122" t="s">
        <v>723</v>
      </c>
      <c r="J122" t="s">
        <v>352</v>
      </c>
      <c r="K122">
        <v>220.22</v>
      </c>
    </row>
    <row r="123" spans="1:11" x14ac:dyDescent="0.45">
      <c r="A123" t="s">
        <v>724</v>
      </c>
      <c r="B123" t="s">
        <v>725</v>
      </c>
      <c r="C123" t="s">
        <v>380</v>
      </c>
      <c r="D123" t="s">
        <v>32</v>
      </c>
      <c r="E123">
        <v>82</v>
      </c>
      <c r="F123">
        <v>46.71</v>
      </c>
      <c r="G123" s="2">
        <v>45762</v>
      </c>
      <c r="H123" t="s">
        <v>15</v>
      </c>
      <c r="I123" t="s">
        <v>726</v>
      </c>
      <c r="J123" t="s">
        <v>374</v>
      </c>
      <c r="K123">
        <v>3830.22</v>
      </c>
    </row>
    <row r="124" spans="1:11" x14ac:dyDescent="0.45">
      <c r="A124" t="s">
        <v>727</v>
      </c>
      <c r="B124" t="s">
        <v>728</v>
      </c>
      <c r="C124" t="s">
        <v>355</v>
      </c>
      <c r="D124" t="s">
        <v>20</v>
      </c>
      <c r="E124">
        <v>4</v>
      </c>
      <c r="F124">
        <v>136.74</v>
      </c>
      <c r="G124" s="2">
        <v>45636</v>
      </c>
      <c r="H124" t="s">
        <v>31</v>
      </c>
      <c r="I124" t="s">
        <v>729</v>
      </c>
      <c r="J124" t="s">
        <v>352</v>
      </c>
      <c r="K124">
        <v>546.96</v>
      </c>
    </row>
    <row r="125" spans="1:11" x14ac:dyDescent="0.45">
      <c r="A125" t="s">
        <v>730</v>
      </c>
      <c r="B125" t="s">
        <v>731</v>
      </c>
      <c r="C125" t="s">
        <v>360</v>
      </c>
      <c r="D125" t="s">
        <v>16</v>
      </c>
      <c r="E125">
        <v>3</v>
      </c>
      <c r="F125">
        <v>136.76</v>
      </c>
      <c r="G125" s="2">
        <v>45677</v>
      </c>
      <c r="H125" t="s">
        <v>15</v>
      </c>
      <c r="I125" t="s">
        <v>732</v>
      </c>
      <c r="J125" t="s">
        <v>374</v>
      </c>
      <c r="K125">
        <v>410.28</v>
      </c>
    </row>
    <row r="126" spans="1:11" hidden="1" x14ac:dyDescent="0.45">
      <c r="A126" t="s">
        <v>733</v>
      </c>
      <c r="B126" t="s">
        <v>734</v>
      </c>
      <c r="C126" t="s">
        <v>390</v>
      </c>
      <c r="D126" t="s">
        <v>32</v>
      </c>
      <c r="E126">
        <v>37</v>
      </c>
      <c r="F126">
        <v>190.33</v>
      </c>
      <c r="G126" s="2">
        <v>45661</v>
      </c>
      <c r="H126" t="s">
        <v>31</v>
      </c>
      <c r="I126" t="s">
        <v>735</v>
      </c>
      <c r="J126" t="s">
        <v>357</v>
      </c>
      <c r="K126">
        <v>7042.21</v>
      </c>
    </row>
    <row r="127" spans="1:11" hidden="1" x14ac:dyDescent="0.45">
      <c r="A127" t="s">
        <v>736</v>
      </c>
      <c r="B127" t="s">
        <v>737</v>
      </c>
      <c r="C127" t="s">
        <v>350</v>
      </c>
      <c r="D127" t="s">
        <v>32</v>
      </c>
      <c r="E127">
        <v>13</v>
      </c>
      <c r="F127">
        <v>97.4</v>
      </c>
      <c r="G127" s="2">
        <v>45805</v>
      </c>
      <c r="H127" t="s">
        <v>31</v>
      </c>
      <c r="I127" t="s">
        <v>738</v>
      </c>
      <c r="J127" t="s">
        <v>357</v>
      </c>
      <c r="K127">
        <v>1266.2</v>
      </c>
    </row>
    <row r="128" spans="1:11" x14ac:dyDescent="0.45">
      <c r="A128" t="s">
        <v>739</v>
      </c>
      <c r="B128" t="s">
        <v>740</v>
      </c>
      <c r="C128" t="s">
        <v>360</v>
      </c>
      <c r="D128" t="s">
        <v>24</v>
      </c>
      <c r="E128">
        <v>33</v>
      </c>
      <c r="F128">
        <v>133.57</v>
      </c>
      <c r="G128" s="2">
        <v>45727</v>
      </c>
      <c r="H128" t="s">
        <v>19</v>
      </c>
      <c r="I128" t="s">
        <v>741</v>
      </c>
      <c r="J128" t="s">
        <v>374</v>
      </c>
      <c r="K128">
        <v>4407.8100000000004</v>
      </c>
    </row>
    <row r="129" spans="1:11" x14ac:dyDescent="0.45">
      <c r="A129" t="s">
        <v>742</v>
      </c>
      <c r="B129" t="s">
        <v>743</v>
      </c>
      <c r="C129" t="s">
        <v>380</v>
      </c>
      <c r="D129" t="s">
        <v>32</v>
      </c>
      <c r="E129">
        <v>46</v>
      </c>
      <c r="F129">
        <v>153.91999999999999</v>
      </c>
      <c r="G129" s="2">
        <v>45690</v>
      </c>
      <c r="H129" t="s">
        <v>23</v>
      </c>
      <c r="I129" t="s">
        <v>744</v>
      </c>
      <c r="J129" t="s">
        <v>352</v>
      </c>
      <c r="K129">
        <v>7080.32</v>
      </c>
    </row>
    <row r="130" spans="1:11" hidden="1" x14ac:dyDescent="0.45">
      <c r="A130" t="s">
        <v>745</v>
      </c>
      <c r="B130" t="s">
        <v>746</v>
      </c>
      <c r="C130" t="s">
        <v>425</v>
      </c>
      <c r="D130" t="s">
        <v>24</v>
      </c>
      <c r="E130">
        <v>74</v>
      </c>
      <c r="F130">
        <v>24.16</v>
      </c>
      <c r="G130" s="2">
        <v>45773</v>
      </c>
      <c r="H130" t="s">
        <v>23</v>
      </c>
      <c r="I130" t="s">
        <v>747</v>
      </c>
      <c r="J130" t="s">
        <v>362</v>
      </c>
      <c r="K130">
        <v>1787.84</v>
      </c>
    </row>
    <row r="131" spans="1:11" hidden="1" x14ac:dyDescent="0.45">
      <c r="A131" t="s">
        <v>748</v>
      </c>
      <c r="B131" t="s">
        <v>749</v>
      </c>
      <c r="C131" t="s">
        <v>425</v>
      </c>
      <c r="D131" t="s">
        <v>43</v>
      </c>
      <c r="E131">
        <v>49</v>
      </c>
      <c r="F131">
        <v>37.06</v>
      </c>
      <c r="G131" s="2">
        <v>45707</v>
      </c>
      <c r="H131" t="s">
        <v>15</v>
      </c>
      <c r="I131" t="s">
        <v>750</v>
      </c>
      <c r="J131" t="s">
        <v>357</v>
      </c>
      <c r="K131">
        <v>1815.94</v>
      </c>
    </row>
    <row r="132" spans="1:11" x14ac:dyDescent="0.45">
      <c r="A132" t="s">
        <v>751</v>
      </c>
      <c r="B132" t="s">
        <v>752</v>
      </c>
      <c r="C132" t="s">
        <v>465</v>
      </c>
      <c r="D132" t="s">
        <v>20</v>
      </c>
      <c r="E132">
        <v>27</v>
      </c>
      <c r="F132">
        <v>10.45</v>
      </c>
      <c r="G132" s="2">
        <v>45657</v>
      </c>
      <c r="H132" t="s">
        <v>23</v>
      </c>
      <c r="I132" t="s">
        <v>753</v>
      </c>
      <c r="J132" t="s">
        <v>374</v>
      </c>
      <c r="K132">
        <v>282.14999999999998</v>
      </c>
    </row>
    <row r="133" spans="1:11" hidden="1" x14ac:dyDescent="0.45">
      <c r="A133" t="s">
        <v>754</v>
      </c>
      <c r="B133" t="s">
        <v>755</v>
      </c>
      <c r="C133" t="s">
        <v>406</v>
      </c>
      <c r="D133" t="s">
        <v>43</v>
      </c>
      <c r="E133">
        <v>85</v>
      </c>
      <c r="F133">
        <v>36.72</v>
      </c>
      <c r="G133" s="2">
        <v>45678</v>
      </c>
      <c r="H133" t="s">
        <v>23</v>
      </c>
      <c r="I133" t="s">
        <v>756</v>
      </c>
      <c r="J133" t="s">
        <v>357</v>
      </c>
      <c r="K133">
        <v>3121.2</v>
      </c>
    </row>
    <row r="134" spans="1:11" x14ac:dyDescent="0.45">
      <c r="A134" t="s">
        <v>757</v>
      </c>
      <c r="B134" t="s">
        <v>758</v>
      </c>
      <c r="C134" t="s">
        <v>390</v>
      </c>
      <c r="D134" t="s">
        <v>16</v>
      </c>
      <c r="E134">
        <v>94</v>
      </c>
      <c r="F134">
        <v>48.89</v>
      </c>
      <c r="G134" s="2">
        <v>45792</v>
      </c>
      <c r="H134" t="s">
        <v>31</v>
      </c>
      <c r="I134" t="s">
        <v>759</v>
      </c>
      <c r="J134" t="s">
        <v>374</v>
      </c>
      <c r="K134">
        <v>4595.66</v>
      </c>
    </row>
    <row r="135" spans="1:11" hidden="1" x14ac:dyDescent="0.45">
      <c r="A135" t="s">
        <v>760</v>
      </c>
      <c r="B135" t="s">
        <v>761</v>
      </c>
      <c r="C135" t="s">
        <v>368</v>
      </c>
      <c r="D135" t="s">
        <v>32</v>
      </c>
      <c r="E135">
        <v>23</v>
      </c>
      <c r="F135">
        <v>134.38</v>
      </c>
      <c r="G135" s="2">
        <v>45655</v>
      </c>
      <c r="H135" t="s">
        <v>15</v>
      </c>
      <c r="I135" t="s">
        <v>762</v>
      </c>
      <c r="J135" t="s">
        <v>357</v>
      </c>
      <c r="K135">
        <v>3090.74</v>
      </c>
    </row>
    <row r="136" spans="1:11" x14ac:dyDescent="0.45">
      <c r="A136" t="s">
        <v>763</v>
      </c>
      <c r="B136" t="s">
        <v>764</v>
      </c>
      <c r="C136" t="s">
        <v>350</v>
      </c>
      <c r="D136" t="s">
        <v>43</v>
      </c>
      <c r="E136">
        <v>52</v>
      </c>
      <c r="F136">
        <v>193.81</v>
      </c>
      <c r="G136" s="2">
        <v>45723</v>
      </c>
      <c r="H136" t="s">
        <v>23</v>
      </c>
      <c r="I136" t="s">
        <v>765</v>
      </c>
      <c r="J136" t="s">
        <v>352</v>
      </c>
      <c r="K136">
        <v>10078.120000000001</v>
      </c>
    </row>
    <row r="137" spans="1:11" x14ac:dyDescent="0.45">
      <c r="A137" t="s">
        <v>766</v>
      </c>
      <c r="B137" t="s">
        <v>767</v>
      </c>
      <c r="C137" t="s">
        <v>372</v>
      </c>
      <c r="D137" t="s">
        <v>20</v>
      </c>
      <c r="E137">
        <v>93</v>
      </c>
      <c r="F137">
        <v>62.82</v>
      </c>
      <c r="G137" s="2">
        <v>45701</v>
      </c>
      <c r="H137" t="s">
        <v>23</v>
      </c>
      <c r="I137" t="s">
        <v>768</v>
      </c>
      <c r="J137" t="s">
        <v>374</v>
      </c>
      <c r="K137">
        <v>5842.26</v>
      </c>
    </row>
    <row r="138" spans="1:11" x14ac:dyDescent="0.45">
      <c r="A138" t="s">
        <v>769</v>
      </c>
      <c r="B138" t="s">
        <v>770</v>
      </c>
      <c r="C138" t="s">
        <v>372</v>
      </c>
      <c r="D138" t="s">
        <v>24</v>
      </c>
      <c r="E138">
        <v>5</v>
      </c>
      <c r="F138">
        <v>29.18</v>
      </c>
      <c r="G138" s="2">
        <v>45752</v>
      </c>
      <c r="H138" t="s">
        <v>31</v>
      </c>
      <c r="I138" t="s">
        <v>771</v>
      </c>
      <c r="J138" t="s">
        <v>374</v>
      </c>
      <c r="K138">
        <v>145.9</v>
      </c>
    </row>
    <row r="139" spans="1:11" hidden="1" x14ac:dyDescent="0.45">
      <c r="A139" t="s">
        <v>772</v>
      </c>
      <c r="B139" t="s">
        <v>773</v>
      </c>
      <c r="C139" t="s">
        <v>372</v>
      </c>
      <c r="D139" t="s">
        <v>32</v>
      </c>
      <c r="E139">
        <v>84</v>
      </c>
      <c r="F139">
        <v>174.39</v>
      </c>
      <c r="G139" s="2">
        <v>45627</v>
      </c>
      <c r="H139" t="s">
        <v>19</v>
      </c>
      <c r="I139" t="s">
        <v>774</v>
      </c>
      <c r="J139" t="s">
        <v>362</v>
      </c>
      <c r="K139">
        <v>14648.76</v>
      </c>
    </row>
    <row r="140" spans="1:11" x14ac:dyDescent="0.45">
      <c r="A140" t="s">
        <v>775</v>
      </c>
      <c r="B140" t="s">
        <v>776</v>
      </c>
      <c r="C140" t="s">
        <v>372</v>
      </c>
      <c r="D140" t="s">
        <v>24</v>
      </c>
      <c r="E140">
        <v>6</v>
      </c>
      <c r="F140">
        <v>63.66</v>
      </c>
      <c r="G140" s="2">
        <v>45721</v>
      </c>
      <c r="H140" t="s">
        <v>15</v>
      </c>
      <c r="I140" t="s">
        <v>777</v>
      </c>
      <c r="J140" t="s">
        <v>374</v>
      </c>
      <c r="K140">
        <v>381.96</v>
      </c>
    </row>
    <row r="141" spans="1:11" x14ac:dyDescent="0.45">
      <c r="A141" t="s">
        <v>778</v>
      </c>
      <c r="B141" t="s">
        <v>779</v>
      </c>
      <c r="C141" t="s">
        <v>355</v>
      </c>
      <c r="D141" t="s">
        <v>20</v>
      </c>
      <c r="E141">
        <v>58</v>
      </c>
      <c r="F141">
        <v>43.2</v>
      </c>
      <c r="G141" s="2">
        <v>45768</v>
      </c>
      <c r="H141" t="s">
        <v>23</v>
      </c>
      <c r="I141" t="s">
        <v>780</v>
      </c>
      <c r="J141" t="s">
        <v>374</v>
      </c>
      <c r="K141">
        <v>2505.6</v>
      </c>
    </row>
    <row r="142" spans="1:11" x14ac:dyDescent="0.45">
      <c r="A142" t="s">
        <v>781</v>
      </c>
      <c r="B142" t="s">
        <v>782</v>
      </c>
      <c r="C142" t="s">
        <v>425</v>
      </c>
      <c r="D142" t="s">
        <v>16</v>
      </c>
      <c r="E142">
        <v>31</v>
      </c>
      <c r="F142">
        <v>36.29</v>
      </c>
      <c r="G142" s="2">
        <v>45640</v>
      </c>
      <c r="H142" t="s">
        <v>23</v>
      </c>
      <c r="I142" t="s">
        <v>783</v>
      </c>
      <c r="J142" t="s">
        <v>374</v>
      </c>
      <c r="K142">
        <v>1124.99</v>
      </c>
    </row>
    <row r="143" spans="1:11" x14ac:dyDescent="0.45">
      <c r="A143" t="s">
        <v>784</v>
      </c>
      <c r="B143" t="s">
        <v>785</v>
      </c>
      <c r="C143" t="s">
        <v>465</v>
      </c>
      <c r="D143" t="s">
        <v>16</v>
      </c>
      <c r="E143">
        <v>29</v>
      </c>
      <c r="F143">
        <v>192.48</v>
      </c>
      <c r="G143" s="2">
        <v>45719</v>
      </c>
      <c r="H143" t="s">
        <v>23</v>
      </c>
      <c r="I143" t="s">
        <v>786</v>
      </c>
      <c r="J143" t="s">
        <v>374</v>
      </c>
      <c r="K143">
        <v>5581.92</v>
      </c>
    </row>
    <row r="144" spans="1:11" x14ac:dyDescent="0.45">
      <c r="A144" t="s">
        <v>787</v>
      </c>
      <c r="B144" t="s">
        <v>788</v>
      </c>
      <c r="C144" t="s">
        <v>390</v>
      </c>
      <c r="D144" t="s">
        <v>20</v>
      </c>
      <c r="E144">
        <v>16</v>
      </c>
      <c r="F144">
        <v>167.31</v>
      </c>
      <c r="G144" s="2">
        <v>45663</v>
      </c>
      <c r="H144" t="s">
        <v>23</v>
      </c>
      <c r="I144" t="s">
        <v>789</v>
      </c>
      <c r="J144" t="s">
        <v>352</v>
      </c>
      <c r="K144">
        <v>2676.96</v>
      </c>
    </row>
    <row r="145" spans="1:11" hidden="1" x14ac:dyDescent="0.45">
      <c r="A145" t="s">
        <v>790</v>
      </c>
      <c r="B145" t="s">
        <v>791</v>
      </c>
      <c r="C145" t="s">
        <v>372</v>
      </c>
      <c r="D145" t="s">
        <v>32</v>
      </c>
      <c r="E145">
        <v>47</v>
      </c>
      <c r="F145">
        <v>189.99</v>
      </c>
      <c r="G145" s="2">
        <v>45770</v>
      </c>
      <c r="H145" t="s">
        <v>19</v>
      </c>
      <c r="I145" t="s">
        <v>792</v>
      </c>
      <c r="J145" t="s">
        <v>362</v>
      </c>
      <c r="K145">
        <v>8929.5300000000007</v>
      </c>
    </row>
    <row r="146" spans="1:11" hidden="1" x14ac:dyDescent="0.45">
      <c r="A146" t="s">
        <v>793</v>
      </c>
      <c r="B146" t="s">
        <v>794</v>
      </c>
      <c r="C146" t="s">
        <v>425</v>
      </c>
      <c r="D146" t="s">
        <v>24</v>
      </c>
      <c r="E146">
        <v>76</v>
      </c>
      <c r="F146">
        <v>185.66</v>
      </c>
      <c r="G146" s="2">
        <v>45725</v>
      </c>
      <c r="H146" t="s">
        <v>23</v>
      </c>
      <c r="I146" t="s">
        <v>795</v>
      </c>
      <c r="J146" t="s">
        <v>357</v>
      </c>
      <c r="K146">
        <v>14110.16</v>
      </c>
    </row>
    <row r="147" spans="1:11" x14ac:dyDescent="0.45">
      <c r="A147" t="s">
        <v>796</v>
      </c>
      <c r="B147" t="s">
        <v>797</v>
      </c>
      <c r="C147" t="s">
        <v>425</v>
      </c>
      <c r="D147" t="s">
        <v>43</v>
      </c>
      <c r="E147">
        <v>20</v>
      </c>
      <c r="F147">
        <v>198.75</v>
      </c>
      <c r="G147" s="2">
        <v>45728</v>
      </c>
      <c r="H147" t="s">
        <v>23</v>
      </c>
      <c r="I147" t="s">
        <v>798</v>
      </c>
      <c r="J147" t="s">
        <v>352</v>
      </c>
      <c r="K147">
        <v>3975</v>
      </c>
    </row>
    <row r="148" spans="1:11" hidden="1" x14ac:dyDescent="0.45">
      <c r="A148" t="s">
        <v>799</v>
      </c>
      <c r="B148" t="s">
        <v>800</v>
      </c>
      <c r="C148" t="s">
        <v>390</v>
      </c>
      <c r="D148" t="s">
        <v>24</v>
      </c>
      <c r="E148">
        <v>55</v>
      </c>
      <c r="F148">
        <v>92.51</v>
      </c>
      <c r="G148" s="2">
        <v>45653</v>
      </c>
      <c r="H148" t="s">
        <v>19</v>
      </c>
      <c r="I148" t="s">
        <v>801</v>
      </c>
      <c r="J148" t="s">
        <v>357</v>
      </c>
      <c r="K148">
        <v>5088.05</v>
      </c>
    </row>
    <row r="149" spans="1:11" x14ac:dyDescent="0.45">
      <c r="A149" t="s">
        <v>802</v>
      </c>
      <c r="B149" t="s">
        <v>803</v>
      </c>
      <c r="C149" t="s">
        <v>372</v>
      </c>
      <c r="D149" t="s">
        <v>20</v>
      </c>
      <c r="E149">
        <v>96</v>
      </c>
      <c r="F149">
        <v>18.100000000000001</v>
      </c>
      <c r="G149" s="2">
        <v>45803</v>
      </c>
      <c r="H149" t="s">
        <v>23</v>
      </c>
      <c r="I149" t="s">
        <v>804</v>
      </c>
      <c r="J149" t="s">
        <v>374</v>
      </c>
      <c r="K149">
        <v>1737.6</v>
      </c>
    </row>
    <row r="150" spans="1:11" hidden="1" x14ac:dyDescent="0.45">
      <c r="A150" t="s">
        <v>805</v>
      </c>
      <c r="B150" t="s">
        <v>806</v>
      </c>
      <c r="C150" t="s">
        <v>406</v>
      </c>
      <c r="D150" t="s">
        <v>24</v>
      </c>
      <c r="E150">
        <v>76</v>
      </c>
      <c r="F150">
        <v>13.85</v>
      </c>
      <c r="G150" s="2">
        <v>45786</v>
      </c>
      <c r="H150" t="s">
        <v>15</v>
      </c>
      <c r="I150" t="s">
        <v>807</v>
      </c>
      <c r="J150" t="s">
        <v>357</v>
      </c>
      <c r="K150">
        <v>1052.5999999999999</v>
      </c>
    </row>
    <row r="151" spans="1:11" x14ac:dyDescent="0.45">
      <c r="A151" t="s">
        <v>808</v>
      </c>
      <c r="B151" t="s">
        <v>809</v>
      </c>
      <c r="C151" t="s">
        <v>390</v>
      </c>
      <c r="D151" t="s">
        <v>20</v>
      </c>
      <c r="E151">
        <v>75</v>
      </c>
      <c r="F151">
        <v>140.44</v>
      </c>
      <c r="G151" s="2">
        <v>45655</v>
      </c>
      <c r="H151" t="s">
        <v>15</v>
      </c>
      <c r="I151" t="s">
        <v>810</v>
      </c>
      <c r="J151" t="s">
        <v>352</v>
      </c>
      <c r="K151">
        <v>10533</v>
      </c>
    </row>
    <row r="152" spans="1:11" hidden="1" x14ac:dyDescent="0.45">
      <c r="A152" t="s">
        <v>811</v>
      </c>
      <c r="B152" t="s">
        <v>812</v>
      </c>
      <c r="C152" t="s">
        <v>390</v>
      </c>
      <c r="D152" t="s">
        <v>20</v>
      </c>
      <c r="E152">
        <v>25</v>
      </c>
      <c r="F152">
        <v>23.39</v>
      </c>
      <c r="G152" s="2">
        <v>45718</v>
      </c>
      <c r="H152" t="s">
        <v>15</v>
      </c>
      <c r="I152" t="s">
        <v>813</v>
      </c>
      <c r="J152" t="s">
        <v>357</v>
      </c>
      <c r="K152">
        <v>584.75</v>
      </c>
    </row>
    <row r="153" spans="1:11" x14ac:dyDescent="0.45">
      <c r="A153" t="s">
        <v>814</v>
      </c>
      <c r="B153" t="s">
        <v>815</v>
      </c>
      <c r="C153" t="s">
        <v>350</v>
      </c>
      <c r="D153" t="s">
        <v>20</v>
      </c>
      <c r="E153">
        <v>6</v>
      </c>
      <c r="F153">
        <v>179.41</v>
      </c>
      <c r="G153" s="2">
        <v>45673</v>
      </c>
      <c r="H153" t="s">
        <v>31</v>
      </c>
      <c r="I153" t="s">
        <v>816</v>
      </c>
      <c r="J153" t="s">
        <v>352</v>
      </c>
      <c r="K153">
        <v>1076.46</v>
      </c>
    </row>
    <row r="154" spans="1:11" hidden="1" x14ac:dyDescent="0.45">
      <c r="A154" t="s">
        <v>817</v>
      </c>
      <c r="B154" t="s">
        <v>818</v>
      </c>
      <c r="C154" t="s">
        <v>406</v>
      </c>
      <c r="D154" t="s">
        <v>43</v>
      </c>
      <c r="E154">
        <v>30</v>
      </c>
      <c r="F154">
        <v>132.97999999999999</v>
      </c>
      <c r="G154" s="2">
        <v>45800</v>
      </c>
      <c r="H154" t="s">
        <v>31</v>
      </c>
      <c r="I154" t="s">
        <v>819</v>
      </c>
      <c r="J154" t="s">
        <v>362</v>
      </c>
      <c r="K154">
        <v>3989.4</v>
      </c>
    </row>
    <row r="155" spans="1:11" hidden="1" x14ac:dyDescent="0.45">
      <c r="A155" t="s">
        <v>820</v>
      </c>
      <c r="B155" t="s">
        <v>821</v>
      </c>
      <c r="C155" t="s">
        <v>368</v>
      </c>
      <c r="D155" t="s">
        <v>20</v>
      </c>
      <c r="E155">
        <v>52</v>
      </c>
      <c r="F155">
        <v>117.26</v>
      </c>
      <c r="G155" s="2">
        <v>45648</v>
      </c>
      <c r="H155" t="s">
        <v>31</v>
      </c>
      <c r="I155" t="s">
        <v>822</v>
      </c>
      <c r="J155" t="s">
        <v>362</v>
      </c>
      <c r="K155">
        <v>6097.52</v>
      </c>
    </row>
    <row r="156" spans="1:11" x14ac:dyDescent="0.45">
      <c r="A156" t="s">
        <v>823</v>
      </c>
      <c r="B156" t="s">
        <v>824</v>
      </c>
      <c r="C156" t="s">
        <v>425</v>
      </c>
      <c r="D156" t="s">
        <v>43</v>
      </c>
      <c r="E156">
        <v>56</v>
      </c>
      <c r="F156">
        <v>128.68</v>
      </c>
      <c r="G156" s="2">
        <v>45700</v>
      </c>
      <c r="H156" t="s">
        <v>31</v>
      </c>
      <c r="I156" t="s">
        <v>825</v>
      </c>
      <c r="J156" t="s">
        <v>352</v>
      </c>
      <c r="K156">
        <v>7206.08</v>
      </c>
    </row>
    <row r="157" spans="1:11" hidden="1" x14ac:dyDescent="0.45">
      <c r="A157" t="s">
        <v>826</v>
      </c>
      <c r="B157" t="s">
        <v>827</v>
      </c>
      <c r="C157" t="s">
        <v>372</v>
      </c>
      <c r="D157" t="s">
        <v>20</v>
      </c>
      <c r="E157">
        <v>60</v>
      </c>
      <c r="F157">
        <v>113.63</v>
      </c>
      <c r="G157" s="2">
        <v>45632</v>
      </c>
      <c r="H157" t="s">
        <v>31</v>
      </c>
      <c r="I157" t="s">
        <v>828</v>
      </c>
      <c r="J157" t="s">
        <v>357</v>
      </c>
      <c r="K157">
        <v>6817.8</v>
      </c>
    </row>
    <row r="158" spans="1:11" hidden="1" x14ac:dyDescent="0.45">
      <c r="A158" t="s">
        <v>829</v>
      </c>
      <c r="B158" t="s">
        <v>830</v>
      </c>
      <c r="C158" t="s">
        <v>406</v>
      </c>
      <c r="D158" t="s">
        <v>24</v>
      </c>
      <c r="E158">
        <v>30</v>
      </c>
      <c r="F158">
        <v>117.52</v>
      </c>
      <c r="G158" s="2">
        <v>45673</v>
      </c>
      <c r="H158" t="s">
        <v>23</v>
      </c>
      <c r="I158" t="s">
        <v>831</v>
      </c>
      <c r="J158" t="s">
        <v>362</v>
      </c>
      <c r="K158">
        <v>3525.6</v>
      </c>
    </row>
    <row r="159" spans="1:11" x14ac:dyDescent="0.45">
      <c r="A159" t="s">
        <v>832</v>
      </c>
      <c r="B159" t="s">
        <v>833</v>
      </c>
      <c r="C159" t="s">
        <v>372</v>
      </c>
      <c r="D159" t="s">
        <v>24</v>
      </c>
      <c r="E159">
        <v>89</v>
      </c>
      <c r="F159">
        <v>110.84</v>
      </c>
      <c r="G159" s="2">
        <v>45656</v>
      </c>
      <c r="H159" t="s">
        <v>23</v>
      </c>
      <c r="I159" t="s">
        <v>834</v>
      </c>
      <c r="J159" t="s">
        <v>374</v>
      </c>
      <c r="K159">
        <v>9864.76</v>
      </c>
    </row>
    <row r="160" spans="1:11" hidden="1" x14ac:dyDescent="0.45">
      <c r="A160" t="s">
        <v>835</v>
      </c>
      <c r="B160" t="s">
        <v>836</v>
      </c>
      <c r="C160" t="s">
        <v>465</v>
      </c>
      <c r="D160" t="s">
        <v>43</v>
      </c>
      <c r="E160">
        <v>37</v>
      </c>
      <c r="F160">
        <v>126.85</v>
      </c>
      <c r="G160" s="2">
        <v>45802</v>
      </c>
      <c r="H160" t="s">
        <v>23</v>
      </c>
      <c r="I160" t="s">
        <v>837</v>
      </c>
      <c r="J160" t="s">
        <v>362</v>
      </c>
      <c r="K160">
        <v>4693.45</v>
      </c>
    </row>
    <row r="161" spans="1:11" hidden="1" x14ac:dyDescent="0.45">
      <c r="A161" t="s">
        <v>838</v>
      </c>
      <c r="B161" t="s">
        <v>839</v>
      </c>
      <c r="C161" t="s">
        <v>380</v>
      </c>
      <c r="D161" t="s">
        <v>16</v>
      </c>
      <c r="E161">
        <v>50</v>
      </c>
      <c r="F161">
        <v>69.63</v>
      </c>
      <c r="G161" s="2">
        <v>45734</v>
      </c>
      <c r="H161" t="s">
        <v>31</v>
      </c>
      <c r="I161" t="s">
        <v>728</v>
      </c>
      <c r="J161" t="s">
        <v>362</v>
      </c>
      <c r="K161">
        <v>3481.5</v>
      </c>
    </row>
    <row r="162" spans="1:11" hidden="1" x14ac:dyDescent="0.45">
      <c r="A162" t="s">
        <v>840</v>
      </c>
      <c r="B162" t="s">
        <v>841</v>
      </c>
      <c r="C162" t="s">
        <v>372</v>
      </c>
      <c r="D162" t="s">
        <v>16</v>
      </c>
      <c r="E162">
        <v>14</v>
      </c>
      <c r="F162">
        <v>65.11</v>
      </c>
      <c r="G162" s="2">
        <v>45665</v>
      </c>
      <c r="H162" t="s">
        <v>19</v>
      </c>
      <c r="I162" t="s">
        <v>842</v>
      </c>
      <c r="J162" t="s">
        <v>357</v>
      </c>
      <c r="K162">
        <v>911.54</v>
      </c>
    </row>
    <row r="163" spans="1:11" x14ac:dyDescent="0.45">
      <c r="A163" t="s">
        <v>843</v>
      </c>
      <c r="B163" t="s">
        <v>844</v>
      </c>
      <c r="C163" t="s">
        <v>360</v>
      </c>
      <c r="D163" t="s">
        <v>24</v>
      </c>
      <c r="E163">
        <v>95</v>
      </c>
      <c r="F163">
        <v>190.46</v>
      </c>
      <c r="G163" s="2">
        <v>45671</v>
      </c>
      <c r="H163" t="s">
        <v>23</v>
      </c>
      <c r="I163" t="s">
        <v>845</v>
      </c>
      <c r="J163" t="s">
        <v>374</v>
      </c>
      <c r="K163">
        <v>18093.7</v>
      </c>
    </row>
    <row r="164" spans="1:11" x14ac:dyDescent="0.45">
      <c r="A164" t="s">
        <v>846</v>
      </c>
      <c r="B164" t="s">
        <v>847</v>
      </c>
      <c r="C164" t="s">
        <v>380</v>
      </c>
      <c r="D164" t="s">
        <v>32</v>
      </c>
      <c r="E164">
        <v>5</v>
      </c>
      <c r="F164">
        <v>108.53</v>
      </c>
      <c r="G164" s="2">
        <v>45765</v>
      </c>
      <c r="H164" t="s">
        <v>19</v>
      </c>
      <c r="I164" t="s">
        <v>848</v>
      </c>
      <c r="J164" t="s">
        <v>374</v>
      </c>
      <c r="K164">
        <v>542.65</v>
      </c>
    </row>
    <row r="165" spans="1:11" hidden="1" x14ac:dyDescent="0.45">
      <c r="A165" t="s">
        <v>849</v>
      </c>
      <c r="B165" t="s">
        <v>850</v>
      </c>
      <c r="C165" t="s">
        <v>360</v>
      </c>
      <c r="D165" t="s">
        <v>20</v>
      </c>
      <c r="E165">
        <v>54</v>
      </c>
      <c r="F165">
        <v>39.94</v>
      </c>
      <c r="G165" s="2">
        <v>45701</v>
      </c>
      <c r="H165" t="s">
        <v>31</v>
      </c>
      <c r="I165" t="s">
        <v>851</v>
      </c>
      <c r="J165" t="s">
        <v>362</v>
      </c>
      <c r="K165">
        <v>2156.7600000000002</v>
      </c>
    </row>
    <row r="166" spans="1:11" hidden="1" x14ac:dyDescent="0.45">
      <c r="A166" t="s">
        <v>852</v>
      </c>
      <c r="B166" t="s">
        <v>853</v>
      </c>
      <c r="C166" t="s">
        <v>355</v>
      </c>
      <c r="D166" t="s">
        <v>24</v>
      </c>
      <c r="E166">
        <v>90</v>
      </c>
      <c r="F166">
        <v>102.81</v>
      </c>
      <c r="G166" s="2">
        <v>45800</v>
      </c>
      <c r="H166" t="s">
        <v>23</v>
      </c>
      <c r="I166" t="s">
        <v>854</v>
      </c>
      <c r="J166" t="s">
        <v>362</v>
      </c>
      <c r="K166">
        <v>9252.9</v>
      </c>
    </row>
    <row r="167" spans="1:11" x14ac:dyDescent="0.45">
      <c r="A167" t="s">
        <v>855</v>
      </c>
      <c r="B167" t="s">
        <v>856</v>
      </c>
      <c r="C167" t="s">
        <v>350</v>
      </c>
      <c r="D167" t="s">
        <v>20</v>
      </c>
      <c r="E167">
        <v>39</v>
      </c>
      <c r="F167">
        <v>77.39</v>
      </c>
      <c r="G167" s="2">
        <v>45714</v>
      </c>
      <c r="H167" t="s">
        <v>19</v>
      </c>
      <c r="I167" t="s">
        <v>857</v>
      </c>
      <c r="J167" t="s">
        <v>352</v>
      </c>
      <c r="K167">
        <v>3018.21</v>
      </c>
    </row>
    <row r="168" spans="1:11" hidden="1" x14ac:dyDescent="0.45">
      <c r="A168" t="s">
        <v>858</v>
      </c>
      <c r="B168" t="s">
        <v>859</v>
      </c>
      <c r="C168" t="s">
        <v>368</v>
      </c>
      <c r="D168" t="s">
        <v>20</v>
      </c>
      <c r="E168">
        <v>32</v>
      </c>
      <c r="F168">
        <v>55.68</v>
      </c>
      <c r="G168" s="2">
        <v>45677</v>
      </c>
      <c r="H168" t="s">
        <v>31</v>
      </c>
      <c r="I168" t="s">
        <v>860</v>
      </c>
      <c r="J168" t="s">
        <v>357</v>
      </c>
      <c r="K168">
        <v>1781.76</v>
      </c>
    </row>
    <row r="169" spans="1:11" x14ac:dyDescent="0.45">
      <c r="A169" t="s">
        <v>861</v>
      </c>
      <c r="B169" t="s">
        <v>862</v>
      </c>
      <c r="C169" t="s">
        <v>425</v>
      </c>
      <c r="D169" t="s">
        <v>16</v>
      </c>
      <c r="E169">
        <v>36</v>
      </c>
      <c r="F169">
        <v>90.72</v>
      </c>
      <c r="G169" s="2">
        <v>45659</v>
      </c>
      <c r="H169" t="s">
        <v>19</v>
      </c>
      <c r="I169" t="s">
        <v>863</v>
      </c>
      <c r="J169" t="s">
        <v>352</v>
      </c>
      <c r="K169">
        <v>3265.92</v>
      </c>
    </row>
    <row r="170" spans="1:11" hidden="1" x14ac:dyDescent="0.45">
      <c r="A170" t="s">
        <v>864</v>
      </c>
      <c r="B170" t="s">
        <v>865</v>
      </c>
      <c r="C170" t="s">
        <v>360</v>
      </c>
      <c r="D170" t="s">
        <v>43</v>
      </c>
      <c r="E170">
        <v>48</v>
      </c>
      <c r="F170">
        <v>18.399999999999999</v>
      </c>
      <c r="G170" s="2">
        <v>45783</v>
      </c>
      <c r="H170" t="s">
        <v>15</v>
      </c>
      <c r="I170" t="s">
        <v>866</v>
      </c>
      <c r="J170" t="s">
        <v>357</v>
      </c>
      <c r="K170">
        <v>883.2</v>
      </c>
    </row>
    <row r="171" spans="1:11" hidden="1" x14ac:dyDescent="0.45">
      <c r="A171" t="s">
        <v>867</v>
      </c>
      <c r="B171" t="s">
        <v>868</v>
      </c>
      <c r="C171" t="s">
        <v>360</v>
      </c>
      <c r="D171" t="s">
        <v>24</v>
      </c>
      <c r="E171">
        <v>48</v>
      </c>
      <c r="F171">
        <v>71.790000000000006</v>
      </c>
      <c r="G171" s="2">
        <v>45628</v>
      </c>
      <c r="H171" t="s">
        <v>19</v>
      </c>
      <c r="I171" t="s">
        <v>869</v>
      </c>
      <c r="J171" t="s">
        <v>357</v>
      </c>
      <c r="K171">
        <v>3445.92</v>
      </c>
    </row>
    <row r="172" spans="1:11" x14ac:dyDescent="0.45">
      <c r="A172" t="s">
        <v>870</v>
      </c>
      <c r="B172" t="s">
        <v>871</v>
      </c>
      <c r="C172" t="s">
        <v>360</v>
      </c>
      <c r="D172" t="s">
        <v>43</v>
      </c>
      <c r="E172">
        <v>96</v>
      </c>
      <c r="F172">
        <v>148.22999999999999</v>
      </c>
      <c r="G172" s="2">
        <v>45804</v>
      </c>
      <c r="H172" t="s">
        <v>31</v>
      </c>
      <c r="I172" t="s">
        <v>872</v>
      </c>
      <c r="J172" t="s">
        <v>352</v>
      </c>
      <c r="K172">
        <v>14230.08</v>
      </c>
    </row>
    <row r="173" spans="1:11" hidden="1" x14ac:dyDescent="0.45">
      <c r="A173" t="s">
        <v>873</v>
      </c>
      <c r="B173" t="s">
        <v>874</v>
      </c>
      <c r="C173" t="s">
        <v>390</v>
      </c>
      <c r="D173" t="s">
        <v>24</v>
      </c>
      <c r="E173">
        <v>83</v>
      </c>
      <c r="F173">
        <v>57.97</v>
      </c>
      <c r="G173" s="2">
        <v>45794</v>
      </c>
      <c r="H173" t="s">
        <v>19</v>
      </c>
      <c r="I173" t="s">
        <v>875</v>
      </c>
      <c r="J173" t="s">
        <v>357</v>
      </c>
      <c r="K173">
        <v>4811.51</v>
      </c>
    </row>
    <row r="174" spans="1:11" hidden="1" x14ac:dyDescent="0.45">
      <c r="A174" t="s">
        <v>876</v>
      </c>
      <c r="B174" t="s">
        <v>877</v>
      </c>
      <c r="C174" t="s">
        <v>465</v>
      </c>
      <c r="D174" t="s">
        <v>43</v>
      </c>
      <c r="E174">
        <v>40</v>
      </c>
      <c r="F174">
        <v>140.9</v>
      </c>
      <c r="G174" s="2">
        <v>45644</v>
      </c>
      <c r="H174" t="s">
        <v>19</v>
      </c>
      <c r="I174" t="s">
        <v>878</v>
      </c>
      <c r="J174" t="s">
        <v>357</v>
      </c>
      <c r="K174">
        <v>5636</v>
      </c>
    </row>
    <row r="175" spans="1:11" hidden="1" x14ac:dyDescent="0.45">
      <c r="A175" t="s">
        <v>879</v>
      </c>
      <c r="B175" t="s">
        <v>880</v>
      </c>
      <c r="C175" t="s">
        <v>425</v>
      </c>
      <c r="D175" t="s">
        <v>32</v>
      </c>
      <c r="E175">
        <v>74</v>
      </c>
      <c r="F175">
        <v>183.79</v>
      </c>
      <c r="G175" s="2">
        <v>45699</v>
      </c>
      <c r="H175" t="s">
        <v>15</v>
      </c>
      <c r="I175" t="s">
        <v>881</v>
      </c>
      <c r="J175" t="s">
        <v>357</v>
      </c>
      <c r="K175">
        <v>13600.46</v>
      </c>
    </row>
    <row r="176" spans="1:11" hidden="1" x14ac:dyDescent="0.45">
      <c r="A176" t="s">
        <v>882</v>
      </c>
      <c r="B176" t="s">
        <v>883</v>
      </c>
      <c r="C176" t="s">
        <v>372</v>
      </c>
      <c r="D176" t="s">
        <v>16</v>
      </c>
      <c r="E176">
        <v>95</v>
      </c>
      <c r="F176">
        <v>105</v>
      </c>
      <c r="G176" s="2">
        <v>45673</v>
      </c>
      <c r="H176" t="s">
        <v>19</v>
      </c>
      <c r="I176" t="s">
        <v>884</v>
      </c>
      <c r="J176" t="s">
        <v>362</v>
      </c>
      <c r="K176">
        <v>9975</v>
      </c>
    </row>
    <row r="177" spans="1:11" x14ac:dyDescent="0.45">
      <c r="A177" t="s">
        <v>885</v>
      </c>
      <c r="B177" t="s">
        <v>886</v>
      </c>
      <c r="C177" t="s">
        <v>465</v>
      </c>
      <c r="D177" t="s">
        <v>32</v>
      </c>
      <c r="E177">
        <v>93</v>
      </c>
      <c r="F177">
        <v>172.14</v>
      </c>
      <c r="G177" s="2">
        <v>45716</v>
      </c>
      <c r="H177" t="s">
        <v>31</v>
      </c>
      <c r="I177" t="s">
        <v>887</v>
      </c>
      <c r="J177" t="s">
        <v>352</v>
      </c>
      <c r="K177">
        <v>16009.02</v>
      </c>
    </row>
    <row r="178" spans="1:11" hidden="1" x14ac:dyDescent="0.45">
      <c r="A178" t="s">
        <v>888</v>
      </c>
      <c r="B178" t="s">
        <v>889</v>
      </c>
      <c r="C178" t="s">
        <v>372</v>
      </c>
      <c r="D178" t="s">
        <v>16</v>
      </c>
      <c r="E178">
        <v>90</v>
      </c>
      <c r="F178">
        <v>88.8</v>
      </c>
      <c r="G178" s="2">
        <v>45724</v>
      </c>
      <c r="H178" t="s">
        <v>19</v>
      </c>
      <c r="I178" t="s">
        <v>890</v>
      </c>
      <c r="J178" t="s">
        <v>362</v>
      </c>
      <c r="K178">
        <v>7992</v>
      </c>
    </row>
    <row r="179" spans="1:11" x14ac:dyDescent="0.45">
      <c r="A179" t="s">
        <v>891</v>
      </c>
      <c r="B179" t="s">
        <v>892</v>
      </c>
      <c r="C179" t="s">
        <v>372</v>
      </c>
      <c r="D179" t="s">
        <v>24</v>
      </c>
      <c r="E179">
        <v>36</v>
      </c>
      <c r="F179">
        <v>136.68</v>
      </c>
      <c r="G179" s="2">
        <v>45741</v>
      </c>
      <c r="H179" t="s">
        <v>19</v>
      </c>
      <c r="I179" t="s">
        <v>893</v>
      </c>
      <c r="J179" t="s">
        <v>374</v>
      </c>
      <c r="K179">
        <v>4920.4799999999996</v>
      </c>
    </row>
    <row r="180" spans="1:11" hidden="1" x14ac:dyDescent="0.45">
      <c r="A180" t="s">
        <v>894</v>
      </c>
      <c r="B180" t="s">
        <v>895</v>
      </c>
      <c r="C180" t="s">
        <v>368</v>
      </c>
      <c r="D180" t="s">
        <v>24</v>
      </c>
      <c r="E180">
        <v>25</v>
      </c>
      <c r="F180">
        <v>114.05</v>
      </c>
      <c r="G180" s="2">
        <v>45723</v>
      </c>
      <c r="H180" t="s">
        <v>19</v>
      </c>
      <c r="I180" t="s">
        <v>896</v>
      </c>
      <c r="J180" t="s">
        <v>362</v>
      </c>
      <c r="K180">
        <v>2851.25</v>
      </c>
    </row>
    <row r="181" spans="1:11" x14ac:dyDescent="0.45">
      <c r="A181" t="s">
        <v>897</v>
      </c>
      <c r="B181" t="s">
        <v>898</v>
      </c>
      <c r="C181" t="s">
        <v>355</v>
      </c>
      <c r="D181" t="s">
        <v>32</v>
      </c>
      <c r="E181">
        <v>89</v>
      </c>
      <c r="F181">
        <v>83.26</v>
      </c>
      <c r="G181" s="2">
        <v>45779</v>
      </c>
      <c r="H181" t="s">
        <v>19</v>
      </c>
      <c r="I181" t="s">
        <v>899</v>
      </c>
      <c r="J181" t="s">
        <v>352</v>
      </c>
      <c r="K181">
        <v>7410.14</v>
      </c>
    </row>
    <row r="182" spans="1:11" hidden="1" x14ac:dyDescent="0.45">
      <c r="A182" t="s">
        <v>900</v>
      </c>
      <c r="B182" t="s">
        <v>901</v>
      </c>
      <c r="C182" t="s">
        <v>350</v>
      </c>
      <c r="D182" t="s">
        <v>32</v>
      </c>
      <c r="E182">
        <v>2</v>
      </c>
      <c r="F182">
        <v>61.45</v>
      </c>
      <c r="G182" s="2">
        <v>45683</v>
      </c>
      <c r="H182" t="s">
        <v>23</v>
      </c>
      <c r="I182" t="s">
        <v>902</v>
      </c>
      <c r="J182" t="s">
        <v>357</v>
      </c>
      <c r="K182">
        <v>122.9</v>
      </c>
    </row>
    <row r="183" spans="1:11" hidden="1" x14ac:dyDescent="0.45">
      <c r="A183" t="s">
        <v>903</v>
      </c>
      <c r="B183" t="s">
        <v>904</v>
      </c>
      <c r="C183" t="s">
        <v>465</v>
      </c>
      <c r="D183" t="s">
        <v>20</v>
      </c>
      <c r="E183">
        <v>5</v>
      </c>
      <c r="F183">
        <v>44.87</v>
      </c>
      <c r="G183" s="2">
        <v>45679</v>
      </c>
      <c r="H183" t="s">
        <v>31</v>
      </c>
      <c r="I183" t="s">
        <v>905</v>
      </c>
      <c r="J183" t="s">
        <v>357</v>
      </c>
      <c r="K183">
        <v>224.35</v>
      </c>
    </row>
    <row r="184" spans="1:11" hidden="1" x14ac:dyDescent="0.45">
      <c r="A184" t="s">
        <v>906</v>
      </c>
      <c r="B184" t="s">
        <v>907</v>
      </c>
      <c r="C184" t="s">
        <v>368</v>
      </c>
      <c r="D184" t="s">
        <v>20</v>
      </c>
      <c r="E184">
        <v>98</v>
      </c>
      <c r="F184">
        <v>42.15</v>
      </c>
      <c r="G184" s="2">
        <v>45709</v>
      </c>
      <c r="H184" t="s">
        <v>31</v>
      </c>
      <c r="I184" t="s">
        <v>908</v>
      </c>
      <c r="J184" t="s">
        <v>362</v>
      </c>
      <c r="K184">
        <v>4130.7</v>
      </c>
    </row>
    <row r="185" spans="1:11" x14ac:dyDescent="0.45">
      <c r="A185" t="s">
        <v>909</v>
      </c>
      <c r="B185" t="s">
        <v>910</v>
      </c>
      <c r="C185" t="s">
        <v>355</v>
      </c>
      <c r="D185" t="s">
        <v>16</v>
      </c>
      <c r="E185">
        <v>15</v>
      </c>
      <c r="F185">
        <v>12.49</v>
      </c>
      <c r="G185" s="2">
        <v>45674</v>
      </c>
      <c r="H185" t="s">
        <v>15</v>
      </c>
      <c r="I185" t="s">
        <v>911</v>
      </c>
      <c r="J185" t="s">
        <v>352</v>
      </c>
      <c r="K185">
        <v>187.35</v>
      </c>
    </row>
    <row r="186" spans="1:11" hidden="1" x14ac:dyDescent="0.45">
      <c r="A186" t="s">
        <v>912</v>
      </c>
      <c r="B186" t="s">
        <v>913</v>
      </c>
      <c r="C186" t="s">
        <v>368</v>
      </c>
      <c r="D186" t="s">
        <v>32</v>
      </c>
      <c r="E186">
        <v>29</v>
      </c>
      <c r="F186">
        <v>111.39</v>
      </c>
      <c r="G186" s="2">
        <v>45640</v>
      </c>
      <c r="H186" t="s">
        <v>31</v>
      </c>
      <c r="I186" t="s">
        <v>914</v>
      </c>
      <c r="J186" t="s">
        <v>357</v>
      </c>
      <c r="K186">
        <v>3230.31</v>
      </c>
    </row>
    <row r="187" spans="1:11" hidden="1" x14ac:dyDescent="0.45">
      <c r="A187" t="s">
        <v>915</v>
      </c>
      <c r="B187" t="s">
        <v>916</v>
      </c>
      <c r="C187" t="s">
        <v>465</v>
      </c>
      <c r="D187" t="s">
        <v>32</v>
      </c>
      <c r="E187">
        <v>62</v>
      </c>
      <c r="F187">
        <v>36.86</v>
      </c>
      <c r="G187" s="2">
        <v>45711</v>
      </c>
      <c r="H187" t="s">
        <v>23</v>
      </c>
      <c r="I187" t="s">
        <v>917</v>
      </c>
      <c r="J187" t="s">
        <v>357</v>
      </c>
      <c r="K187">
        <v>2285.3200000000002</v>
      </c>
    </row>
    <row r="188" spans="1:11" hidden="1" x14ac:dyDescent="0.45">
      <c r="A188" t="s">
        <v>918</v>
      </c>
      <c r="B188" t="s">
        <v>919</v>
      </c>
      <c r="C188" t="s">
        <v>380</v>
      </c>
      <c r="D188" t="s">
        <v>16</v>
      </c>
      <c r="E188">
        <v>44</v>
      </c>
      <c r="F188">
        <v>118.54</v>
      </c>
      <c r="G188" s="2">
        <v>45696</v>
      </c>
      <c r="H188" t="s">
        <v>31</v>
      </c>
      <c r="I188" t="s">
        <v>920</v>
      </c>
      <c r="J188" t="s">
        <v>357</v>
      </c>
      <c r="K188">
        <v>5215.76</v>
      </c>
    </row>
    <row r="189" spans="1:11" x14ac:dyDescent="0.45">
      <c r="A189" t="s">
        <v>921</v>
      </c>
      <c r="B189" t="s">
        <v>922</v>
      </c>
      <c r="C189" t="s">
        <v>368</v>
      </c>
      <c r="D189" t="s">
        <v>43</v>
      </c>
      <c r="E189">
        <v>73</v>
      </c>
      <c r="F189">
        <v>156.4</v>
      </c>
      <c r="G189" s="2">
        <v>45655</v>
      </c>
      <c r="H189" t="s">
        <v>19</v>
      </c>
      <c r="I189" t="s">
        <v>923</v>
      </c>
      <c r="J189" t="s">
        <v>374</v>
      </c>
      <c r="K189">
        <v>11417.2</v>
      </c>
    </row>
    <row r="190" spans="1:11" x14ac:dyDescent="0.45">
      <c r="A190" t="s">
        <v>924</v>
      </c>
      <c r="B190" t="s">
        <v>925</v>
      </c>
      <c r="C190" t="s">
        <v>360</v>
      </c>
      <c r="D190" t="s">
        <v>20</v>
      </c>
      <c r="E190">
        <v>8</v>
      </c>
      <c r="F190">
        <v>118.78</v>
      </c>
      <c r="G190" s="2">
        <v>45755</v>
      </c>
      <c r="H190" t="s">
        <v>19</v>
      </c>
      <c r="I190" t="s">
        <v>926</v>
      </c>
      <c r="J190" t="s">
        <v>374</v>
      </c>
      <c r="K190">
        <v>950.24</v>
      </c>
    </row>
    <row r="191" spans="1:11" x14ac:dyDescent="0.45">
      <c r="A191" t="s">
        <v>927</v>
      </c>
      <c r="B191" t="s">
        <v>928</v>
      </c>
      <c r="C191" t="s">
        <v>465</v>
      </c>
      <c r="D191" t="s">
        <v>43</v>
      </c>
      <c r="E191">
        <v>67</v>
      </c>
      <c r="F191">
        <v>31.33</v>
      </c>
      <c r="G191" s="2">
        <v>45780</v>
      </c>
      <c r="H191" t="s">
        <v>19</v>
      </c>
      <c r="I191" t="s">
        <v>929</v>
      </c>
      <c r="J191" t="s">
        <v>352</v>
      </c>
      <c r="K191">
        <v>2099.11</v>
      </c>
    </row>
    <row r="192" spans="1:11" hidden="1" x14ac:dyDescent="0.45">
      <c r="A192" t="s">
        <v>930</v>
      </c>
      <c r="B192" t="s">
        <v>931</v>
      </c>
      <c r="C192" t="s">
        <v>425</v>
      </c>
      <c r="D192" t="s">
        <v>20</v>
      </c>
      <c r="E192">
        <v>2</v>
      </c>
      <c r="F192">
        <v>65.62</v>
      </c>
      <c r="G192" s="2">
        <v>45697</v>
      </c>
      <c r="H192" t="s">
        <v>23</v>
      </c>
      <c r="I192" t="s">
        <v>932</v>
      </c>
      <c r="J192" t="s">
        <v>362</v>
      </c>
      <c r="K192">
        <v>131.24</v>
      </c>
    </row>
    <row r="193" spans="1:11" x14ac:dyDescent="0.45">
      <c r="A193" t="s">
        <v>933</v>
      </c>
      <c r="B193" t="s">
        <v>934</v>
      </c>
      <c r="C193" t="s">
        <v>360</v>
      </c>
      <c r="D193" t="s">
        <v>16</v>
      </c>
      <c r="E193">
        <v>87</v>
      </c>
      <c r="F193">
        <v>152.22999999999999</v>
      </c>
      <c r="G193" s="2">
        <v>45787</v>
      </c>
      <c r="H193" t="s">
        <v>31</v>
      </c>
      <c r="I193" t="s">
        <v>935</v>
      </c>
      <c r="J193" t="s">
        <v>352</v>
      </c>
      <c r="K193">
        <v>13244.01</v>
      </c>
    </row>
    <row r="194" spans="1:11" x14ac:dyDescent="0.45">
      <c r="A194" t="s">
        <v>936</v>
      </c>
      <c r="B194" t="s">
        <v>937</v>
      </c>
      <c r="C194" t="s">
        <v>368</v>
      </c>
      <c r="D194" t="s">
        <v>32</v>
      </c>
      <c r="E194">
        <v>21</v>
      </c>
      <c r="F194">
        <v>172.08</v>
      </c>
      <c r="G194" s="2">
        <v>45789</v>
      </c>
      <c r="H194" t="s">
        <v>15</v>
      </c>
      <c r="I194" t="s">
        <v>938</v>
      </c>
      <c r="J194" t="s">
        <v>352</v>
      </c>
      <c r="K194">
        <v>3613.68</v>
      </c>
    </row>
    <row r="195" spans="1:11" x14ac:dyDescent="0.45">
      <c r="A195" t="s">
        <v>939</v>
      </c>
      <c r="B195" t="s">
        <v>940</v>
      </c>
      <c r="C195" t="s">
        <v>368</v>
      </c>
      <c r="D195" t="s">
        <v>20</v>
      </c>
      <c r="E195">
        <v>14</v>
      </c>
      <c r="F195">
        <v>132.41999999999999</v>
      </c>
      <c r="G195" s="2">
        <v>45627</v>
      </c>
      <c r="H195" t="s">
        <v>31</v>
      </c>
      <c r="I195" t="s">
        <v>941</v>
      </c>
      <c r="J195" t="s">
        <v>352</v>
      </c>
      <c r="K195">
        <v>1853.88</v>
      </c>
    </row>
    <row r="196" spans="1:11" hidden="1" x14ac:dyDescent="0.45">
      <c r="A196" t="s">
        <v>942</v>
      </c>
      <c r="B196" t="s">
        <v>943</v>
      </c>
      <c r="C196" t="s">
        <v>360</v>
      </c>
      <c r="D196" t="s">
        <v>24</v>
      </c>
      <c r="E196">
        <v>8</v>
      </c>
      <c r="F196">
        <v>109.64</v>
      </c>
      <c r="G196" s="2">
        <v>45796</v>
      </c>
      <c r="H196" t="s">
        <v>15</v>
      </c>
      <c r="I196" t="s">
        <v>944</v>
      </c>
      <c r="J196" t="s">
        <v>362</v>
      </c>
      <c r="K196">
        <v>877.12</v>
      </c>
    </row>
    <row r="197" spans="1:11" x14ac:dyDescent="0.45">
      <c r="A197" t="s">
        <v>945</v>
      </c>
      <c r="B197" t="s">
        <v>946</v>
      </c>
      <c r="C197" t="s">
        <v>425</v>
      </c>
      <c r="D197" t="s">
        <v>20</v>
      </c>
      <c r="E197">
        <v>19</v>
      </c>
      <c r="F197">
        <v>153.08000000000001</v>
      </c>
      <c r="G197" s="2">
        <v>45754</v>
      </c>
      <c r="H197" t="s">
        <v>31</v>
      </c>
      <c r="I197" t="s">
        <v>947</v>
      </c>
      <c r="J197" t="s">
        <v>374</v>
      </c>
      <c r="K197">
        <v>2908.52</v>
      </c>
    </row>
    <row r="198" spans="1:11" hidden="1" x14ac:dyDescent="0.45">
      <c r="A198" t="s">
        <v>948</v>
      </c>
      <c r="B198" t="s">
        <v>949</v>
      </c>
      <c r="C198" t="s">
        <v>425</v>
      </c>
      <c r="D198" t="s">
        <v>24</v>
      </c>
      <c r="E198">
        <v>98</v>
      </c>
      <c r="F198">
        <v>38.82</v>
      </c>
      <c r="G198" s="2">
        <v>45713</v>
      </c>
      <c r="H198" t="s">
        <v>19</v>
      </c>
      <c r="I198" t="s">
        <v>950</v>
      </c>
      <c r="J198" t="s">
        <v>357</v>
      </c>
      <c r="K198">
        <v>3804.36</v>
      </c>
    </row>
    <row r="199" spans="1:11" hidden="1" x14ac:dyDescent="0.45">
      <c r="A199" t="s">
        <v>951</v>
      </c>
      <c r="B199" t="s">
        <v>952</v>
      </c>
      <c r="C199" t="s">
        <v>406</v>
      </c>
      <c r="D199" t="s">
        <v>43</v>
      </c>
      <c r="E199">
        <v>48</v>
      </c>
      <c r="F199">
        <v>176.4</v>
      </c>
      <c r="G199" s="2">
        <v>45753</v>
      </c>
      <c r="H199" t="s">
        <v>31</v>
      </c>
      <c r="I199" t="s">
        <v>953</v>
      </c>
      <c r="J199" t="s">
        <v>357</v>
      </c>
      <c r="K199">
        <v>8467.2000000000007</v>
      </c>
    </row>
    <row r="200" spans="1:11" hidden="1" x14ac:dyDescent="0.45">
      <c r="A200" t="s">
        <v>954</v>
      </c>
      <c r="B200" t="s">
        <v>955</v>
      </c>
      <c r="C200" t="s">
        <v>368</v>
      </c>
      <c r="D200" t="s">
        <v>20</v>
      </c>
      <c r="E200">
        <v>54</v>
      </c>
      <c r="F200">
        <v>29.43</v>
      </c>
      <c r="G200" s="2">
        <v>45777</v>
      </c>
      <c r="H200" t="s">
        <v>31</v>
      </c>
      <c r="I200" t="s">
        <v>956</v>
      </c>
      <c r="J200" t="s">
        <v>362</v>
      </c>
      <c r="K200">
        <v>1589.22</v>
      </c>
    </row>
    <row r="201" spans="1:11" x14ac:dyDescent="0.45">
      <c r="A201" t="s">
        <v>957</v>
      </c>
      <c r="B201" t="s">
        <v>958</v>
      </c>
      <c r="C201" t="s">
        <v>425</v>
      </c>
      <c r="D201" t="s">
        <v>24</v>
      </c>
      <c r="E201">
        <v>78</v>
      </c>
      <c r="F201">
        <v>19.82</v>
      </c>
      <c r="G201" s="2">
        <v>45788</v>
      </c>
      <c r="H201" t="s">
        <v>31</v>
      </c>
      <c r="I201" t="s">
        <v>959</v>
      </c>
      <c r="J201" t="s">
        <v>352</v>
      </c>
      <c r="K201">
        <v>1545.96</v>
      </c>
    </row>
    <row r="202" spans="1:11" hidden="1" x14ac:dyDescent="0.45">
      <c r="A202" t="s">
        <v>960</v>
      </c>
      <c r="B202" t="s">
        <v>961</v>
      </c>
      <c r="C202" t="s">
        <v>425</v>
      </c>
      <c r="D202" t="s">
        <v>43</v>
      </c>
      <c r="E202">
        <v>96</v>
      </c>
      <c r="F202">
        <v>123.88</v>
      </c>
      <c r="G202" s="2">
        <v>45791</v>
      </c>
      <c r="H202" t="s">
        <v>19</v>
      </c>
      <c r="I202" t="s">
        <v>962</v>
      </c>
      <c r="J202" t="s">
        <v>357</v>
      </c>
      <c r="K202">
        <v>11892.48</v>
      </c>
    </row>
    <row r="203" spans="1:11" hidden="1" x14ac:dyDescent="0.45">
      <c r="A203" t="s">
        <v>963</v>
      </c>
      <c r="B203" t="s">
        <v>964</v>
      </c>
      <c r="C203" t="s">
        <v>355</v>
      </c>
      <c r="D203" t="s">
        <v>24</v>
      </c>
      <c r="E203">
        <v>6</v>
      </c>
      <c r="F203">
        <v>142.75</v>
      </c>
      <c r="G203" s="2">
        <v>45729</v>
      </c>
      <c r="H203" t="s">
        <v>15</v>
      </c>
      <c r="I203" t="s">
        <v>965</v>
      </c>
      <c r="J203" t="s">
        <v>362</v>
      </c>
      <c r="K203">
        <v>856.5</v>
      </c>
    </row>
    <row r="204" spans="1:11" x14ac:dyDescent="0.45">
      <c r="A204" t="s">
        <v>966</v>
      </c>
      <c r="B204" t="s">
        <v>967</v>
      </c>
      <c r="C204" t="s">
        <v>360</v>
      </c>
      <c r="D204" t="s">
        <v>32</v>
      </c>
      <c r="E204">
        <v>46</v>
      </c>
      <c r="F204">
        <v>24.39</v>
      </c>
      <c r="G204" s="2">
        <v>45742</v>
      </c>
      <c r="H204" t="s">
        <v>15</v>
      </c>
      <c r="I204" t="s">
        <v>968</v>
      </c>
      <c r="J204" t="s">
        <v>374</v>
      </c>
      <c r="K204">
        <v>1121.94</v>
      </c>
    </row>
    <row r="205" spans="1:11" hidden="1" x14ac:dyDescent="0.45">
      <c r="A205" t="s">
        <v>969</v>
      </c>
      <c r="B205" t="s">
        <v>970</v>
      </c>
      <c r="C205" t="s">
        <v>465</v>
      </c>
      <c r="D205" t="s">
        <v>32</v>
      </c>
      <c r="E205">
        <v>89</v>
      </c>
      <c r="F205">
        <v>76.88</v>
      </c>
      <c r="G205" s="2">
        <v>45794</v>
      </c>
      <c r="H205" t="s">
        <v>19</v>
      </c>
      <c r="I205" t="s">
        <v>971</v>
      </c>
      <c r="J205" t="s">
        <v>362</v>
      </c>
      <c r="K205">
        <v>6842.32</v>
      </c>
    </row>
    <row r="206" spans="1:11" hidden="1" x14ac:dyDescent="0.45">
      <c r="A206" t="s">
        <v>972</v>
      </c>
      <c r="B206" t="s">
        <v>973</v>
      </c>
      <c r="C206" t="s">
        <v>360</v>
      </c>
      <c r="D206" t="s">
        <v>20</v>
      </c>
      <c r="E206">
        <v>20</v>
      </c>
      <c r="F206">
        <v>102.36</v>
      </c>
      <c r="G206" s="2">
        <v>45735</v>
      </c>
      <c r="H206" t="s">
        <v>23</v>
      </c>
      <c r="I206" t="s">
        <v>974</v>
      </c>
      <c r="J206" t="s">
        <v>362</v>
      </c>
      <c r="K206">
        <v>2047.2</v>
      </c>
    </row>
    <row r="207" spans="1:11" x14ac:dyDescent="0.45">
      <c r="A207" t="s">
        <v>975</v>
      </c>
      <c r="B207" t="s">
        <v>976</v>
      </c>
      <c r="C207" t="s">
        <v>372</v>
      </c>
      <c r="D207" t="s">
        <v>24</v>
      </c>
      <c r="E207">
        <v>22</v>
      </c>
      <c r="F207">
        <v>192.68</v>
      </c>
      <c r="G207" s="2">
        <v>45629</v>
      </c>
      <c r="H207" t="s">
        <v>23</v>
      </c>
      <c r="I207" t="s">
        <v>977</v>
      </c>
      <c r="J207" t="s">
        <v>374</v>
      </c>
      <c r="K207">
        <v>4238.96</v>
      </c>
    </row>
    <row r="208" spans="1:11" x14ac:dyDescent="0.45">
      <c r="A208" t="s">
        <v>978</v>
      </c>
      <c r="B208" t="s">
        <v>979</v>
      </c>
      <c r="C208" t="s">
        <v>360</v>
      </c>
      <c r="D208" t="s">
        <v>32</v>
      </c>
      <c r="E208">
        <v>81</v>
      </c>
      <c r="F208">
        <v>23.76</v>
      </c>
      <c r="G208" s="2">
        <v>45652</v>
      </c>
      <c r="H208" t="s">
        <v>23</v>
      </c>
      <c r="I208" t="s">
        <v>980</v>
      </c>
      <c r="J208" t="s">
        <v>374</v>
      </c>
      <c r="K208">
        <v>1924.56</v>
      </c>
    </row>
    <row r="209" spans="1:11" hidden="1" x14ac:dyDescent="0.45">
      <c r="A209" t="s">
        <v>981</v>
      </c>
      <c r="B209" t="s">
        <v>982</v>
      </c>
      <c r="C209" t="s">
        <v>355</v>
      </c>
      <c r="D209" t="s">
        <v>32</v>
      </c>
      <c r="E209">
        <v>89</v>
      </c>
      <c r="F209">
        <v>176.39</v>
      </c>
      <c r="G209" s="2">
        <v>45742</v>
      </c>
      <c r="H209" t="s">
        <v>15</v>
      </c>
      <c r="I209" t="s">
        <v>983</v>
      </c>
      <c r="J209" t="s">
        <v>357</v>
      </c>
      <c r="K209">
        <v>15698.71</v>
      </c>
    </row>
    <row r="210" spans="1:11" x14ac:dyDescent="0.45">
      <c r="A210" t="s">
        <v>984</v>
      </c>
      <c r="B210" t="s">
        <v>985</v>
      </c>
      <c r="C210" t="s">
        <v>425</v>
      </c>
      <c r="D210" t="s">
        <v>16</v>
      </c>
      <c r="E210">
        <v>31</v>
      </c>
      <c r="F210">
        <v>188.91</v>
      </c>
      <c r="G210" s="2">
        <v>45711</v>
      </c>
      <c r="H210" t="s">
        <v>23</v>
      </c>
      <c r="I210" t="s">
        <v>986</v>
      </c>
      <c r="J210" t="s">
        <v>352</v>
      </c>
      <c r="K210">
        <v>5856.21</v>
      </c>
    </row>
    <row r="211" spans="1:11" hidden="1" x14ac:dyDescent="0.45">
      <c r="A211" t="s">
        <v>987</v>
      </c>
      <c r="B211" t="s">
        <v>988</v>
      </c>
      <c r="C211" t="s">
        <v>368</v>
      </c>
      <c r="D211" t="s">
        <v>24</v>
      </c>
      <c r="E211">
        <v>48</v>
      </c>
      <c r="F211">
        <v>154.08000000000001</v>
      </c>
      <c r="G211" s="2">
        <v>45732</v>
      </c>
      <c r="H211" t="s">
        <v>19</v>
      </c>
      <c r="I211" t="s">
        <v>989</v>
      </c>
      <c r="J211" t="s">
        <v>357</v>
      </c>
      <c r="K211">
        <v>7395.84</v>
      </c>
    </row>
    <row r="212" spans="1:11" x14ac:dyDescent="0.45">
      <c r="A212" t="s">
        <v>990</v>
      </c>
      <c r="B212" t="s">
        <v>991</v>
      </c>
      <c r="C212" t="s">
        <v>390</v>
      </c>
      <c r="D212" t="s">
        <v>24</v>
      </c>
      <c r="E212">
        <v>47</v>
      </c>
      <c r="F212">
        <v>11.83</v>
      </c>
      <c r="G212" s="2">
        <v>45685</v>
      </c>
      <c r="H212" t="s">
        <v>15</v>
      </c>
      <c r="I212" t="s">
        <v>992</v>
      </c>
      <c r="J212" t="s">
        <v>374</v>
      </c>
      <c r="K212">
        <v>556.01</v>
      </c>
    </row>
    <row r="213" spans="1:11" hidden="1" x14ac:dyDescent="0.45">
      <c r="A213" t="s">
        <v>993</v>
      </c>
      <c r="B213" t="s">
        <v>994</v>
      </c>
      <c r="C213" t="s">
        <v>380</v>
      </c>
      <c r="D213" t="s">
        <v>20</v>
      </c>
      <c r="E213">
        <v>92</v>
      </c>
      <c r="F213">
        <v>27.65</v>
      </c>
      <c r="G213" s="2">
        <v>45634</v>
      </c>
      <c r="H213" t="s">
        <v>19</v>
      </c>
      <c r="I213" t="s">
        <v>995</v>
      </c>
      <c r="J213" t="s">
        <v>362</v>
      </c>
      <c r="K213">
        <v>2543.8000000000002</v>
      </c>
    </row>
    <row r="214" spans="1:11" hidden="1" x14ac:dyDescent="0.45">
      <c r="A214" t="s">
        <v>996</v>
      </c>
      <c r="B214" t="s">
        <v>997</v>
      </c>
      <c r="C214" t="s">
        <v>355</v>
      </c>
      <c r="D214" t="s">
        <v>43</v>
      </c>
      <c r="E214">
        <v>86</v>
      </c>
      <c r="F214">
        <v>65.62</v>
      </c>
      <c r="G214" s="2">
        <v>45787</v>
      </c>
      <c r="H214" t="s">
        <v>31</v>
      </c>
      <c r="I214" t="s">
        <v>998</v>
      </c>
      <c r="J214" t="s">
        <v>357</v>
      </c>
      <c r="K214">
        <v>5643.32</v>
      </c>
    </row>
    <row r="215" spans="1:11" x14ac:dyDescent="0.45">
      <c r="A215" t="s">
        <v>999</v>
      </c>
      <c r="B215" t="s">
        <v>1000</v>
      </c>
      <c r="C215" t="s">
        <v>368</v>
      </c>
      <c r="D215" t="s">
        <v>43</v>
      </c>
      <c r="E215">
        <v>39</v>
      </c>
      <c r="F215">
        <v>176.58</v>
      </c>
      <c r="G215" s="2">
        <v>45706</v>
      </c>
      <c r="H215" t="s">
        <v>15</v>
      </c>
      <c r="I215" t="s">
        <v>1001</v>
      </c>
      <c r="J215" t="s">
        <v>374</v>
      </c>
      <c r="K215">
        <v>6886.62</v>
      </c>
    </row>
    <row r="216" spans="1:11" x14ac:dyDescent="0.45">
      <c r="A216" t="s">
        <v>1002</v>
      </c>
      <c r="B216" t="s">
        <v>1003</v>
      </c>
      <c r="C216" t="s">
        <v>465</v>
      </c>
      <c r="D216" t="s">
        <v>16</v>
      </c>
      <c r="E216">
        <v>63</v>
      </c>
      <c r="F216">
        <v>150.36000000000001</v>
      </c>
      <c r="G216" s="2">
        <v>45661</v>
      </c>
      <c r="H216" t="s">
        <v>15</v>
      </c>
      <c r="I216" t="s">
        <v>1004</v>
      </c>
      <c r="J216" t="s">
        <v>374</v>
      </c>
      <c r="K216">
        <v>9472.68</v>
      </c>
    </row>
    <row r="217" spans="1:11" x14ac:dyDescent="0.45">
      <c r="A217" t="s">
        <v>1005</v>
      </c>
      <c r="B217" t="s">
        <v>1006</v>
      </c>
      <c r="C217" t="s">
        <v>368</v>
      </c>
      <c r="D217" t="s">
        <v>16</v>
      </c>
      <c r="E217">
        <v>76</v>
      </c>
      <c r="F217">
        <v>66.55</v>
      </c>
      <c r="G217" s="2">
        <v>45744</v>
      </c>
      <c r="H217" t="s">
        <v>31</v>
      </c>
      <c r="I217" t="s">
        <v>1007</v>
      </c>
      <c r="J217" t="s">
        <v>374</v>
      </c>
      <c r="K217">
        <v>5057.8</v>
      </c>
    </row>
    <row r="218" spans="1:11" x14ac:dyDescent="0.45">
      <c r="A218" t="s">
        <v>1008</v>
      </c>
      <c r="B218" t="s">
        <v>1009</v>
      </c>
      <c r="C218" t="s">
        <v>406</v>
      </c>
      <c r="D218" t="s">
        <v>32</v>
      </c>
      <c r="E218">
        <v>81</v>
      </c>
      <c r="F218">
        <v>166.36</v>
      </c>
      <c r="G218" s="2">
        <v>45663</v>
      </c>
      <c r="H218" t="s">
        <v>31</v>
      </c>
      <c r="I218" t="s">
        <v>1010</v>
      </c>
      <c r="J218" t="s">
        <v>374</v>
      </c>
      <c r="K218">
        <v>13475.16</v>
      </c>
    </row>
    <row r="219" spans="1:11" hidden="1" x14ac:dyDescent="0.45">
      <c r="A219" t="s">
        <v>1011</v>
      </c>
      <c r="B219" t="s">
        <v>1012</v>
      </c>
      <c r="C219" t="s">
        <v>425</v>
      </c>
      <c r="D219" t="s">
        <v>32</v>
      </c>
      <c r="E219">
        <v>35</v>
      </c>
      <c r="F219">
        <v>194.7</v>
      </c>
      <c r="G219" s="2">
        <v>45723</v>
      </c>
      <c r="H219" t="s">
        <v>19</v>
      </c>
      <c r="I219" t="s">
        <v>1013</v>
      </c>
      <c r="J219" t="s">
        <v>357</v>
      </c>
      <c r="K219">
        <v>6814.5</v>
      </c>
    </row>
    <row r="220" spans="1:11" hidden="1" x14ac:dyDescent="0.45">
      <c r="A220" t="s">
        <v>1014</v>
      </c>
      <c r="B220" t="s">
        <v>1015</v>
      </c>
      <c r="C220" t="s">
        <v>425</v>
      </c>
      <c r="D220" t="s">
        <v>20</v>
      </c>
      <c r="E220">
        <v>90</v>
      </c>
      <c r="F220">
        <v>152.94999999999999</v>
      </c>
      <c r="G220" s="2">
        <v>45660</v>
      </c>
      <c r="H220" t="s">
        <v>31</v>
      </c>
      <c r="I220" t="s">
        <v>1016</v>
      </c>
      <c r="J220" t="s">
        <v>362</v>
      </c>
      <c r="K220">
        <v>13765.5</v>
      </c>
    </row>
    <row r="221" spans="1:11" x14ac:dyDescent="0.45">
      <c r="A221" t="s">
        <v>1017</v>
      </c>
      <c r="B221" t="s">
        <v>1018</v>
      </c>
      <c r="C221" t="s">
        <v>372</v>
      </c>
      <c r="D221" t="s">
        <v>16</v>
      </c>
      <c r="E221">
        <v>97</v>
      </c>
      <c r="F221">
        <v>90.45</v>
      </c>
      <c r="G221" s="2">
        <v>45702</v>
      </c>
      <c r="H221" t="s">
        <v>31</v>
      </c>
      <c r="I221" t="s">
        <v>1019</v>
      </c>
      <c r="J221" t="s">
        <v>374</v>
      </c>
      <c r="K221">
        <v>8773.65</v>
      </c>
    </row>
    <row r="222" spans="1:11" hidden="1" x14ac:dyDescent="0.45">
      <c r="A222" t="s">
        <v>1020</v>
      </c>
      <c r="B222" t="s">
        <v>1021</v>
      </c>
      <c r="C222" t="s">
        <v>380</v>
      </c>
      <c r="D222" t="s">
        <v>16</v>
      </c>
      <c r="E222">
        <v>76</v>
      </c>
      <c r="F222">
        <v>172.67</v>
      </c>
      <c r="G222" s="2">
        <v>45653</v>
      </c>
      <c r="H222" t="s">
        <v>23</v>
      </c>
      <c r="I222" t="s">
        <v>1022</v>
      </c>
      <c r="J222" t="s">
        <v>357</v>
      </c>
      <c r="K222">
        <v>13122.92</v>
      </c>
    </row>
    <row r="223" spans="1:11" x14ac:dyDescent="0.45">
      <c r="A223" t="s">
        <v>1023</v>
      </c>
      <c r="B223" t="s">
        <v>1024</v>
      </c>
      <c r="C223" t="s">
        <v>390</v>
      </c>
      <c r="D223" t="s">
        <v>16</v>
      </c>
      <c r="E223">
        <v>67</v>
      </c>
      <c r="F223">
        <v>127.86</v>
      </c>
      <c r="G223" s="2">
        <v>45676</v>
      </c>
      <c r="H223" t="s">
        <v>15</v>
      </c>
      <c r="I223" t="s">
        <v>1025</v>
      </c>
      <c r="J223" t="s">
        <v>352</v>
      </c>
      <c r="K223">
        <v>8566.6200000000008</v>
      </c>
    </row>
    <row r="224" spans="1:11" x14ac:dyDescent="0.45">
      <c r="A224" t="s">
        <v>1026</v>
      </c>
      <c r="B224" t="s">
        <v>1027</v>
      </c>
      <c r="C224" t="s">
        <v>380</v>
      </c>
      <c r="D224" t="s">
        <v>32</v>
      </c>
      <c r="E224">
        <v>12</v>
      </c>
      <c r="F224">
        <v>24.42</v>
      </c>
      <c r="G224" s="2">
        <v>45700</v>
      </c>
      <c r="H224" t="s">
        <v>15</v>
      </c>
      <c r="I224" t="s">
        <v>1028</v>
      </c>
      <c r="J224" t="s">
        <v>352</v>
      </c>
      <c r="K224">
        <v>293.04000000000002</v>
      </c>
    </row>
    <row r="225" spans="1:11" hidden="1" x14ac:dyDescent="0.45">
      <c r="A225" t="s">
        <v>1029</v>
      </c>
      <c r="B225" t="s">
        <v>1030</v>
      </c>
      <c r="C225" t="s">
        <v>372</v>
      </c>
      <c r="D225" t="s">
        <v>32</v>
      </c>
      <c r="E225">
        <v>83</v>
      </c>
      <c r="F225">
        <v>141.97999999999999</v>
      </c>
      <c r="G225" s="2">
        <v>45745</v>
      </c>
      <c r="H225" t="s">
        <v>15</v>
      </c>
      <c r="I225" t="s">
        <v>1031</v>
      </c>
      <c r="J225" t="s">
        <v>357</v>
      </c>
      <c r="K225">
        <v>11784.34</v>
      </c>
    </row>
    <row r="226" spans="1:11" hidden="1" x14ac:dyDescent="0.45">
      <c r="A226" t="s">
        <v>1032</v>
      </c>
      <c r="B226" t="s">
        <v>1033</v>
      </c>
      <c r="C226" t="s">
        <v>465</v>
      </c>
      <c r="D226" t="s">
        <v>43</v>
      </c>
      <c r="E226">
        <v>26</v>
      </c>
      <c r="F226">
        <v>16.329999999999998</v>
      </c>
      <c r="G226" s="2">
        <v>45794</v>
      </c>
      <c r="H226" t="s">
        <v>23</v>
      </c>
      <c r="I226" t="s">
        <v>1034</v>
      </c>
      <c r="J226" t="s">
        <v>362</v>
      </c>
      <c r="K226">
        <v>424.58</v>
      </c>
    </row>
    <row r="227" spans="1:11" hidden="1" x14ac:dyDescent="0.45">
      <c r="A227" t="s">
        <v>1035</v>
      </c>
      <c r="B227" t="s">
        <v>1036</v>
      </c>
      <c r="C227" t="s">
        <v>355</v>
      </c>
      <c r="D227" t="s">
        <v>24</v>
      </c>
      <c r="E227">
        <v>32</v>
      </c>
      <c r="F227">
        <v>80.42</v>
      </c>
      <c r="G227" s="2">
        <v>45679</v>
      </c>
      <c r="H227" t="s">
        <v>23</v>
      </c>
      <c r="I227" t="s">
        <v>1037</v>
      </c>
      <c r="J227" t="s">
        <v>362</v>
      </c>
      <c r="K227">
        <v>2573.44</v>
      </c>
    </row>
    <row r="228" spans="1:11" x14ac:dyDescent="0.45">
      <c r="A228" t="s">
        <v>1038</v>
      </c>
      <c r="B228" t="s">
        <v>1039</v>
      </c>
      <c r="C228" t="s">
        <v>406</v>
      </c>
      <c r="D228" t="s">
        <v>16</v>
      </c>
      <c r="E228">
        <v>9</v>
      </c>
      <c r="F228">
        <v>196.18</v>
      </c>
      <c r="G228" s="2">
        <v>45701</v>
      </c>
      <c r="H228" t="s">
        <v>31</v>
      </c>
      <c r="I228" t="s">
        <v>1040</v>
      </c>
      <c r="J228" t="s">
        <v>352</v>
      </c>
      <c r="K228">
        <v>1765.62</v>
      </c>
    </row>
    <row r="229" spans="1:11" x14ac:dyDescent="0.45">
      <c r="A229" t="s">
        <v>1041</v>
      </c>
      <c r="B229" t="s">
        <v>1042</v>
      </c>
      <c r="C229" t="s">
        <v>390</v>
      </c>
      <c r="D229" t="s">
        <v>32</v>
      </c>
      <c r="E229">
        <v>41</v>
      </c>
      <c r="F229">
        <v>84.53</v>
      </c>
      <c r="G229" s="2">
        <v>45728</v>
      </c>
      <c r="H229" t="s">
        <v>15</v>
      </c>
      <c r="I229" t="s">
        <v>1043</v>
      </c>
      <c r="J229" t="s">
        <v>374</v>
      </c>
      <c r="K229">
        <v>3465.73</v>
      </c>
    </row>
    <row r="230" spans="1:11" hidden="1" x14ac:dyDescent="0.45">
      <c r="A230" t="s">
        <v>1044</v>
      </c>
      <c r="B230" t="s">
        <v>1045</v>
      </c>
      <c r="C230" t="s">
        <v>350</v>
      </c>
      <c r="D230" t="s">
        <v>16</v>
      </c>
      <c r="E230">
        <v>77</v>
      </c>
      <c r="F230">
        <v>191.47</v>
      </c>
      <c r="G230" s="2">
        <v>45732</v>
      </c>
      <c r="H230" t="s">
        <v>15</v>
      </c>
      <c r="I230" t="s">
        <v>1046</v>
      </c>
      <c r="J230" t="s">
        <v>362</v>
      </c>
      <c r="K230">
        <v>14743.19</v>
      </c>
    </row>
    <row r="231" spans="1:11" x14ac:dyDescent="0.45">
      <c r="A231" t="s">
        <v>1047</v>
      </c>
      <c r="B231" t="s">
        <v>1048</v>
      </c>
      <c r="C231" t="s">
        <v>380</v>
      </c>
      <c r="D231" t="s">
        <v>16</v>
      </c>
      <c r="E231">
        <v>92</v>
      </c>
      <c r="F231">
        <v>47.92</v>
      </c>
      <c r="G231" s="2">
        <v>45803</v>
      </c>
      <c r="H231" t="s">
        <v>31</v>
      </c>
      <c r="I231" t="s">
        <v>1049</v>
      </c>
      <c r="J231" t="s">
        <v>374</v>
      </c>
      <c r="K231">
        <v>4408.6400000000003</v>
      </c>
    </row>
    <row r="232" spans="1:11" hidden="1" x14ac:dyDescent="0.45">
      <c r="A232" t="s">
        <v>1050</v>
      </c>
      <c r="B232" t="s">
        <v>1051</v>
      </c>
      <c r="C232" t="s">
        <v>368</v>
      </c>
      <c r="D232" t="s">
        <v>43</v>
      </c>
      <c r="E232">
        <v>30</v>
      </c>
      <c r="F232">
        <v>39.25</v>
      </c>
      <c r="G232" s="2">
        <v>45796</v>
      </c>
      <c r="H232" t="s">
        <v>23</v>
      </c>
      <c r="I232" t="s">
        <v>1052</v>
      </c>
      <c r="J232" t="s">
        <v>362</v>
      </c>
      <c r="K232">
        <v>1177.5</v>
      </c>
    </row>
    <row r="233" spans="1:11" hidden="1" x14ac:dyDescent="0.45">
      <c r="A233" t="s">
        <v>1053</v>
      </c>
      <c r="B233" t="s">
        <v>1054</v>
      </c>
      <c r="C233" t="s">
        <v>465</v>
      </c>
      <c r="D233" t="s">
        <v>20</v>
      </c>
      <c r="E233">
        <v>50</v>
      </c>
      <c r="F233">
        <v>89.67</v>
      </c>
      <c r="G233" s="2">
        <v>45754</v>
      </c>
      <c r="H233" t="s">
        <v>19</v>
      </c>
      <c r="I233" t="s">
        <v>1055</v>
      </c>
      <c r="J233" t="s">
        <v>362</v>
      </c>
      <c r="K233">
        <v>4483.5</v>
      </c>
    </row>
    <row r="234" spans="1:11" x14ac:dyDescent="0.45">
      <c r="A234" t="s">
        <v>1056</v>
      </c>
      <c r="B234" t="s">
        <v>1057</v>
      </c>
      <c r="C234" t="s">
        <v>368</v>
      </c>
      <c r="D234" t="s">
        <v>20</v>
      </c>
      <c r="E234">
        <v>41</v>
      </c>
      <c r="F234">
        <v>139.16</v>
      </c>
      <c r="G234" s="2">
        <v>45758</v>
      </c>
      <c r="H234" t="s">
        <v>15</v>
      </c>
      <c r="I234" t="s">
        <v>1058</v>
      </c>
      <c r="J234" t="s">
        <v>352</v>
      </c>
      <c r="K234">
        <v>5705.56</v>
      </c>
    </row>
    <row r="235" spans="1:11" hidden="1" x14ac:dyDescent="0.45">
      <c r="A235" t="s">
        <v>1059</v>
      </c>
      <c r="B235" t="s">
        <v>1060</v>
      </c>
      <c r="C235" t="s">
        <v>390</v>
      </c>
      <c r="D235" t="s">
        <v>16</v>
      </c>
      <c r="E235">
        <v>91</v>
      </c>
      <c r="F235">
        <v>145.08000000000001</v>
      </c>
      <c r="G235" s="2">
        <v>45787</v>
      </c>
      <c r="H235" t="s">
        <v>19</v>
      </c>
      <c r="I235" t="s">
        <v>1061</v>
      </c>
      <c r="J235" t="s">
        <v>357</v>
      </c>
      <c r="K235">
        <v>13202.28</v>
      </c>
    </row>
    <row r="236" spans="1:11" x14ac:dyDescent="0.45">
      <c r="A236" t="s">
        <v>1062</v>
      </c>
      <c r="B236" t="s">
        <v>1063</v>
      </c>
      <c r="C236" t="s">
        <v>425</v>
      </c>
      <c r="D236" t="s">
        <v>32</v>
      </c>
      <c r="E236">
        <v>60</v>
      </c>
      <c r="F236">
        <v>69.459999999999994</v>
      </c>
      <c r="G236" s="2">
        <v>45800</v>
      </c>
      <c r="H236" t="s">
        <v>15</v>
      </c>
      <c r="I236" t="s">
        <v>1064</v>
      </c>
      <c r="J236" t="s">
        <v>374</v>
      </c>
      <c r="K236">
        <v>4167.6000000000004</v>
      </c>
    </row>
    <row r="237" spans="1:11" hidden="1" x14ac:dyDescent="0.45">
      <c r="A237" t="s">
        <v>1065</v>
      </c>
      <c r="B237" t="s">
        <v>1066</v>
      </c>
      <c r="C237" t="s">
        <v>360</v>
      </c>
      <c r="D237" t="s">
        <v>43</v>
      </c>
      <c r="E237">
        <v>37</v>
      </c>
      <c r="F237">
        <v>131.88999999999999</v>
      </c>
      <c r="G237" s="2">
        <v>45647</v>
      </c>
      <c r="H237" t="s">
        <v>15</v>
      </c>
      <c r="I237" t="s">
        <v>1067</v>
      </c>
      <c r="J237" t="s">
        <v>357</v>
      </c>
      <c r="K237">
        <v>4879.93</v>
      </c>
    </row>
    <row r="238" spans="1:11" x14ac:dyDescent="0.45">
      <c r="A238" t="s">
        <v>1068</v>
      </c>
      <c r="B238" t="s">
        <v>1069</v>
      </c>
      <c r="C238" t="s">
        <v>406</v>
      </c>
      <c r="D238" t="s">
        <v>32</v>
      </c>
      <c r="E238">
        <v>75</v>
      </c>
      <c r="F238">
        <v>137.09</v>
      </c>
      <c r="G238" s="2">
        <v>45789</v>
      </c>
      <c r="H238" t="s">
        <v>31</v>
      </c>
      <c r="I238" t="s">
        <v>1070</v>
      </c>
      <c r="J238" t="s">
        <v>374</v>
      </c>
      <c r="K238">
        <v>10281.75</v>
      </c>
    </row>
    <row r="239" spans="1:11" hidden="1" x14ac:dyDescent="0.45">
      <c r="A239" t="s">
        <v>1071</v>
      </c>
      <c r="B239" t="s">
        <v>1072</v>
      </c>
      <c r="C239" t="s">
        <v>360</v>
      </c>
      <c r="D239" t="s">
        <v>24</v>
      </c>
      <c r="E239">
        <v>99</v>
      </c>
      <c r="F239">
        <v>125.76</v>
      </c>
      <c r="G239" s="2">
        <v>45683</v>
      </c>
      <c r="H239" t="s">
        <v>31</v>
      </c>
      <c r="I239" t="s">
        <v>1073</v>
      </c>
      <c r="J239" t="s">
        <v>362</v>
      </c>
      <c r="K239">
        <v>12450.24</v>
      </c>
    </row>
    <row r="240" spans="1:11" x14ac:dyDescent="0.45">
      <c r="A240" t="s">
        <v>1074</v>
      </c>
      <c r="B240" t="s">
        <v>1075</v>
      </c>
      <c r="C240" t="s">
        <v>372</v>
      </c>
      <c r="D240" t="s">
        <v>32</v>
      </c>
      <c r="E240">
        <v>11</v>
      </c>
      <c r="F240">
        <v>19.93</v>
      </c>
      <c r="G240" s="2">
        <v>45646</v>
      </c>
      <c r="H240" t="s">
        <v>31</v>
      </c>
      <c r="I240" t="s">
        <v>1076</v>
      </c>
      <c r="J240" t="s">
        <v>352</v>
      </c>
      <c r="K240">
        <v>219.23</v>
      </c>
    </row>
    <row r="241" spans="1:11" hidden="1" x14ac:dyDescent="0.45">
      <c r="A241" t="s">
        <v>1077</v>
      </c>
      <c r="B241" t="s">
        <v>1078</v>
      </c>
      <c r="C241" t="s">
        <v>368</v>
      </c>
      <c r="D241" t="s">
        <v>20</v>
      </c>
      <c r="E241">
        <v>82</v>
      </c>
      <c r="F241">
        <v>87.12</v>
      </c>
      <c r="G241" s="2">
        <v>45641</v>
      </c>
      <c r="H241" t="s">
        <v>23</v>
      </c>
      <c r="I241" t="s">
        <v>1079</v>
      </c>
      <c r="J241" t="s">
        <v>357</v>
      </c>
      <c r="K241">
        <v>7143.84</v>
      </c>
    </row>
    <row r="242" spans="1:11" x14ac:dyDescent="0.45">
      <c r="A242" t="s">
        <v>1080</v>
      </c>
      <c r="B242" t="s">
        <v>1081</v>
      </c>
      <c r="C242" t="s">
        <v>425</v>
      </c>
      <c r="D242" t="s">
        <v>24</v>
      </c>
      <c r="E242">
        <v>64</v>
      </c>
      <c r="F242">
        <v>115.84</v>
      </c>
      <c r="G242" s="2">
        <v>45793</v>
      </c>
      <c r="H242" t="s">
        <v>19</v>
      </c>
      <c r="I242" t="s">
        <v>1082</v>
      </c>
      <c r="J242" t="s">
        <v>374</v>
      </c>
      <c r="K242">
        <v>7413.76</v>
      </c>
    </row>
    <row r="243" spans="1:11" x14ac:dyDescent="0.45">
      <c r="A243" t="s">
        <v>1083</v>
      </c>
      <c r="B243" t="s">
        <v>973</v>
      </c>
      <c r="C243" t="s">
        <v>390</v>
      </c>
      <c r="D243" t="s">
        <v>20</v>
      </c>
      <c r="E243">
        <v>93</v>
      </c>
      <c r="F243">
        <v>44.62</v>
      </c>
      <c r="G243" s="2">
        <v>45786</v>
      </c>
      <c r="H243" t="s">
        <v>19</v>
      </c>
      <c r="I243" t="s">
        <v>1084</v>
      </c>
      <c r="J243" t="s">
        <v>352</v>
      </c>
      <c r="K243">
        <v>4149.66</v>
      </c>
    </row>
    <row r="244" spans="1:11" hidden="1" x14ac:dyDescent="0.45">
      <c r="A244" t="s">
        <v>1085</v>
      </c>
      <c r="B244" t="s">
        <v>1086</v>
      </c>
      <c r="C244" t="s">
        <v>465</v>
      </c>
      <c r="D244" t="s">
        <v>20</v>
      </c>
      <c r="E244">
        <v>62</v>
      </c>
      <c r="F244">
        <v>91.5</v>
      </c>
      <c r="G244" s="2">
        <v>45691</v>
      </c>
      <c r="H244" t="s">
        <v>15</v>
      </c>
      <c r="I244" t="s">
        <v>1087</v>
      </c>
      <c r="J244" t="s">
        <v>362</v>
      </c>
      <c r="K244">
        <v>5673</v>
      </c>
    </row>
    <row r="245" spans="1:11" hidden="1" x14ac:dyDescent="0.45">
      <c r="A245" t="s">
        <v>1088</v>
      </c>
      <c r="B245" t="s">
        <v>1089</v>
      </c>
      <c r="C245" t="s">
        <v>350</v>
      </c>
      <c r="D245" t="s">
        <v>24</v>
      </c>
      <c r="E245">
        <v>90</v>
      </c>
      <c r="F245">
        <v>136.91</v>
      </c>
      <c r="G245" s="2">
        <v>45798</v>
      </c>
      <c r="H245" t="s">
        <v>19</v>
      </c>
      <c r="I245" t="s">
        <v>1090</v>
      </c>
      <c r="J245" t="s">
        <v>362</v>
      </c>
      <c r="K245">
        <v>12321.9</v>
      </c>
    </row>
    <row r="246" spans="1:11" x14ac:dyDescent="0.45">
      <c r="A246" t="s">
        <v>1091</v>
      </c>
      <c r="B246" t="s">
        <v>1092</v>
      </c>
      <c r="C246" t="s">
        <v>425</v>
      </c>
      <c r="D246" t="s">
        <v>43</v>
      </c>
      <c r="E246">
        <v>30</v>
      </c>
      <c r="F246">
        <v>46.75</v>
      </c>
      <c r="G246" s="2">
        <v>45626</v>
      </c>
      <c r="H246" t="s">
        <v>19</v>
      </c>
      <c r="I246" t="s">
        <v>1093</v>
      </c>
      <c r="J246" t="s">
        <v>374</v>
      </c>
      <c r="K246">
        <v>1402.5</v>
      </c>
    </row>
    <row r="247" spans="1:11" hidden="1" x14ac:dyDescent="0.45">
      <c r="A247" t="s">
        <v>1094</v>
      </c>
      <c r="B247" t="s">
        <v>1095</v>
      </c>
      <c r="C247" t="s">
        <v>355</v>
      </c>
      <c r="D247" t="s">
        <v>32</v>
      </c>
      <c r="E247">
        <v>65</v>
      </c>
      <c r="F247">
        <v>150.13999999999999</v>
      </c>
      <c r="G247" s="2">
        <v>45672</v>
      </c>
      <c r="H247" t="s">
        <v>23</v>
      </c>
      <c r="I247" t="s">
        <v>1096</v>
      </c>
      <c r="J247" t="s">
        <v>362</v>
      </c>
      <c r="K247">
        <v>9759.1</v>
      </c>
    </row>
    <row r="248" spans="1:11" x14ac:dyDescent="0.45">
      <c r="A248" t="s">
        <v>1097</v>
      </c>
      <c r="B248" t="s">
        <v>1098</v>
      </c>
      <c r="C248" t="s">
        <v>406</v>
      </c>
      <c r="D248" t="s">
        <v>24</v>
      </c>
      <c r="E248">
        <v>56</v>
      </c>
      <c r="F248">
        <v>37.31</v>
      </c>
      <c r="G248" s="2">
        <v>45795</v>
      </c>
      <c r="H248" t="s">
        <v>19</v>
      </c>
      <c r="I248" t="s">
        <v>1099</v>
      </c>
      <c r="J248" t="s">
        <v>374</v>
      </c>
      <c r="K248">
        <v>2089.36</v>
      </c>
    </row>
    <row r="249" spans="1:11" hidden="1" x14ac:dyDescent="0.45">
      <c r="A249" t="s">
        <v>1100</v>
      </c>
      <c r="B249" t="s">
        <v>1101</v>
      </c>
      <c r="C249" t="s">
        <v>350</v>
      </c>
      <c r="D249" t="s">
        <v>43</v>
      </c>
      <c r="E249">
        <v>2</v>
      </c>
      <c r="F249">
        <v>112.55</v>
      </c>
      <c r="G249" s="2">
        <v>45674</v>
      </c>
      <c r="H249" t="s">
        <v>15</v>
      </c>
      <c r="I249" t="s">
        <v>1102</v>
      </c>
      <c r="J249" t="s">
        <v>362</v>
      </c>
      <c r="K249">
        <v>225.1</v>
      </c>
    </row>
    <row r="250" spans="1:11" hidden="1" x14ac:dyDescent="0.45">
      <c r="A250" t="s">
        <v>1103</v>
      </c>
      <c r="B250" t="s">
        <v>1104</v>
      </c>
      <c r="C250" t="s">
        <v>465</v>
      </c>
      <c r="D250" t="s">
        <v>43</v>
      </c>
      <c r="E250">
        <v>32</v>
      </c>
      <c r="F250">
        <v>22.82</v>
      </c>
      <c r="G250" s="2">
        <v>45788</v>
      </c>
      <c r="H250" t="s">
        <v>31</v>
      </c>
      <c r="I250" t="s">
        <v>1105</v>
      </c>
      <c r="J250" t="s">
        <v>362</v>
      </c>
      <c r="K250">
        <v>730.24</v>
      </c>
    </row>
    <row r="251" spans="1:11" hidden="1" x14ac:dyDescent="0.45">
      <c r="A251" t="s">
        <v>1106</v>
      </c>
      <c r="B251" t="s">
        <v>1107</v>
      </c>
      <c r="C251" t="s">
        <v>425</v>
      </c>
      <c r="D251" t="s">
        <v>43</v>
      </c>
      <c r="E251">
        <v>94</v>
      </c>
      <c r="F251">
        <v>142.35</v>
      </c>
      <c r="G251" s="2">
        <v>45631</v>
      </c>
      <c r="H251" t="s">
        <v>15</v>
      </c>
      <c r="I251" t="s">
        <v>1108</v>
      </c>
      <c r="J251" t="s">
        <v>357</v>
      </c>
      <c r="K251">
        <v>13380.9</v>
      </c>
    </row>
    <row r="252" spans="1:11" x14ac:dyDescent="0.45">
      <c r="A252" t="s">
        <v>1109</v>
      </c>
      <c r="B252" t="s">
        <v>1110</v>
      </c>
      <c r="C252" t="s">
        <v>465</v>
      </c>
      <c r="D252" t="s">
        <v>20</v>
      </c>
      <c r="E252">
        <v>45</v>
      </c>
      <c r="F252">
        <v>64.17</v>
      </c>
      <c r="G252" s="2">
        <v>45737</v>
      </c>
      <c r="H252" t="s">
        <v>19</v>
      </c>
      <c r="I252" t="s">
        <v>1111</v>
      </c>
      <c r="J252" t="s">
        <v>352</v>
      </c>
      <c r="K252">
        <v>2887.65</v>
      </c>
    </row>
    <row r="253" spans="1:11" hidden="1" x14ac:dyDescent="0.45">
      <c r="A253" t="s">
        <v>1112</v>
      </c>
      <c r="B253" t="s">
        <v>1113</v>
      </c>
      <c r="C253" t="s">
        <v>368</v>
      </c>
      <c r="D253" t="s">
        <v>16</v>
      </c>
      <c r="E253">
        <v>61</v>
      </c>
      <c r="F253">
        <v>165.97</v>
      </c>
      <c r="G253" s="2">
        <v>45648</v>
      </c>
      <c r="H253" t="s">
        <v>31</v>
      </c>
      <c r="I253" t="s">
        <v>1114</v>
      </c>
      <c r="J253" t="s">
        <v>357</v>
      </c>
      <c r="K253">
        <v>10124.17</v>
      </c>
    </row>
    <row r="254" spans="1:11" hidden="1" x14ac:dyDescent="0.45">
      <c r="A254" t="s">
        <v>1115</v>
      </c>
      <c r="B254" t="s">
        <v>1116</v>
      </c>
      <c r="C254" t="s">
        <v>406</v>
      </c>
      <c r="D254" t="s">
        <v>32</v>
      </c>
      <c r="E254">
        <v>37</v>
      </c>
      <c r="F254">
        <v>132.9</v>
      </c>
      <c r="G254" s="2">
        <v>45655</v>
      </c>
      <c r="H254" t="s">
        <v>23</v>
      </c>
      <c r="I254" t="s">
        <v>1117</v>
      </c>
      <c r="J254" t="s">
        <v>357</v>
      </c>
      <c r="K254">
        <v>4917.3</v>
      </c>
    </row>
    <row r="255" spans="1:11" hidden="1" x14ac:dyDescent="0.45">
      <c r="A255" t="s">
        <v>1118</v>
      </c>
      <c r="B255" t="s">
        <v>1119</v>
      </c>
      <c r="C255" t="s">
        <v>350</v>
      </c>
      <c r="D255" t="s">
        <v>16</v>
      </c>
      <c r="E255">
        <v>36</v>
      </c>
      <c r="F255">
        <v>148.80000000000001</v>
      </c>
      <c r="G255" s="2">
        <v>45761</v>
      </c>
      <c r="H255" t="s">
        <v>19</v>
      </c>
      <c r="I255" t="s">
        <v>1120</v>
      </c>
      <c r="J255" t="s">
        <v>362</v>
      </c>
      <c r="K255">
        <v>5356.8</v>
      </c>
    </row>
    <row r="256" spans="1:11" x14ac:dyDescent="0.45">
      <c r="A256" t="s">
        <v>1121</v>
      </c>
      <c r="B256" t="s">
        <v>1122</v>
      </c>
      <c r="C256" t="s">
        <v>406</v>
      </c>
      <c r="D256" t="s">
        <v>32</v>
      </c>
      <c r="E256">
        <v>70</v>
      </c>
      <c r="F256">
        <v>170.84</v>
      </c>
      <c r="G256" s="2">
        <v>45711</v>
      </c>
      <c r="H256" t="s">
        <v>31</v>
      </c>
      <c r="I256" t="s">
        <v>1123</v>
      </c>
      <c r="J256" t="s">
        <v>352</v>
      </c>
      <c r="K256">
        <v>11958.8</v>
      </c>
    </row>
    <row r="257" spans="1:11" hidden="1" x14ac:dyDescent="0.45">
      <c r="A257" t="s">
        <v>1124</v>
      </c>
      <c r="B257" t="s">
        <v>1125</v>
      </c>
      <c r="C257" t="s">
        <v>425</v>
      </c>
      <c r="D257" t="s">
        <v>32</v>
      </c>
      <c r="E257">
        <v>27</v>
      </c>
      <c r="F257">
        <v>124.18</v>
      </c>
      <c r="G257" s="2">
        <v>45651</v>
      </c>
      <c r="H257" t="s">
        <v>31</v>
      </c>
      <c r="I257" t="s">
        <v>1126</v>
      </c>
      <c r="J257" t="s">
        <v>362</v>
      </c>
      <c r="K257">
        <v>3352.86</v>
      </c>
    </row>
    <row r="258" spans="1:11" x14ac:dyDescent="0.45">
      <c r="A258" t="s">
        <v>1127</v>
      </c>
      <c r="B258" t="s">
        <v>1128</v>
      </c>
      <c r="C258" t="s">
        <v>425</v>
      </c>
      <c r="D258" t="s">
        <v>24</v>
      </c>
      <c r="E258">
        <v>92</v>
      </c>
      <c r="F258">
        <v>169.52</v>
      </c>
      <c r="G258" s="2">
        <v>45664</v>
      </c>
      <c r="H258" t="s">
        <v>15</v>
      </c>
      <c r="I258" t="s">
        <v>1129</v>
      </c>
      <c r="J258" t="s">
        <v>374</v>
      </c>
      <c r="K258">
        <v>15595.84</v>
      </c>
    </row>
    <row r="259" spans="1:11" x14ac:dyDescent="0.45">
      <c r="A259" t="s">
        <v>1130</v>
      </c>
      <c r="B259" t="s">
        <v>1131</v>
      </c>
      <c r="C259" t="s">
        <v>368</v>
      </c>
      <c r="D259" t="s">
        <v>20</v>
      </c>
      <c r="E259">
        <v>44</v>
      </c>
      <c r="F259">
        <v>161.87</v>
      </c>
      <c r="G259" s="2">
        <v>45727</v>
      </c>
      <c r="H259" t="s">
        <v>19</v>
      </c>
      <c r="I259" t="s">
        <v>1132</v>
      </c>
      <c r="J259" t="s">
        <v>352</v>
      </c>
      <c r="K259">
        <v>7122.28</v>
      </c>
    </row>
    <row r="260" spans="1:11" x14ac:dyDescent="0.45">
      <c r="A260" t="s">
        <v>1133</v>
      </c>
      <c r="B260" t="s">
        <v>1134</v>
      </c>
      <c r="C260" t="s">
        <v>380</v>
      </c>
      <c r="D260" t="s">
        <v>24</v>
      </c>
      <c r="E260">
        <v>78</v>
      </c>
      <c r="F260">
        <v>61.11</v>
      </c>
      <c r="G260" s="2">
        <v>45745</v>
      </c>
      <c r="H260" t="s">
        <v>23</v>
      </c>
      <c r="I260" t="s">
        <v>1135</v>
      </c>
      <c r="J260" t="s">
        <v>374</v>
      </c>
      <c r="K260">
        <v>4766.58</v>
      </c>
    </row>
    <row r="261" spans="1:11" x14ac:dyDescent="0.45">
      <c r="A261" t="s">
        <v>1136</v>
      </c>
      <c r="B261" t="s">
        <v>1137</v>
      </c>
      <c r="C261" t="s">
        <v>390</v>
      </c>
      <c r="D261" t="s">
        <v>16</v>
      </c>
      <c r="E261">
        <v>25</v>
      </c>
      <c r="F261">
        <v>109.22</v>
      </c>
      <c r="G261" s="2">
        <v>45705</v>
      </c>
      <c r="H261" t="s">
        <v>31</v>
      </c>
      <c r="I261" t="s">
        <v>1138</v>
      </c>
      <c r="J261" t="s">
        <v>374</v>
      </c>
      <c r="K261">
        <v>2730.5</v>
      </c>
    </row>
    <row r="262" spans="1:11" x14ac:dyDescent="0.45">
      <c r="A262" t="s">
        <v>1139</v>
      </c>
      <c r="B262" t="s">
        <v>1140</v>
      </c>
      <c r="C262" t="s">
        <v>355</v>
      </c>
      <c r="D262" t="s">
        <v>32</v>
      </c>
      <c r="E262">
        <v>86</v>
      </c>
      <c r="F262">
        <v>174.12</v>
      </c>
      <c r="G262" s="2">
        <v>45679</v>
      </c>
      <c r="H262" t="s">
        <v>15</v>
      </c>
      <c r="I262" t="s">
        <v>1141</v>
      </c>
      <c r="J262" t="s">
        <v>374</v>
      </c>
      <c r="K262">
        <v>14974.32</v>
      </c>
    </row>
    <row r="263" spans="1:11" x14ac:dyDescent="0.45">
      <c r="A263" t="s">
        <v>1142</v>
      </c>
      <c r="B263" t="s">
        <v>1143</v>
      </c>
      <c r="C263" t="s">
        <v>406</v>
      </c>
      <c r="D263" t="s">
        <v>43</v>
      </c>
      <c r="E263">
        <v>59</v>
      </c>
      <c r="F263">
        <v>82.72</v>
      </c>
      <c r="G263" s="2">
        <v>45679</v>
      </c>
      <c r="H263" t="s">
        <v>19</v>
      </c>
      <c r="I263" t="s">
        <v>1144</v>
      </c>
      <c r="J263" t="s">
        <v>374</v>
      </c>
      <c r="K263">
        <v>4880.4799999999996</v>
      </c>
    </row>
    <row r="264" spans="1:11" x14ac:dyDescent="0.45">
      <c r="A264" t="s">
        <v>1145</v>
      </c>
      <c r="B264" t="s">
        <v>1146</v>
      </c>
      <c r="C264" t="s">
        <v>406</v>
      </c>
      <c r="D264" t="s">
        <v>20</v>
      </c>
      <c r="E264">
        <v>75</v>
      </c>
      <c r="F264">
        <v>196.23</v>
      </c>
      <c r="G264" s="2">
        <v>45740</v>
      </c>
      <c r="H264" t="s">
        <v>31</v>
      </c>
      <c r="I264" t="s">
        <v>1147</v>
      </c>
      <c r="J264" t="s">
        <v>352</v>
      </c>
      <c r="K264">
        <v>14717.25</v>
      </c>
    </row>
    <row r="265" spans="1:11" x14ac:dyDescent="0.45">
      <c r="A265" t="s">
        <v>1148</v>
      </c>
      <c r="B265" t="s">
        <v>1149</v>
      </c>
      <c r="C265" t="s">
        <v>372</v>
      </c>
      <c r="D265" t="s">
        <v>43</v>
      </c>
      <c r="E265">
        <v>50</v>
      </c>
      <c r="F265">
        <v>82.21</v>
      </c>
      <c r="G265" s="2">
        <v>45734</v>
      </c>
      <c r="H265" t="s">
        <v>15</v>
      </c>
      <c r="I265" t="s">
        <v>1150</v>
      </c>
      <c r="J265" t="s">
        <v>374</v>
      </c>
      <c r="K265">
        <v>4110.5</v>
      </c>
    </row>
    <row r="266" spans="1:11" x14ac:dyDescent="0.45">
      <c r="A266" t="s">
        <v>1151</v>
      </c>
      <c r="B266" t="s">
        <v>1152</v>
      </c>
      <c r="C266" t="s">
        <v>372</v>
      </c>
      <c r="D266" t="s">
        <v>43</v>
      </c>
      <c r="E266">
        <v>84</v>
      </c>
      <c r="F266">
        <v>120.99</v>
      </c>
      <c r="G266" s="2">
        <v>45740</v>
      </c>
      <c r="H266" t="s">
        <v>15</v>
      </c>
      <c r="I266" t="s">
        <v>1153</v>
      </c>
      <c r="J266" t="s">
        <v>352</v>
      </c>
      <c r="K266">
        <v>10163.16</v>
      </c>
    </row>
    <row r="267" spans="1:11" x14ac:dyDescent="0.45">
      <c r="A267" t="s">
        <v>1154</v>
      </c>
      <c r="B267" t="s">
        <v>1155</v>
      </c>
      <c r="C267" t="s">
        <v>390</v>
      </c>
      <c r="D267" t="s">
        <v>24</v>
      </c>
      <c r="E267">
        <v>37</v>
      </c>
      <c r="F267">
        <v>61.94</v>
      </c>
      <c r="G267" s="2">
        <v>45682</v>
      </c>
      <c r="H267" t="s">
        <v>15</v>
      </c>
      <c r="I267" t="s">
        <v>1156</v>
      </c>
      <c r="J267" t="s">
        <v>352</v>
      </c>
      <c r="K267">
        <v>2291.7800000000002</v>
      </c>
    </row>
    <row r="268" spans="1:11" hidden="1" x14ac:dyDescent="0.45">
      <c r="A268" t="s">
        <v>1157</v>
      </c>
      <c r="B268" t="s">
        <v>1158</v>
      </c>
      <c r="C268" t="s">
        <v>380</v>
      </c>
      <c r="D268" t="s">
        <v>20</v>
      </c>
      <c r="E268">
        <v>79</v>
      </c>
      <c r="F268">
        <v>157.79</v>
      </c>
      <c r="G268" s="2">
        <v>45670</v>
      </c>
      <c r="H268" t="s">
        <v>15</v>
      </c>
      <c r="I268" t="s">
        <v>1159</v>
      </c>
      <c r="J268" t="s">
        <v>362</v>
      </c>
      <c r="K268">
        <v>12465.41</v>
      </c>
    </row>
    <row r="269" spans="1:11" x14ac:dyDescent="0.45">
      <c r="A269" t="s">
        <v>1160</v>
      </c>
      <c r="B269" t="s">
        <v>1161</v>
      </c>
      <c r="C269" t="s">
        <v>368</v>
      </c>
      <c r="D269" t="s">
        <v>43</v>
      </c>
      <c r="E269">
        <v>46</v>
      </c>
      <c r="F269">
        <v>34.049999999999997</v>
      </c>
      <c r="G269" s="2">
        <v>45755</v>
      </c>
      <c r="H269" t="s">
        <v>19</v>
      </c>
      <c r="I269" t="s">
        <v>1162</v>
      </c>
      <c r="J269" t="s">
        <v>352</v>
      </c>
      <c r="K269">
        <v>1566.3</v>
      </c>
    </row>
    <row r="270" spans="1:11" hidden="1" x14ac:dyDescent="0.45">
      <c r="A270" t="s">
        <v>1163</v>
      </c>
      <c r="B270" t="s">
        <v>1164</v>
      </c>
      <c r="C270" t="s">
        <v>390</v>
      </c>
      <c r="D270" t="s">
        <v>32</v>
      </c>
      <c r="E270">
        <v>11</v>
      </c>
      <c r="F270">
        <v>147.11000000000001</v>
      </c>
      <c r="G270" s="2">
        <v>45717</v>
      </c>
      <c r="H270" t="s">
        <v>19</v>
      </c>
      <c r="I270" t="s">
        <v>1165</v>
      </c>
      <c r="J270" t="s">
        <v>357</v>
      </c>
      <c r="K270">
        <v>1618.21</v>
      </c>
    </row>
    <row r="271" spans="1:11" x14ac:dyDescent="0.45">
      <c r="A271" t="s">
        <v>1166</v>
      </c>
      <c r="B271" t="s">
        <v>1167</v>
      </c>
      <c r="C271" t="s">
        <v>368</v>
      </c>
      <c r="D271" t="s">
        <v>24</v>
      </c>
      <c r="E271">
        <v>45</v>
      </c>
      <c r="F271">
        <v>191.82</v>
      </c>
      <c r="G271" s="2">
        <v>45795</v>
      </c>
      <c r="H271" t="s">
        <v>23</v>
      </c>
      <c r="I271" t="s">
        <v>1168</v>
      </c>
      <c r="J271" t="s">
        <v>374</v>
      </c>
      <c r="K271">
        <v>8631.9</v>
      </c>
    </row>
    <row r="272" spans="1:11" x14ac:dyDescent="0.45">
      <c r="A272" t="s">
        <v>1169</v>
      </c>
      <c r="B272" t="s">
        <v>1170</v>
      </c>
      <c r="C272" t="s">
        <v>368</v>
      </c>
      <c r="D272" t="s">
        <v>24</v>
      </c>
      <c r="E272">
        <v>21</v>
      </c>
      <c r="F272">
        <v>85.07</v>
      </c>
      <c r="G272" s="2">
        <v>45676</v>
      </c>
      <c r="H272" t="s">
        <v>23</v>
      </c>
      <c r="I272" t="s">
        <v>1171</v>
      </c>
      <c r="J272" t="s">
        <v>374</v>
      </c>
      <c r="K272">
        <v>1786.47</v>
      </c>
    </row>
    <row r="273" spans="1:11" x14ac:dyDescent="0.45">
      <c r="A273" t="s">
        <v>1172</v>
      </c>
      <c r="B273" t="s">
        <v>1173</v>
      </c>
      <c r="C273" t="s">
        <v>372</v>
      </c>
      <c r="D273" t="s">
        <v>32</v>
      </c>
      <c r="E273">
        <v>63</v>
      </c>
      <c r="F273">
        <v>82.81</v>
      </c>
      <c r="G273" s="2">
        <v>45638</v>
      </c>
      <c r="H273" t="s">
        <v>19</v>
      </c>
      <c r="I273" t="s">
        <v>1174</v>
      </c>
      <c r="J273" t="s">
        <v>352</v>
      </c>
      <c r="K273">
        <v>5217.03</v>
      </c>
    </row>
    <row r="274" spans="1:11" hidden="1" x14ac:dyDescent="0.45">
      <c r="A274" t="s">
        <v>1175</v>
      </c>
      <c r="B274" t="s">
        <v>1176</v>
      </c>
      <c r="C274" t="s">
        <v>406</v>
      </c>
      <c r="D274" t="s">
        <v>32</v>
      </c>
      <c r="E274">
        <v>18</v>
      </c>
      <c r="F274">
        <v>52.72</v>
      </c>
      <c r="G274" s="2">
        <v>45763</v>
      </c>
      <c r="H274" t="s">
        <v>19</v>
      </c>
      <c r="I274" t="s">
        <v>1177</v>
      </c>
      <c r="J274" t="s">
        <v>357</v>
      </c>
      <c r="K274">
        <v>948.96</v>
      </c>
    </row>
    <row r="275" spans="1:11" hidden="1" x14ac:dyDescent="0.45">
      <c r="A275" t="s">
        <v>1178</v>
      </c>
      <c r="B275" t="s">
        <v>1179</v>
      </c>
      <c r="C275" t="s">
        <v>390</v>
      </c>
      <c r="D275" t="s">
        <v>32</v>
      </c>
      <c r="E275">
        <v>87</v>
      </c>
      <c r="F275">
        <v>191.59</v>
      </c>
      <c r="G275" s="2">
        <v>45691</v>
      </c>
      <c r="H275" t="s">
        <v>19</v>
      </c>
      <c r="I275" t="s">
        <v>1180</v>
      </c>
      <c r="J275" t="s">
        <v>362</v>
      </c>
      <c r="K275">
        <v>16668.330000000002</v>
      </c>
    </row>
    <row r="276" spans="1:11" hidden="1" x14ac:dyDescent="0.45">
      <c r="A276" t="s">
        <v>1181</v>
      </c>
      <c r="B276" t="s">
        <v>1182</v>
      </c>
      <c r="C276" t="s">
        <v>390</v>
      </c>
      <c r="D276" t="s">
        <v>16</v>
      </c>
      <c r="E276">
        <v>22</v>
      </c>
      <c r="F276">
        <v>163.04</v>
      </c>
      <c r="G276" s="2">
        <v>45627</v>
      </c>
      <c r="H276" t="s">
        <v>23</v>
      </c>
      <c r="I276" t="s">
        <v>1183</v>
      </c>
      <c r="J276" t="s">
        <v>357</v>
      </c>
      <c r="K276">
        <v>3586.88</v>
      </c>
    </row>
    <row r="277" spans="1:11" hidden="1" x14ac:dyDescent="0.45">
      <c r="A277" t="s">
        <v>1184</v>
      </c>
      <c r="B277" t="s">
        <v>1185</v>
      </c>
      <c r="C277" t="s">
        <v>465</v>
      </c>
      <c r="D277" t="s">
        <v>24</v>
      </c>
      <c r="E277">
        <v>18</v>
      </c>
      <c r="F277">
        <v>157.72</v>
      </c>
      <c r="G277" s="2">
        <v>45731</v>
      </c>
      <c r="H277" t="s">
        <v>19</v>
      </c>
      <c r="I277" t="s">
        <v>1186</v>
      </c>
      <c r="J277" t="s">
        <v>357</v>
      </c>
      <c r="K277">
        <v>2838.96</v>
      </c>
    </row>
    <row r="278" spans="1:11" x14ac:dyDescent="0.45">
      <c r="A278" t="s">
        <v>1187</v>
      </c>
      <c r="B278" t="s">
        <v>1188</v>
      </c>
      <c r="C278" t="s">
        <v>360</v>
      </c>
      <c r="D278" t="s">
        <v>32</v>
      </c>
      <c r="E278">
        <v>10</v>
      </c>
      <c r="F278">
        <v>147.35</v>
      </c>
      <c r="G278" s="2">
        <v>45668</v>
      </c>
      <c r="H278" t="s">
        <v>31</v>
      </c>
      <c r="I278" t="s">
        <v>1189</v>
      </c>
      <c r="J278" t="s">
        <v>374</v>
      </c>
      <c r="K278">
        <v>1473.5</v>
      </c>
    </row>
    <row r="279" spans="1:11" x14ac:dyDescent="0.45">
      <c r="A279" t="s">
        <v>1190</v>
      </c>
      <c r="B279" t="s">
        <v>1191</v>
      </c>
      <c r="C279" t="s">
        <v>372</v>
      </c>
      <c r="D279" t="s">
        <v>16</v>
      </c>
      <c r="E279">
        <v>21</v>
      </c>
      <c r="F279">
        <v>98.33</v>
      </c>
      <c r="G279" s="2">
        <v>45739</v>
      </c>
      <c r="H279" t="s">
        <v>15</v>
      </c>
      <c r="I279" t="s">
        <v>1192</v>
      </c>
      <c r="J279" t="s">
        <v>352</v>
      </c>
      <c r="K279">
        <v>2064.9299999999998</v>
      </c>
    </row>
    <row r="280" spans="1:11" x14ac:dyDescent="0.45">
      <c r="A280" t="s">
        <v>1193</v>
      </c>
      <c r="B280" t="s">
        <v>1194</v>
      </c>
      <c r="C280" t="s">
        <v>355</v>
      </c>
      <c r="D280" t="s">
        <v>24</v>
      </c>
      <c r="E280">
        <v>54</v>
      </c>
      <c r="F280">
        <v>154.37</v>
      </c>
      <c r="G280" s="2">
        <v>45731</v>
      </c>
      <c r="H280" t="s">
        <v>15</v>
      </c>
      <c r="I280" t="s">
        <v>1195</v>
      </c>
      <c r="J280" t="s">
        <v>352</v>
      </c>
      <c r="K280">
        <v>8335.98</v>
      </c>
    </row>
    <row r="281" spans="1:11" hidden="1" x14ac:dyDescent="0.45">
      <c r="A281" t="s">
        <v>1196</v>
      </c>
      <c r="B281" t="s">
        <v>1197</v>
      </c>
      <c r="C281" t="s">
        <v>360</v>
      </c>
      <c r="D281" t="s">
        <v>20</v>
      </c>
      <c r="E281">
        <v>17</v>
      </c>
      <c r="F281">
        <v>171.28</v>
      </c>
      <c r="G281" s="2">
        <v>45735</v>
      </c>
      <c r="H281" t="s">
        <v>31</v>
      </c>
      <c r="I281" t="s">
        <v>1198</v>
      </c>
      <c r="J281" t="s">
        <v>362</v>
      </c>
      <c r="K281">
        <v>2911.76</v>
      </c>
    </row>
    <row r="282" spans="1:11" x14ac:dyDescent="0.45">
      <c r="A282" t="s">
        <v>1199</v>
      </c>
      <c r="B282" t="s">
        <v>1200</v>
      </c>
      <c r="C282" t="s">
        <v>355</v>
      </c>
      <c r="D282" t="s">
        <v>24</v>
      </c>
      <c r="E282">
        <v>8</v>
      </c>
      <c r="F282">
        <v>73.09</v>
      </c>
      <c r="G282" s="2">
        <v>45756</v>
      </c>
      <c r="H282" t="s">
        <v>31</v>
      </c>
      <c r="I282" t="s">
        <v>1201</v>
      </c>
      <c r="J282" t="s">
        <v>374</v>
      </c>
      <c r="K282">
        <v>584.72</v>
      </c>
    </row>
    <row r="283" spans="1:11" x14ac:dyDescent="0.45">
      <c r="A283" t="s">
        <v>1202</v>
      </c>
      <c r="B283" t="s">
        <v>1203</v>
      </c>
      <c r="C283" t="s">
        <v>368</v>
      </c>
      <c r="D283" t="s">
        <v>43</v>
      </c>
      <c r="E283">
        <v>98</v>
      </c>
      <c r="F283">
        <v>37.75</v>
      </c>
      <c r="G283" s="2">
        <v>45761</v>
      </c>
      <c r="H283" t="s">
        <v>15</v>
      </c>
      <c r="I283" t="s">
        <v>1204</v>
      </c>
      <c r="J283" t="s">
        <v>374</v>
      </c>
      <c r="K283">
        <v>3699.5</v>
      </c>
    </row>
    <row r="284" spans="1:11" x14ac:dyDescent="0.45">
      <c r="A284" t="s">
        <v>1205</v>
      </c>
      <c r="B284" t="s">
        <v>1206</v>
      </c>
      <c r="C284" t="s">
        <v>390</v>
      </c>
      <c r="D284" t="s">
        <v>43</v>
      </c>
      <c r="E284">
        <v>2</v>
      </c>
      <c r="F284">
        <v>41.55</v>
      </c>
      <c r="G284" s="2">
        <v>45648</v>
      </c>
      <c r="H284" t="s">
        <v>15</v>
      </c>
      <c r="I284" t="s">
        <v>1207</v>
      </c>
      <c r="J284" t="s">
        <v>352</v>
      </c>
      <c r="K284">
        <v>83.1</v>
      </c>
    </row>
    <row r="285" spans="1:11" x14ac:dyDescent="0.45">
      <c r="A285" t="s">
        <v>1208</v>
      </c>
      <c r="B285" t="s">
        <v>1209</v>
      </c>
      <c r="C285" t="s">
        <v>406</v>
      </c>
      <c r="D285" t="s">
        <v>16</v>
      </c>
      <c r="E285">
        <v>53</v>
      </c>
      <c r="F285">
        <v>125.79</v>
      </c>
      <c r="G285" s="2">
        <v>45804</v>
      </c>
      <c r="H285" t="s">
        <v>31</v>
      </c>
      <c r="I285" t="s">
        <v>1210</v>
      </c>
      <c r="J285" t="s">
        <v>352</v>
      </c>
      <c r="K285">
        <v>6666.87</v>
      </c>
    </row>
    <row r="286" spans="1:11" x14ac:dyDescent="0.45">
      <c r="A286" t="s">
        <v>1211</v>
      </c>
      <c r="B286" t="s">
        <v>1212</v>
      </c>
      <c r="C286" t="s">
        <v>360</v>
      </c>
      <c r="D286" t="s">
        <v>24</v>
      </c>
      <c r="E286">
        <v>74</v>
      </c>
      <c r="F286">
        <v>10.23</v>
      </c>
      <c r="G286" s="2">
        <v>45785</v>
      </c>
      <c r="H286" t="s">
        <v>23</v>
      </c>
      <c r="I286" t="s">
        <v>1213</v>
      </c>
      <c r="J286" t="s">
        <v>374</v>
      </c>
      <c r="K286">
        <v>757.02</v>
      </c>
    </row>
    <row r="287" spans="1:11" x14ac:dyDescent="0.45">
      <c r="A287" t="s">
        <v>1214</v>
      </c>
      <c r="B287" t="s">
        <v>1215</v>
      </c>
      <c r="C287" t="s">
        <v>465</v>
      </c>
      <c r="D287" t="s">
        <v>24</v>
      </c>
      <c r="E287">
        <v>95</v>
      </c>
      <c r="F287">
        <v>101.21</v>
      </c>
      <c r="G287" s="2">
        <v>45696</v>
      </c>
      <c r="H287" t="s">
        <v>19</v>
      </c>
      <c r="I287" t="s">
        <v>1216</v>
      </c>
      <c r="J287" t="s">
        <v>374</v>
      </c>
      <c r="K287">
        <v>9614.9500000000007</v>
      </c>
    </row>
    <row r="288" spans="1:11" hidden="1" x14ac:dyDescent="0.45">
      <c r="A288" t="s">
        <v>1217</v>
      </c>
      <c r="B288" t="s">
        <v>1218</v>
      </c>
      <c r="C288" t="s">
        <v>406</v>
      </c>
      <c r="D288" t="s">
        <v>16</v>
      </c>
      <c r="E288">
        <v>1</v>
      </c>
      <c r="F288">
        <v>192.31</v>
      </c>
      <c r="G288" s="2">
        <v>45720</v>
      </c>
      <c r="H288" t="s">
        <v>23</v>
      </c>
      <c r="I288" t="s">
        <v>1219</v>
      </c>
      <c r="J288" t="s">
        <v>362</v>
      </c>
      <c r="K288">
        <v>192.31</v>
      </c>
    </row>
    <row r="289" spans="1:11" hidden="1" x14ac:dyDescent="0.45">
      <c r="A289" t="s">
        <v>1220</v>
      </c>
      <c r="B289" t="s">
        <v>1058</v>
      </c>
      <c r="C289" t="s">
        <v>465</v>
      </c>
      <c r="D289" t="s">
        <v>24</v>
      </c>
      <c r="E289">
        <v>72</v>
      </c>
      <c r="F289">
        <v>160.08000000000001</v>
      </c>
      <c r="G289" s="2">
        <v>45762</v>
      </c>
      <c r="H289" t="s">
        <v>23</v>
      </c>
      <c r="I289" t="s">
        <v>1221</v>
      </c>
      <c r="J289" t="s">
        <v>357</v>
      </c>
      <c r="K289">
        <v>11525.76</v>
      </c>
    </row>
    <row r="290" spans="1:11" x14ac:dyDescent="0.45">
      <c r="A290" t="s">
        <v>1222</v>
      </c>
      <c r="B290" t="s">
        <v>1223</v>
      </c>
      <c r="C290" t="s">
        <v>350</v>
      </c>
      <c r="D290" t="s">
        <v>24</v>
      </c>
      <c r="E290">
        <v>49</v>
      </c>
      <c r="F290">
        <v>95.99</v>
      </c>
      <c r="G290" s="2">
        <v>45631</v>
      </c>
      <c r="H290" t="s">
        <v>31</v>
      </c>
      <c r="I290" t="s">
        <v>435</v>
      </c>
      <c r="J290" t="s">
        <v>374</v>
      </c>
      <c r="K290">
        <v>4703.51</v>
      </c>
    </row>
    <row r="291" spans="1:11" hidden="1" x14ac:dyDescent="0.45">
      <c r="A291" t="s">
        <v>1224</v>
      </c>
      <c r="B291" t="s">
        <v>1225</v>
      </c>
      <c r="C291" t="s">
        <v>406</v>
      </c>
      <c r="D291" t="s">
        <v>32</v>
      </c>
      <c r="E291">
        <v>16</v>
      </c>
      <c r="F291">
        <v>87.27</v>
      </c>
      <c r="G291" s="2">
        <v>45802</v>
      </c>
      <c r="H291" t="s">
        <v>31</v>
      </c>
      <c r="I291" t="s">
        <v>1226</v>
      </c>
      <c r="J291" t="s">
        <v>362</v>
      </c>
      <c r="K291">
        <v>1396.32</v>
      </c>
    </row>
    <row r="292" spans="1:11" x14ac:dyDescent="0.45">
      <c r="A292" t="s">
        <v>1227</v>
      </c>
      <c r="B292" t="s">
        <v>1228</v>
      </c>
      <c r="C292" t="s">
        <v>390</v>
      </c>
      <c r="D292" t="s">
        <v>20</v>
      </c>
      <c r="E292">
        <v>54</v>
      </c>
      <c r="F292">
        <v>154.56</v>
      </c>
      <c r="G292" s="2">
        <v>45642</v>
      </c>
      <c r="H292" t="s">
        <v>15</v>
      </c>
      <c r="I292" t="s">
        <v>1229</v>
      </c>
      <c r="J292" t="s">
        <v>352</v>
      </c>
      <c r="K292">
        <v>8346.24</v>
      </c>
    </row>
    <row r="293" spans="1:11" hidden="1" x14ac:dyDescent="0.45">
      <c r="A293" t="s">
        <v>1230</v>
      </c>
      <c r="B293" t="s">
        <v>1231</v>
      </c>
      <c r="C293" t="s">
        <v>425</v>
      </c>
      <c r="D293" t="s">
        <v>16</v>
      </c>
      <c r="E293">
        <v>86</v>
      </c>
      <c r="F293">
        <v>186.88</v>
      </c>
      <c r="G293" s="2">
        <v>45717</v>
      </c>
      <c r="H293" t="s">
        <v>23</v>
      </c>
      <c r="I293" t="s">
        <v>1232</v>
      </c>
      <c r="J293" t="s">
        <v>362</v>
      </c>
      <c r="K293">
        <v>16071.68</v>
      </c>
    </row>
    <row r="294" spans="1:11" hidden="1" x14ac:dyDescent="0.45">
      <c r="A294" t="s">
        <v>1233</v>
      </c>
      <c r="B294" t="s">
        <v>1234</v>
      </c>
      <c r="C294" t="s">
        <v>390</v>
      </c>
      <c r="D294" t="s">
        <v>43</v>
      </c>
      <c r="E294">
        <v>76</v>
      </c>
      <c r="F294">
        <v>177.77</v>
      </c>
      <c r="G294" s="2">
        <v>45750</v>
      </c>
      <c r="H294" t="s">
        <v>23</v>
      </c>
      <c r="I294" t="s">
        <v>1235</v>
      </c>
      <c r="J294" t="s">
        <v>357</v>
      </c>
      <c r="K294">
        <v>13510.52</v>
      </c>
    </row>
    <row r="295" spans="1:11" hidden="1" x14ac:dyDescent="0.45">
      <c r="A295" t="s">
        <v>1236</v>
      </c>
      <c r="B295" t="s">
        <v>1237</v>
      </c>
      <c r="C295" t="s">
        <v>390</v>
      </c>
      <c r="D295" t="s">
        <v>24</v>
      </c>
      <c r="E295">
        <v>4</v>
      </c>
      <c r="F295">
        <v>197.59</v>
      </c>
      <c r="G295" s="2">
        <v>45758</v>
      </c>
      <c r="H295" t="s">
        <v>23</v>
      </c>
      <c r="I295" t="s">
        <v>1238</v>
      </c>
      <c r="J295" t="s">
        <v>357</v>
      </c>
      <c r="K295">
        <v>790.36</v>
      </c>
    </row>
    <row r="296" spans="1:11" x14ac:dyDescent="0.45">
      <c r="A296" t="s">
        <v>1239</v>
      </c>
      <c r="B296" t="s">
        <v>1240</v>
      </c>
      <c r="C296" t="s">
        <v>406</v>
      </c>
      <c r="D296" t="s">
        <v>32</v>
      </c>
      <c r="E296">
        <v>41</v>
      </c>
      <c r="F296">
        <v>125.25</v>
      </c>
      <c r="G296" s="2">
        <v>45797</v>
      </c>
      <c r="H296" t="s">
        <v>15</v>
      </c>
      <c r="I296" t="s">
        <v>1241</v>
      </c>
      <c r="J296" t="s">
        <v>352</v>
      </c>
      <c r="K296">
        <v>5135.25</v>
      </c>
    </row>
    <row r="297" spans="1:11" x14ac:dyDescent="0.45">
      <c r="A297" t="s">
        <v>1242</v>
      </c>
      <c r="B297" t="s">
        <v>1243</v>
      </c>
      <c r="C297" t="s">
        <v>372</v>
      </c>
      <c r="D297" t="s">
        <v>32</v>
      </c>
      <c r="E297">
        <v>46</v>
      </c>
      <c r="F297">
        <v>176.13</v>
      </c>
      <c r="G297" s="2">
        <v>45752</v>
      </c>
      <c r="H297" t="s">
        <v>31</v>
      </c>
      <c r="I297" t="s">
        <v>1244</v>
      </c>
      <c r="J297" t="s">
        <v>352</v>
      </c>
      <c r="K297">
        <v>8101.98</v>
      </c>
    </row>
    <row r="298" spans="1:11" hidden="1" x14ac:dyDescent="0.45">
      <c r="A298" t="s">
        <v>1245</v>
      </c>
      <c r="B298" t="s">
        <v>1246</v>
      </c>
      <c r="C298" t="s">
        <v>390</v>
      </c>
      <c r="D298" t="s">
        <v>20</v>
      </c>
      <c r="E298">
        <v>41</v>
      </c>
      <c r="F298">
        <v>40.65</v>
      </c>
      <c r="G298" s="2">
        <v>45679</v>
      </c>
      <c r="H298" t="s">
        <v>19</v>
      </c>
      <c r="I298" t="s">
        <v>1247</v>
      </c>
      <c r="J298" t="s">
        <v>357</v>
      </c>
      <c r="K298">
        <v>1666.65</v>
      </c>
    </row>
    <row r="299" spans="1:11" hidden="1" x14ac:dyDescent="0.45">
      <c r="A299" t="s">
        <v>1248</v>
      </c>
      <c r="B299" t="s">
        <v>1249</v>
      </c>
      <c r="C299" t="s">
        <v>406</v>
      </c>
      <c r="D299" t="s">
        <v>24</v>
      </c>
      <c r="E299">
        <v>23</v>
      </c>
      <c r="F299">
        <v>103.78</v>
      </c>
      <c r="G299" s="2">
        <v>45787</v>
      </c>
      <c r="H299" t="s">
        <v>19</v>
      </c>
      <c r="I299" t="s">
        <v>1250</v>
      </c>
      <c r="J299" t="s">
        <v>357</v>
      </c>
      <c r="K299">
        <v>2386.94</v>
      </c>
    </row>
    <row r="300" spans="1:11" x14ac:dyDescent="0.45">
      <c r="A300" t="s">
        <v>1251</v>
      </c>
      <c r="B300" t="s">
        <v>1252</v>
      </c>
      <c r="C300" t="s">
        <v>465</v>
      </c>
      <c r="D300" t="s">
        <v>32</v>
      </c>
      <c r="E300">
        <v>44</v>
      </c>
      <c r="F300">
        <v>173.96</v>
      </c>
      <c r="G300" s="2">
        <v>45706</v>
      </c>
      <c r="H300" t="s">
        <v>19</v>
      </c>
      <c r="I300" t="s">
        <v>1253</v>
      </c>
      <c r="J300" t="s">
        <v>374</v>
      </c>
      <c r="K300">
        <v>7654.24</v>
      </c>
    </row>
    <row r="301" spans="1:11" hidden="1" x14ac:dyDescent="0.45">
      <c r="A301" t="s">
        <v>1254</v>
      </c>
      <c r="B301" t="s">
        <v>1255</v>
      </c>
      <c r="C301" t="s">
        <v>368</v>
      </c>
      <c r="D301" t="s">
        <v>32</v>
      </c>
      <c r="E301">
        <v>90</v>
      </c>
      <c r="F301">
        <v>112.62</v>
      </c>
      <c r="G301" s="2">
        <v>45659</v>
      </c>
      <c r="H301" t="s">
        <v>31</v>
      </c>
      <c r="I301" t="s">
        <v>1256</v>
      </c>
      <c r="J301" t="s">
        <v>357</v>
      </c>
      <c r="K301">
        <v>10135.799999999999</v>
      </c>
    </row>
  </sheetData>
  <conditionalFormatting sqref="K2:K301">
    <cfRule type="cellIs" dxfId="1" priority="1" operator="greaterThan">
      <formula>5000</formula>
    </cfRule>
    <cfRule type="cellIs" dxfId="0" priority="2" operator="greaterThan">
      <formula>50000</formula>
    </cfRule>
  </conditionalFormatting>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ACE74-1F76-44B2-891E-0F55402C6B55}">
  <dimension ref="A3:I366"/>
  <sheetViews>
    <sheetView zoomScale="66" zoomScaleNormal="71" workbookViewId="0">
      <selection activeCell="J364" sqref="J364"/>
    </sheetView>
  </sheetViews>
  <sheetFormatPr defaultRowHeight="14.25" x14ac:dyDescent="0.45"/>
  <cols>
    <col min="2" max="2" width="12.06640625" bestFit="1" customWidth="1"/>
    <col min="3" max="3" width="18.73046875" bestFit="1" customWidth="1"/>
    <col min="4" max="4" width="21.06640625" customWidth="1"/>
    <col min="5" max="5" width="15.46484375" bestFit="1" customWidth="1"/>
    <col min="6" max="6" width="8.33203125" bestFit="1" customWidth="1"/>
    <col min="7" max="7" width="10.19921875" bestFit="1" customWidth="1"/>
    <col min="8" max="9" width="11.73046875" bestFit="1" customWidth="1"/>
    <col min="11" max="11" width="13" customWidth="1"/>
    <col min="17" max="17" width="13.9296875" bestFit="1" customWidth="1"/>
  </cols>
  <sheetData>
    <row r="3" spans="2:8" x14ac:dyDescent="0.45">
      <c r="C3" s="6" t="s">
        <v>1258</v>
      </c>
      <c r="D3" s="6"/>
      <c r="E3" s="6"/>
      <c r="F3" s="6"/>
      <c r="G3" s="6"/>
      <c r="H3" s="6"/>
    </row>
    <row r="5" spans="2:8" x14ac:dyDescent="0.45">
      <c r="C5" s="9" t="s">
        <v>1280</v>
      </c>
      <c r="D5" s="9" t="s">
        <v>1292</v>
      </c>
    </row>
    <row r="6" spans="2:8" x14ac:dyDescent="0.45">
      <c r="C6" s="9" t="s">
        <v>1278</v>
      </c>
      <c r="D6" t="s">
        <v>31</v>
      </c>
      <c r="E6" t="s">
        <v>23</v>
      </c>
      <c r="F6" t="s">
        <v>19</v>
      </c>
      <c r="G6" t="s">
        <v>15</v>
      </c>
      <c r="H6" t="s">
        <v>1279</v>
      </c>
    </row>
    <row r="7" spans="2:8" x14ac:dyDescent="0.45">
      <c r="C7" s="10" t="s">
        <v>32</v>
      </c>
      <c r="D7">
        <v>91399.260000000009</v>
      </c>
      <c r="E7">
        <v>82980.73000000001</v>
      </c>
      <c r="F7">
        <v>118047.81000000003</v>
      </c>
      <c r="G7">
        <v>135095.96999999997</v>
      </c>
      <c r="H7">
        <v>427523.77</v>
      </c>
    </row>
    <row r="8" spans="2:8" x14ac:dyDescent="0.45">
      <c r="C8" s="10" t="s">
        <v>20</v>
      </c>
      <c r="D8">
        <v>89154.3</v>
      </c>
      <c r="E8">
        <v>53172.229999999996</v>
      </c>
      <c r="F8">
        <v>33231.26</v>
      </c>
      <c r="G8">
        <v>74822.490000000005</v>
      </c>
      <c r="H8">
        <v>250380.28000000003</v>
      </c>
    </row>
    <row r="9" spans="2:8" x14ac:dyDescent="0.45">
      <c r="C9" s="10" t="s">
        <v>24</v>
      </c>
      <c r="D9">
        <v>87625.27</v>
      </c>
      <c r="E9">
        <v>117594.31999999999</v>
      </c>
      <c r="F9">
        <v>79579.000000000015</v>
      </c>
      <c r="G9">
        <v>36334.82</v>
      </c>
      <c r="H9">
        <v>321133.41000000003</v>
      </c>
    </row>
    <row r="10" spans="2:8" x14ac:dyDescent="0.45">
      <c r="C10" s="10" t="s">
        <v>43</v>
      </c>
      <c r="D10">
        <v>62485.900000000009</v>
      </c>
      <c r="E10">
        <v>59026.080000000002</v>
      </c>
      <c r="F10">
        <v>59590.89</v>
      </c>
      <c r="G10">
        <v>81620.410000000018</v>
      </c>
      <c r="H10">
        <v>262723.28000000003</v>
      </c>
    </row>
    <row r="11" spans="2:8" x14ac:dyDescent="0.45">
      <c r="C11" s="10" t="s">
        <v>16</v>
      </c>
      <c r="D11">
        <v>103532.03999999998</v>
      </c>
      <c r="E11">
        <v>113204.69</v>
      </c>
      <c r="F11">
        <v>76888.13</v>
      </c>
      <c r="G11">
        <v>53786.06</v>
      </c>
      <c r="H11">
        <v>347410.92</v>
      </c>
    </row>
    <row r="12" spans="2:8" x14ac:dyDescent="0.45">
      <c r="C12" s="10" t="s">
        <v>1279</v>
      </c>
      <c r="D12">
        <v>434196.77</v>
      </c>
      <c r="E12">
        <v>425978.05000000005</v>
      </c>
      <c r="F12">
        <v>367337.09000000008</v>
      </c>
      <c r="G12">
        <v>381659.75</v>
      </c>
      <c r="H12">
        <v>1609171.6600000001</v>
      </c>
    </row>
    <row r="13" spans="2:8" x14ac:dyDescent="0.45">
      <c r="C13" s="10"/>
    </row>
    <row r="15" spans="2:8" x14ac:dyDescent="0.45">
      <c r="B15" s="5"/>
      <c r="C15" s="3" t="s">
        <v>1259</v>
      </c>
      <c r="D15" s="3"/>
      <c r="E15" s="3"/>
      <c r="F15" s="3"/>
    </row>
    <row r="17" spans="4:5" x14ac:dyDescent="0.45">
      <c r="D17" s="9" t="s">
        <v>1278</v>
      </c>
      <c r="E17" t="s">
        <v>1280</v>
      </c>
    </row>
    <row r="18" spans="4:5" x14ac:dyDescent="0.45">
      <c r="D18" s="11">
        <v>45624</v>
      </c>
      <c r="E18">
        <v>3294.72</v>
      </c>
    </row>
    <row r="19" spans="4:5" x14ac:dyDescent="0.45">
      <c r="D19" s="11">
        <v>45626</v>
      </c>
      <c r="E19">
        <v>1402.5</v>
      </c>
    </row>
    <row r="20" spans="4:5" x14ac:dyDescent="0.45">
      <c r="D20" s="11">
        <v>45627</v>
      </c>
      <c r="E20">
        <v>22005.270000000004</v>
      </c>
    </row>
    <row r="21" spans="4:5" x14ac:dyDescent="0.45">
      <c r="D21" s="11">
        <v>45628</v>
      </c>
      <c r="E21">
        <v>3445.92</v>
      </c>
    </row>
    <row r="22" spans="4:5" x14ac:dyDescent="0.45">
      <c r="D22" s="11">
        <v>45629</v>
      </c>
      <c r="E22">
        <v>15940.720000000001</v>
      </c>
    </row>
    <row r="23" spans="4:5" x14ac:dyDescent="0.45">
      <c r="D23" s="11">
        <v>45630</v>
      </c>
      <c r="E23">
        <v>12926.52</v>
      </c>
    </row>
    <row r="24" spans="4:5" x14ac:dyDescent="0.45">
      <c r="D24" s="11">
        <v>45631</v>
      </c>
      <c r="E24">
        <v>39069.980000000003</v>
      </c>
    </row>
    <row r="25" spans="4:5" x14ac:dyDescent="0.45">
      <c r="D25" s="11">
        <v>45632</v>
      </c>
      <c r="E25">
        <v>6817.8</v>
      </c>
    </row>
    <row r="26" spans="4:5" x14ac:dyDescent="0.45">
      <c r="D26" s="11">
        <v>45634</v>
      </c>
      <c r="E26">
        <v>2801.46</v>
      </c>
    </row>
    <row r="27" spans="4:5" x14ac:dyDescent="0.45">
      <c r="D27" s="11">
        <v>45635</v>
      </c>
      <c r="E27">
        <v>3069.99</v>
      </c>
    </row>
    <row r="28" spans="4:5" x14ac:dyDescent="0.45">
      <c r="D28" s="11">
        <v>45636</v>
      </c>
      <c r="E28">
        <v>2724.4700000000003</v>
      </c>
    </row>
    <row r="29" spans="4:5" x14ac:dyDescent="0.45">
      <c r="D29" s="11">
        <v>45637</v>
      </c>
      <c r="E29">
        <v>21735.96</v>
      </c>
    </row>
    <row r="30" spans="4:5" x14ac:dyDescent="0.45">
      <c r="D30" s="11">
        <v>45638</v>
      </c>
      <c r="E30">
        <v>5217.03</v>
      </c>
    </row>
    <row r="31" spans="4:5" x14ac:dyDescent="0.45">
      <c r="D31" s="11">
        <v>45640</v>
      </c>
      <c r="E31">
        <v>4355.3</v>
      </c>
    </row>
    <row r="32" spans="4:5" x14ac:dyDescent="0.45">
      <c r="D32" s="11">
        <v>45641</v>
      </c>
      <c r="E32">
        <v>7143.84</v>
      </c>
    </row>
    <row r="33" spans="4:5" x14ac:dyDescent="0.45">
      <c r="D33" s="11">
        <v>45642</v>
      </c>
      <c r="E33">
        <v>11391.36</v>
      </c>
    </row>
    <row r="34" spans="4:5" x14ac:dyDescent="0.45">
      <c r="D34" s="11">
        <v>45643</v>
      </c>
      <c r="E34">
        <v>14331.24</v>
      </c>
    </row>
    <row r="35" spans="4:5" x14ac:dyDescent="0.45">
      <c r="D35" s="11">
        <v>45644</v>
      </c>
      <c r="E35">
        <v>7053.47</v>
      </c>
    </row>
    <row r="36" spans="4:5" x14ac:dyDescent="0.45">
      <c r="D36" s="11">
        <v>45645</v>
      </c>
      <c r="E36">
        <v>13974.5</v>
      </c>
    </row>
    <row r="37" spans="4:5" x14ac:dyDescent="0.45">
      <c r="D37" s="11">
        <v>45646</v>
      </c>
      <c r="E37">
        <v>8413.01</v>
      </c>
    </row>
    <row r="38" spans="4:5" x14ac:dyDescent="0.45">
      <c r="D38" s="11">
        <v>45647</v>
      </c>
      <c r="E38">
        <v>4879.93</v>
      </c>
    </row>
    <row r="39" spans="4:5" x14ac:dyDescent="0.45">
      <c r="D39" s="11">
        <v>45648</v>
      </c>
      <c r="E39">
        <v>22295.059999999998</v>
      </c>
    </row>
    <row r="40" spans="4:5" x14ac:dyDescent="0.45">
      <c r="D40" s="11">
        <v>45649</v>
      </c>
      <c r="E40">
        <v>4399.88</v>
      </c>
    </row>
    <row r="41" spans="4:5" x14ac:dyDescent="0.45">
      <c r="D41" s="11">
        <v>45650</v>
      </c>
      <c r="E41">
        <v>8239.77</v>
      </c>
    </row>
    <row r="42" spans="4:5" x14ac:dyDescent="0.45">
      <c r="D42" s="11">
        <v>45651</v>
      </c>
      <c r="E42">
        <v>3352.86</v>
      </c>
    </row>
    <row r="43" spans="4:5" x14ac:dyDescent="0.45">
      <c r="D43" s="11">
        <v>45652</v>
      </c>
      <c r="E43">
        <v>1924.56</v>
      </c>
    </row>
    <row r="44" spans="4:5" x14ac:dyDescent="0.45">
      <c r="D44" s="11">
        <v>45653</v>
      </c>
      <c r="E44">
        <v>22819.730000000003</v>
      </c>
    </row>
    <row r="45" spans="4:5" x14ac:dyDescent="0.45">
      <c r="D45" s="11">
        <v>45654</v>
      </c>
      <c r="E45">
        <v>2129.96</v>
      </c>
    </row>
    <row r="46" spans="4:5" x14ac:dyDescent="0.45">
      <c r="D46" s="11">
        <v>45655</v>
      </c>
      <c r="E46">
        <v>29958.240000000002</v>
      </c>
    </row>
    <row r="47" spans="4:5" x14ac:dyDescent="0.45">
      <c r="D47" s="11">
        <v>45656</v>
      </c>
      <c r="E47">
        <v>13394.34</v>
      </c>
    </row>
    <row r="48" spans="4:5" x14ac:dyDescent="0.45">
      <c r="D48" s="11">
        <v>45657</v>
      </c>
      <c r="E48">
        <v>1261.3499999999999</v>
      </c>
    </row>
    <row r="49" spans="4:5" x14ac:dyDescent="0.45">
      <c r="D49" s="11">
        <v>45659</v>
      </c>
      <c r="E49">
        <v>13401.72</v>
      </c>
    </row>
    <row r="50" spans="4:5" x14ac:dyDescent="0.45">
      <c r="D50" s="11">
        <v>45660</v>
      </c>
      <c r="E50">
        <v>13765.5</v>
      </c>
    </row>
    <row r="51" spans="4:5" x14ac:dyDescent="0.45">
      <c r="D51" s="11">
        <v>45661</v>
      </c>
      <c r="E51">
        <v>16514.89</v>
      </c>
    </row>
    <row r="52" spans="4:5" x14ac:dyDescent="0.45">
      <c r="D52" s="11">
        <v>45663</v>
      </c>
      <c r="E52">
        <v>16152.119999999999</v>
      </c>
    </row>
    <row r="53" spans="4:5" x14ac:dyDescent="0.45">
      <c r="D53" s="11">
        <v>45664</v>
      </c>
      <c r="E53">
        <v>19199.900000000001</v>
      </c>
    </row>
    <row r="54" spans="4:5" x14ac:dyDescent="0.45">
      <c r="D54" s="11">
        <v>45665</v>
      </c>
      <c r="E54">
        <v>1731.46</v>
      </c>
    </row>
    <row r="55" spans="4:5" x14ac:dyDescent="0.45">
      <c r="D55" s="11">
        <v>45667</v>
      </c>
      <c r="E55">
        <v>7598.08</v>
      </c>
    </row>
    <row r="56" spans="4:5" x14ac:dyDescent="0.45">
      <c r="D56" s="11">
        <v>45668</v>
      </c>
      <c r="E56">
        <v>1473.5</v>
      </c>
    </row>
    <row r="57" spans="4:5" x14ac:dyDescent="0.45">
      <c r="D57" s="11">
        <v>45670</v>
      </c>
      <c r="E57">
        <v>12465.41</v>
      </c>
    </row>
    <row r="58" spans="4:5" x14ac:dyDescent="0.45">
      <c r="D58" s="11">
        <v>45671</v>
      </c>
      <c r="E58">
        <v>35160.240000000005</v>
      </c>
    </row>
    <row r="59" spans="4:5" x14ac:dyDescent="0.45">
      <c r="D59" s="11">
        <v>45672</v>
      </c>
      <c r="E59">
        <v>9759.1</v>
      </c>
    </row>
    <row r="60" spans="4:5" x14ac:dyDescent="0.45">
      <c r="D60" s="11">
        <v>45673</v>
      </c>
      <c r="E60">
        <v>14577.06</v>
      </c>
    </row>
    <row r="61" spans="4:5" x14ac:dyDescent="0.45">
      <c r="D61" s="11">
        <v>45674</v>
      </c>
      <c r="E61">
        <v>412.45</v>
      </c>
    </row>
    <row r="62" spans="4:5" x14ac:dyDescent="0.45">
      <c r="D62" s="11">
        <v>45675</v>
      </c>
      <c r="E62">
        <v>22800.06</v>
      </c>
    </row>
    <row r="63" spans="4:5" x14ac:dyDescent="0.45">
      <c r="D63" s="11">
        <v>45676</v>
      </c>
      <c r="E63">
        <v>19424.130000000005</v>
      </c>
    </row>
    <row r="64" spans="4:5" x14ac:dyDescent="0.45">
      <c r="D64" s="11">
        <v>45677</v>
      </c>
      <c r="E64">
        <v>2192.04</v>
      </c>
    </row>
    <row r="65" spans="4:5" x14ac:dyDescent="0.45">
      <c r="D65" s="11">
        <v>45678</v>
      </c>
      <c r="E65">
        <v>22898.44</v>
      </c>
    </row>
    <row r="66" spans="4:5" x14ac:dyDescent="0.45">
      <c r="D66" s="11">
        <v>45679</v>
      </c>
      <c r="E66">
        <v>24319.24</v>
      </c>
    </row>
    <row r="67" spans="4:5" x14ac:dyDescent="0.45">
      <c r="D67" s="11">
        <v>45680</v>
      </c>
      <c r="E67">
        <v>3316.42</v>
      </c>
    </row>
    <row r="68" spans="4:5" x14ac:dyDescent="0.45">
      <c r="D68" s="11">
        <v>45682</v>
      </c>
      <c r="E68">
        <v>2480.65</v>
      </c>
    </row>
    <row r="69" spans="4:5" x14ac:dyDescent="0.45">
      <c r="D69" s="11">
        <v>45683</v>
      </c>
      <c r="E69">
        <v>18528.309999999998</v>
      </c>
    </row>
    <row r="70" spans="4:5" x14ac:dyDescent="0.45">
      <c r="D70" s="11">
        <v>45684</v>
      </c>
      <c r="E70">
        <v>2943.2</v>
      </c>
    </row>
    <row r="71" spans="4:5" x14ac:dyDescent="0.45">
      <c r="D71" s="11">
        <v>45685</v>
      </c>
      <c r="E71">
        <v>556.01</v>
      </c>
    </row>
    <row r="72" spans="4:5" x14ac:dyDescent="0.45">
      <c r="D72" s="11">
        <v>45687</v>
      </c>
      <c r="E72">
        <v>7140.19</v>
      </c>
    </row>
    <row r="73" spans="4:5" x14ac:dyDescent="0.45">
      <c r="D73" s="11">
        <v>45688</v>
      </c>
      <c r="E73">
        <v>10123.19</v>
      </c>
    </row>
    <row r="74" spans="4:5" x14ac:dyDescent="0.45">
      <c r="D74" s="11">
        <v>45690</v>
      </c>
      <c r="E74">
        <v>10324.219999999999</v>
      </c>
    </row>
    <row r="75" spans="4:5" x14ac:dyDescent="0.45">
      <c r="D75" s="11">
        <v>45691</v>
      </c>
      <c r="E75">
        <v>26462.850000000002</v>
      </c>
    </row>
    <row r="76" spans="4:5" x14ac:dyDescent="0.45">
      <c r="D76" s="11">
        <v>45692</v>
      </c>
      <c r="E76">
        <v>3587.76</v>
      </c>
    </row>
    <row r="77" spans="4:5" x14ac:dyDescent="0.45">
      <c r="D77" s="11">
        <v>45693</v>
      </c>
      <c r="E77">
        <v>6016.8099999999995</v>
      </c>
    </row>
    <row r="78" spans="4:5" x14ac:dyDescent="0.45">
      <c r="D78" s="11">
        <v>45696</v>
      </c>
      <c r="E78">
        <v>14830.710000000001</v>
      </c>
    </row>
    <row r="79" spans="4:5" x14ac:dyDescent="0.45">
      <c r="D79" s="11">
        <v>45697</v>
      </c>
      <c r="E79">
        <v>3462.74</v>
      </c>
    </row>
    <row r="80" spans="4:5" x14ac:dyDescent="0.45">
      <c r="D80" s="11">
        <v>45699</v>
      </c>
      <c r="E80">
        <v>13600.46</v>
      </c>
    </row>
    <row r="81" spans="4:5" x14ac:dyDescent="0.45">
      <c r="D81" s="11">
        <v>45700</v>
      </c>
      <c r="E81">
        <v>9095.1200000000008</v>
      </c>
    </row>
    <row r="82" spans="4:5" x14ac:dyDescent="0.45">
      <c r="D82" s="11">
        <v>45701</v>
      </c>
      <c r="E82">
        <v>9929.14</v>
      </c>
    </row>
    <row r="83" spans="4:5" x14ac:dyDescent="0.45">
      <c r="D83" s="11">
        <v>45702</v>
      </c>
      <c r="E83">
        <v>8773.65</v>
      </c>
    </row>
    <row r="84" spans="4:5" x14ac:dyDescent="0.45">
      <c r="D84" s="11">
        <v>45703</v>
      </c>
      <c r="E84">
        <v>163.04</v>
      </c>
    </row>
    <row r="85" spans="4:5" x14ac:dyDescent="0.45">
      <c r="D85" s="11">
        <v>45704</v>
      </c>
      <c r="E85">
        <v>2449.92</v>
      </c>
    </row>
    <row r="86" spans="4:5" x14ac:dyDescent="0.45">
      <c r="D86" s="11">
        <v>45705</v>
      </c>
      <c r="E86">
        <v>12741.06</v>
      </c>
    </row>
    <row r="87" spans="4:5" x14ac:dyDescent="0.45">
      <c r="D87" s="11">
        <v>45706</v>
      </c>
      <c r="E87">
        <v>14540.86</v>
      </c>
    </row>
    <row r="88" spans="4:5" x14ac:dyDescent="0.45">
      <c r="D88" s="11">
        <v>45707</v>
      </c>
      <c r="E88">
        <v>6611.5</v>
      </c>
    </row>
    <row r="89" spans="4:5" x14ac:dyDescent="0.45">
      <c r="D89" s="11">
        <v>45709</v>
      </c>
      <c r="E89">
        <v>15493.259999999998</v>
      </c>
    </row>
    <row r="90" spans="4:5" x14ac:dyDescent="0.45">
      <c r="D90" s="11">
        <v>45710</v>
      </c>
      <c r="E90">
        <v>12166.88</v>
      </c>
    </row>
    <row r="91" spans="4:5" x14ac:dyDescent="0.45">
      <c r="D91" s="11">
        <v>45711</v>
      </c>
      <c r="E91">
        <v>20100.330000000002</v>
      </c>
    </row>
    <row r="92" spans="4:5" x14ac:dyDescent="0.45">
      <c r="D92" s="11">
        <v>45712</v>
      </c>
      <c r="E92">
        <v>7775.2</v>
      </c>
    </row>
    <row r="93" spans="4:5" x14ac:dyDescent="0.45">
      <c r="D93" s="11">
        <v>45713</v>
      </c>
      <c r="E93">
        <v>3804.36</v>
      </c>
    </row>
    <row r="94" spans="4:5" x14ac:dyDescent="0.45">
      <c r="D94" s="11">
        <v>45714</v>
      </c>
      <c r="E94">
        <v>15053.36</v>
      </c>
    </row>
    <row r="95" spans="4:5" x14ac:dyDescent="0.45">
      <c r="D95" s="11">
        <v>45716</v>
      </c>
      <c r="E95">
        <v>21005.57</v>
      </c>
    </row>
    <row r="96" spans="4:5" x14ac:dyDescent="0.45">
      <c r="D96" s="11">
        <v>45717</v>
      </c>
      <c r="E96">
        <v>17689.89</v>
      </c>
    </row>
    <row r="97" spans="4:5" x14ac:dyDescent="0.45">
      <c r="D97" s="11">
        <v>45718</v>
      </c>
      <c r="E97">
        <v>584.75</v>
      </c>
    </row>
    <row r="98" spans="4:5" x14ac:dyDescent="0.45">
      <c r="D98" s="11">
        <v>45719</v>
      </c>
      <c r="E98">
        <v>11611.89</v>
      </c>
    </row>
    <row r="99" spans="4:5" x14ac:dyDescent="0.45">
      <c r="D99" s="11">
        <v>45720</v>
      </c>
      <c r="E99">
        <v>192.31</v>
      </c>
    </row>
    <row r="100" spans="4:5" x14ac:dyDescent="0.45">
      <c r="D100" s="11">
        <v>45721</v>
      </c>
      <c r="E100">
        <v>13530.4</v>
      </c>
    </row>
    <row r="101" spans="4:5" x14ac:dyDescent="0.45">
      <c r="D101" s="11">
        <v>45722</v>
      </c>
      <c r="E101">
        <v>121.85</v>
      </c>
    </row>
    <row r="102" spans="4:5" x14ac:dyDescent="0.45">
      <c r="D102" s="11">
        <v>45723</v>
      </c>
      <c r="E102">
        <v>19781.77</v>
      </c>
    </row>
    <row r="103" spans="4:5" x14ac:dyDescent="0.45">
      <c r="D103" s="11">
        <v>45724</v>
      </c>
      <c r="E103">
        <v>21828.559999999998</v>
      </c>
    </row>
    <row r="104" spans="4:5" x14ac:dyDescent="0.45">
      <c r="D104" s="11">
        <v>45725</v>
      </c>
      <c r="E104">
        <v>24133.46</v>
      </c>
    </row>
    <row r="105" spans="4:5" x14ac:dyDescent="0.45">
      <c r="D105" s="11">
        <v>45727</v>
      </c>
      <c r="E105">
        <v>11530.09</v>
      </c>
    </row>
    <row r="106" spans="4:5" x14ac:dyDescent="0.45">
      <c r="D106" s="11">
        <v>45728</v>
      </c>
      <c r="E106">
        <v>10848.25</v>
      </c>
    </row>
    <row r="107" spans="4:5" x14ac:dyDescent="0.45">
      <c r="D107" s="11">
        <v>45729</v>
      </c>
      <c r="E107">
        <v>6462.41</v>
      </c>
    </row>
    <row r="108" spans="4:5" x14ac:dyDescent="0.45">
      <c r="D108" s="11">
        <v>45731</v>
      </c>
      <c r="E108">
        <v>11174.939999999999</v>
      </c>
    </row>
    <row r="109" spans="4:5" x14ac:dyDescent="0.45">
      <c r="D109" s="11">
        <v>45732</v>
      </c>
      <c r="E109">
        <v>22139.03</v>
      </c>
    </row>
    <row r="110" spans="4:5" x14ac:dyDescent="0.45">
      <c r="D110" s="11">
        <v>45733</v>
      </c>
      <c r="E110">
        <v>4544.93</v>
      </c>
    </row>
    <row r="111" spans="4:5" x14ac:dyDescent="0.45">
      <c r="D111" s="11">
        <v>45734</v>
      </c>
      <c r="E111">
        <v>9848.52</v>
      </c>
    </row>
    <row r="112" spans="4:5" x14ac:dyDescent="0.45">
      <c r="D112" s="11">
        <v>45735</v>
      </c>
      <c r="E112">
        <v>4958.96</v>
      </c>
    </row>
    <row r="113" spans="4:5" x14ac:dyDescent="0.45">
      <c r="D113" s="11">
        <v>45736</v>
      </c>
      <c r="E113">
        <v>8288.2800000000007</v>
      </c>
    </row>
    <row r="114" spans="4:5" x14ac:dyDescent="0.45">
      <c r="D114" s="11">
        <v>45737</v>
      </c>
      <c r="E114">
        <v>2887.65</v>
      </c>
    </row>
    <row r="115" spans="4:5" x14ac:dyDescent="0.45">
      <c r="D115" s="11">
        <v>45738</v>
      </c>
      <c r="E115">
        <v>2077.75</v>
      </c>
    </row>
    <row r="116" spans="4:5" x14ac:dyDescent="0.45">
      <c r="D116" s="11">
        <v>45739</v>
      </c>
      <c r="E116">
        <v>2064.9299999999998</v>
      </c>
    </row>
    <row r="117" spans="4:5" x14ac:dyDescent="0.45">
      <c r="D117" s="11">
        <v>45740</v>
      </c>
      <c r="E117">
        <v>31289.68</v>
      </c>
    </row>
    <row r="118" spans="4:5" x14ac:dyDescent="0.45">
      <c r="D118" s="11">
        <v>45741</v>
      </c>
      <c r="E118">
        <v>6145.5599999999995</v>
      </c>
    </row>
    <row r="119" spans="4:5" x14ac:dyDescent="0.45">
      <c r="D119" s="11">
        <v>45742</v>
      </c>
      <c r="E119">
        <v>16820.649999999998</v>
      </c>
    </row>
    <row r="120" spans="4:5" x14ac:dyDescent="0.45">
      <c r="D120" s="11">
        <v>45744</v>
      </c>
      <c r="E120">
        <v>5057.8</v>
      </c>
    </row>
    <row r="121" spans="4:5" x14ac:dyDescent="0.45">
      <c r="D121" s="11">
        <v>45745</v>
      </c>
      <c r="E121">
        <v>29348.370000000003</v>
      </c>
    </row>
    <row r="122" spans="4:5" x14ac:dyDescent="0.45">
      <c r="D122" s="11">
        <v>45749</v>
      </c>
      <c r="E122">
        <v>10105.039999999999</v>
      </c>
    </row>
    <row r="123" spans="4:5" x14ac:dyDescent="0.45">
      <c r="D123" s="11">
        <v>45750</v>
      </c>
      <c r="E123">
        <v>13849.34</v>
      </c>
    </row>
    <row r="124" spans="4:5" x14ac:dyDescent="0.45">
      <c r="D124" s="11">
        <v>45752</v>
      </c>
      <c r="E124">
        <v>18270.8</v>
      </c>
    </row>
    <row r="125" spans="4:5" x14ac:dyDescent="0.45">
      <c r="D125" s="11">
        <v>45753</v>
      </c>
      <c r="E125">
        <v>8467.2000000000007</v>
      </c>
    </row>
    <row r="126" spans="4:5" x14ac:dyDescent="0.45">
      <c r="D126" s="11">
        <v>45754</v>
      </c>
      <c r="E126">
        <v>7392.02</v>
      </c>
    </row>
    <row r="127" spans="4:5" x14ac:dyDescent="0.45">
      <c r="D127" s="11">
        <v>45755</v>
      </c>
      <c r="E127">
        <v>2516.54</v>
      </c>
    </row>
    <row r="128" spans="4:5" x14ac:dyDescent="0.45">
      <c r="D128" s="11">
        <v>45756</v>
      </c>
      <c r="E128">
        <v>8234.74</v>
      </c>
    </row>
    <row r="129" spans="4:5" x14ac:dyDescent="0.45">
      <c r="D129" s="11">
        <v>45757</v>
      </c>
      <c r="E129">
        <v>3664.32</v>
      </c>
    </row>
    <row r="130" spans="4:5" x14ac:dyDescent="0.45">
      <c r="D130" s="11">
        <v>45758</v>
      </c>
      <c r="E130">
        <v>6495.92</v>
      </c>
    </row>
    <row r="131" spans="4:5" x14ac:dyDescent="0.45">
      <c r="D131" s="11">
        <v>45759</v>
      </c>
      <c r="E131">
        <v>4953.5700000000006</v>
      </c>
    </row>
    <row r="132" spans="4:5" x14ac:dyDescent="0.45">
      <c r="D132" s="11">
        <v>45760</v>
      </c>
      <c r="E132">
        <v>24780.32</v>
      </c>
    </row>
    <row r="133" spans="4:5" x14ac:dyDescent="0.45">
      <c r="D133" s="11">
        <v>45761</v>
      </c>
      <c r="E133">
        <v>9392.380000000001</v>
      </c>
    </row>
    <row r="134" spans="4:5" x14ac:dyDescent="0.45">
      <c r="D134" s="11">
        <v>45762</v>
      </c>
      <c r="E134">
        <v>15355.98</v>
      </c>
    </row>
    <row r="135" spans="4:5" x14ac:dyDescent="0.45">
      <c r="D135" s="11">
        <v>45763</v>
      </c>
      <c r="E135">
        <v>5573.51</v>
      </c>
    </row>
    <row r="136" spans="4:5" x14ac:dyDescent="0.45">
      <c r="D136" s="11">
        <v>45765</v>
      </c>
      <c r="E136">
        <v>542.65</v>
      </c>
    </row>
    <row r="137" spans="4:5" x14ac:dyDescent="0.45">
      <c r="D137" s="11">
        <v>45767</v>
      </c>
      <c r="E137">
        <v>3497.97</v>
      </c>
    </row>
    <row r="138" spans="4:5" x14ac:dyDescent="0.45">
      <c r="D138" s="11">
        <v>45768</v>
      </c>
      <c r="E138">
        <v>4916.16</v>
      </c>
    </row>
    <row r="139" spans="4:5" x14ac:dyDescent="0.45">
      <c r="D139" s="11">
        <v>45770</v>
      </c>
      <c r="E139">
        <v>9149.75</v>
      </c>
    </row>
    <row r="140" spans="4:5" x14ac:dyDescent="0.45">
      <c r="D140" s="11">
        <v>45772</v>
      </c>
      <c r="E140">
        <v>13272.96</v>
      </c>
    </row>
    <row r="141" spans="4:5" x14ac:dyDescent="0.45">
      <c r="D141" s="11">
        <v>45773</v>
      </c>
      <c r="E141">
        <v>1787.84</v>
      </c>
    </row>
    <row r="142" spans="4:5" x14ac:dyDescent="0.45">
      <c r="D142" s="11">
        <v>45774</v>
      </c>
      <c r="E142">
        <v>4346.32</v>
      </c>
    </row>
    <row r="143" spans="4:5" x14ac:dyDescent="0.45">
      <c r="D143" s="11">
        <v>45775</v>
      </c>
      <c r="E143">
        <v>12512.8</v>
      </c>
    </row>
    <row r="144" spans="4:5" x14ac:dyDescent="0.45">
      <c r="D144" s="11">
        <v>45776</v>
      </c>
      <c r="E144">
        <v>520.29999999999995</v>
      </c>
    </row>
    <row r="145" spans="4:5" x14ac:dyDescent="0.45">
      <c r="D145" s="11">
        <v>45777</v>
      </c>
      <c r="E145">
        <v>1589.22</v>
      </c>
    </row>
    <row r="146" spans="4:5" x14ac:dyDescent="0.45">
      <c r="D146" s="11">
        <v>45779</v>
      </c>
      <c r="E146">
        <v>10149.77</v>
      </c>
    </row>
    <row r="147" spans="4:5" x14ac:dyDescent="0.45">
      <c r="D147" s="11">
        <v>45780</v>
      </c>
      <c r="E147">
        <v>2099.11</v>
      </c>
    </row>
    <row r="148" spans="4:5" x14ac:dyDescent="0.45">
      <c r="D148" s="11">
        <v>45783</v>
      </c>
      <c r="E148">
        <v>5503.2</v>
      </c>
    </row>
    <row r="149" spans="4:5" x14ac:dyDescent="0.45">
      <c r="D149" s="11">
        <v>45785</v>
      </c>
      <c r="E149">
        <v>13282.26</v>
      </c>
    </row>
    <row r="150" spans="4:5" x14ac:dyDescent="0.45">
      <c r="D150" s="11">
        <v>45786</v>
      </c>
      <c r="E150">
        <v>9154.49</v>
      </c>
    </row>
    <row r="151" spans="4:5" x14ac:dyDescent="0.45">
      <c r="D151" s="11">
        <v>45787</v>
      </c>
      <c r="E151">
        <v>37578.950000000004</v>
      </c>
    </row>
    <row r="152" spans="4:5" x14ac:dyDescent="0.45">
      <c r="D152" s="11">
        <v>45788</v>
      </c>
      <c r="E152">
        <v>7271.97</v>
      </c>
    </row>
    <row r="153" spans="4:5" x14ac:dyDescent="0.45">
      <c r="D153" s="11">
        <v>45789</v>
      </c>
      <c r="E153">
        <v>19329.16</v>
      </c>
    </row>
    <row r="154" spans="4:5" x14ac:dyDescent="0.45">
      <c r="D154" s="11">
        <v>45791</v>
      </c>
      <c r="E154">
        <v>12823.85</v>
      </c>
    </row>
    <row r="155" spans="4:5" x14ac:dyDescent="0.45">
      <c r="D155" s="11">
        <v>45792</v>
      </c>
      <c r="E155">
        <v>4595.66</v>
      </c>
    </row>
    <row r="156" spans="4:5" x14ac:dyDescent="0.45">
      <c r="D156" s="11">
        <v>45793</v>
      </c>
      <c r="E156">
        <v>7413.76</v>
      </c>
    </row>
    <row r="157" spans="4:5" x14ac:dyDescent="0.45">
      <c r="D157" s="11">
        <v>45794</v>
      </c>
      <c r="E157">
        <v>12955.28</v>
      </c>
    </row>
    <row r="158" spans="4:5" x14ac:dyDescent="0.45">
      <c r="D158" s="11">
        <v>45795</v>
      </c>
      <c r="E158">
        <v>10721.26</v>
      </c>
    </row>
    <row r="159" spans="4:5" x14ac:dyDescent="0.45">
      <c r="D159" s="11">
        <v>45796</v>
      </c>
      <c r="E159">
        <v>2054.62</v>
      </c>
    </row>
    <row r="160" spans="4:5" x14ac:dyDescent="0.45">
      <c r="D160" s="11">
        <v>45797</v>
      </c>
      <c r="E160">
        <v>16237.06</v>
      </c>
    </row>
    <row r="161" spans="1:6" x14ac:dyDescent="0.45">
      <c r="D161" s="11">
        <v>45798</v>
      </c>
      <c r="E161">
        <v>12321.9</v>
      </c>
    </row>
    <row r="162" spans="1:6" x14ac:dyDescent="0.45">
      <c r="D162" s="11">
        <v>45800</v>
      </c>
      <c r="E162">
        <v>17409.900000000001</v>
      </c>
    </row>
    <row r="163" spans="1:6" x14ac:dyDescent="0.45">
      <c r="D163" s="11">
        <v>45802</v>
      </c>
      <c r="E163">
        <v>6089.7699999999995</v>
      </c>
    </row>
    <row r="164" spans="1:6" x14ac:dyDescent="0.45">
      <c r="D164" s="11">
        <v>45803</v>
      </c>
      <c r="E164">
        <v>17804.27</v>
      </c>
    </row>
    <row r="165" spans="1:6" x14ac:dyDescent="0.45">
      <c r="D165" s="11">
        <v>45804</v>
      </c>
      <c r="E165">
        <v>20896.95</v>
      </c>
    </row>
    <row r="166" spans="1:6" x14ac:dyDescent="0.45">
      <c r="D166" s="11">
        <v>45805</v>
      </c>
      <c r="E166">
        <v>14887.690000000002</v>
      </c>
    </row>
    <row r="167" spans="1:6" x14ac:dyDescent="0.45">
      <c r="D167" s="11">
        <v>45806</v>
      </c>
      <c r="E167">
        <v>3747.6</v>
      </c>
    </row>
    <row r="168" spans="1:6" x14ac:dyDescent="0.45">
      <c r="D168" s="11" t="s">
        <v>1279</v>
      </c>
      <c r="E168">
        <v>1609171.66</v>
      </c>
    </row>
    <row r="170" spans="1:6" x14ac:dyDescent="0.45">
      <c r="A170" s="5"/>
      <c r="B170" s="5"/>
      <c r="C170" s="3" t="s">
        <v>1260</v>
      </c>
      <c r="D170" s="3"/>
      <c r="E170" s="3"/>
      <c r="F170" s="3"/>
    </row>
    <row r="172" spans="1:6" x14ac:dyDescent="0.45">
      <c r="D172" s="9" t="s">
        <v>1278</v>
      </c>
      <c r="E172" t="s">
        <v>1281</v>
      </c>
    </row>
    <row r="173" spans="1:6" x14ac:dyDescent="0.45">
      <c r="D173" s="10" t="s">
        <v>368</v>
      </c>
      <c r="E173">
        <v>73</v>
      </c>
    </row>
    <row r="174" spans="1:6" x14ac:dyDescent="0.45">
      <c r="D174" s="10" t="s">
        <v>465</v>
      </c>
      <c r="E174">
        <v>24</v>
      </c>
    </row>
    <row r="175" spans="1:6" x14ac:dyDescent="0.45">
      <c r="D175" s="10" t="s">
        <v>425</v>
      </c>
      <c r="E175">
        <v>166</v>
      </c>
    </row>
    <row r="176" spans="1:6" x14ac:dyDescent="0.45">
      <c r="D176" s="10" t="s">
        <v>355</v>
      </c>
      <c r="E176">
        <v>89</v>
      </c>
    </row>
    <row r="177" spans="3:8" x14ac:dyDescent="0.45">
      <c r="D177" s="10" t="s">
        <v>380</v>
      </c>
      <c r="E177">
        <v>3</v>
      </c>
    </row>
    <row r="178" spans="3:8" x14ac:dyDescent="0.45">
      <c r="D178" s="10" t="s">
        <v>360</v>
      </c>
      <c r="E178">
        <v>156</v>
      </c>
    </row>
    <row r="179" spans="3:8" x14ac:dyDescent="0.45">
      <c r="D179" s="10" t="s">
        <v>390</v>
      </c>
      <c r="E179">
        <v>41</v>
      </c>
    </row>
    <row r="180" spans="3:8" x14ac:dyDescent="0.45">
      <c r="D180" s="10" t="s">
        <v>1279</v>
      </c>
      <c r="E180">
        <v>552</v>
      </c>
    </row>
    <row r="189" spans="3:8" x14ac:dyDescent="0.45">
      <c r="C189" s="12" t="s">
        <v>1261</v>
      </c>
      <c r="D189" s="12"/>
      <c r="E189" s="12"/>
      <c r="F189" s="12"/>
      <c r="G189" s="12"/>
      <c r="H189" s="12"/>
    </row>
    <row r="208" spans="3:9" x14ac:dyDescent="0.45">
      <c r="C208" s="12" t="s">
        <v>1262</v>
      </c>
      <c r="D208" s="12"/>
      <c r="E208" s="12"/>
      <c r="F208" s="12"/>
      <c r="G208" s="12"/>
      <c r="H208" s="12"/>
      <c r="I208" s="12"/>
    </row>
    <row r="210" spans="3:8" x14ac:dyDescent="0.45">
      <c r="D210" t="s">
        <v>1282</v>
      </c>
    </row>
    <row r="212" spans="3:8" x14ac:dyDescent="0.45">
      <c r="C212" s="6"/>
      <c r="D212" s="6" t="s">
        <v>1263</v>
      </c>
      <c r="E212" s="6"/>
      <c r="F212" s="6"/>
      <c r="G212" s="6"/>
      <c r="H212" s="6"/>
    </row>
    <row r="214" spans="3:8" x14ac:dyDescent="0.45">
      <c r="D214" s="9" t="s">
        <v>1278</v>
      </c>
      <c r="E214" t="s">
        <v>1290</v>
      </c>
    </row>
    <row r="215" spans="3:8" x14ac:dyDescent="0.45">
      <c r="D215" s="10" t="s">
        <v>1285</v>
      </c>
      <c r="E215">
        <v>5748.7174999999997</v>
      </c>
    </row>
    <row r="216" spans="3:8" x14ac:dyDescent="0.45">
      <c r="D216" s="10" t="s">
        <v>1286</v>
      </c>
      <c r="E216">
        <v>5666.4</v>
      </c>
    </row>
    <row r="217" spans="3:8" x14ac:dyDescent="0.45">
      <c r="D217" s="10" t="s">
        <v>1287</v>
      </c>
      <c r="E217">
        <v>5462.2718518518514</v>
      </c>
    </row>
    <row r="218" spans="3:8" x14ac:dyDescent="0.45">
      <c r="D218" s="10" t="s">
        <v>1288</v>
      </c>
      <c r="E218">
        <v>4446.2244186046501</v>
      </c>
    </row>
    <row r="219" spans="3:8" x14ac:dyDescent="0.45">
      <c r="D219" s="10" t="s">
        <v>1289</v>
      </c>
      <c r="E219">
        <v>5083.2399999999989</v>
      </c>
    </row>
    <row r="220" spans="3:8" x14ac:dyDescent="0.45">
      <c r="D220" s="10" t="s">
        <v>1283</v>
      </c>
      <c r="E220">
        <v>2348.6099999999997</v>
      </c>
    </row>
    <row r="221" spans="3:8" x14ac:dyDescent="0.45">
      <c r="D221" s="10" t="s">
        <v>1284</v>
      </c>
      <c r="E221">
        <v>5764.9730909090913</v>
      </c>
    </row>
    <row r="222" spans="3:8" x14ac:dyDescent="0.45">
      <c r="D222" s="10" t="s">
        <v>1279</v>
      </c>
      <c r="E222">
        <v>5363.9055333333326</v>
      </c>
    </row>
    <row r="225" spans="2:7" x14ac:dyDescent="0.45">
      <c r="B225" s="6"/>
      <c r="C225" s="6" t="s">
        <v>1266</v>
      </c>
      <c r="D225" s="6"/>
      <c r="E225" s="6"/>
      <c r="F225" s="6"/>
      <c r="G225" s="6"/>
    </row>
    <row r="228" spans="2:7" x14ac:dyDescent="0.45">
      <c r="B228" s="9" t="s">
        <v>1291</v>
      </c>
      <c r="C228" s="9" t="s">
        <v>1292</v>
      </c>
    </row>
    <row r="229" spans="2:7" x14ac:dyDescent="0.45">
      <c r="B229" s="9" t="s">
        <v>1278</v>
      </c>
      <c r="C229" t="s">
        <v>31</v>
      </c>
      <c r="D229" t="s">
        <v>23</v>
      </c>
      <c r="E229" t="s">
        <v>19</v>
      </c>
      <c r="F229" t="s">
        <v>15</v>
      </c>
      <c r="G229" t="s">
        <v>1279</v>
      </c>
    </row>
    <row r="230" spans="2:7" x14ac:dyDescent="0.45">
      <c r="B230" s="10" t="s">
        <v>368</v>
      </c>
      <c r="C230">
        <v>60</v>
      </c>
      <c r="D230">
        <v>44.714285714285715</v>
      </c>
      <c r="E230">
        <v>49.666666666666664</v>
      </c>
      <c r="F230">
        <v>55.571428571428569</v>
      </c>
      <c r="G230">
        <v>53</v>
      </c>
    </row>
    <row r="231" spans="2:7" x14ac:dyDescent="0.45">
      <c r="B231" s="10" t="s">
        <v>465</v>
      </c>
      <c r="C231">
        <v>49</v>
      </c>
      <c r="D231">
        <v>48.833333333333336</v>
      </c>
      <c r="E231">
        <v>47.18181818181818</v>
      </c>
      <c r="F231">
        <v>50.333333333333336</v>
      </c>
      <c r="G231">
        <v>48.4</v>
      </c>
    </row>
    <row r="232" spans="2:7" x14ac:dyDescent="0.45">
      <c r="B232" s="10" t="s">
        <v>425</v>
      </c>
      <c r="C232">
        <v>53.428571428571431</v>
      </c>
      <c r="D232">
        <v>51.785714285714285</v>
      </c>
      <c r="E232">
        <v>59.375</v>
      </c>
      <c r="F232">
        <v>67.333333333333329</v>
      </c>
      <c r="G232">
        <v>57.368421052631582</v>
      </c>
    </row>
    <row r="233" spans="2:7" x14ac:dyDescent="0.45">
      <c r="B233" s="10" t="s">
        <v>372</v>
      </c>
      <c r="C233">
        <v>40.5</v>
      </c>
      <c r="D233">
        <v>72.8</v>
      </c>
      <c r="E233">
        <v>63</v>
      </c>
      <c r="F233">
        <v>54.5</v>
      </c>
      <c r="G233">
        <v>56.137931034482762</v>
      </c>
    </row>
    <row r="234" spans="2:7" x14ac:dyDescent="0.45">
      <c r="B234" s="10" t="s">
        <v>355</v>
      </c>
      <c r="C234">
        <v>51.666666666666664</v>
      </c>
      <c r="D234">
        <v>51.714285714285715</v>
      </c>
      <c r="E234">
        <v>60.5</v>
      </c>
      <c r="F234">
        <v>55</v>
      </c>
      <c r="G234">
        <v>54.615384615384613</v>
      </c>
    </row>
    <row r="235" spans="2:7" x14ac:dyDescent="0.45">
      <c r="B235" s="10" t="s">
        <v>350</v>
      </c>
      <c r="C235">
        <v>36.25</v>
      </c>
      <c r="D235">
        <v>28.285714285714285</v>
      </c>
      <c r="E235">
        <v>47.2</v>
      </c>
      <c r="F235">
        <v>50.333333333333336</v>
      </c>
      <c r="G235">
        <v>40.045454545454547</v>
      </c>
    </row>
    <row r="236" spans="2:7" x14ac:dyDescent="0.45">
      <c r="B236" s="10" t="s">
        <v>380</v>
      </c>
      <c r="C236">
        <v>53</v>
      </c>
      <c r="D236">
        <v>72</v>
      </c>
      <c r="E236">
        <v>44.4</v>
      </c>
      <c r="F236">
        <v>49.666666666666664</v>
      </c>
      <c r="G236">
        <v>53.5</v>
      </c>
    </row>
    <row r="237" spans="2:7" x14ac:dyDescent="0.45">
      <c r="B237" s="10" t="s">
        <v>360</v>
      </c>
      <c r="C237">
        <v>66.75</v>
      </c>
      <c r="D237">
        <v>51.428571428571431</v>
      </c>
      <c r="E237">
        <v>31</v>
      </c>
      <c r="F237">
        <v>55.166666666666664</v>
      </c>
      <c r="G237">
        <v>53.46875</v>
      </c>
    </row>
    <row r="238" spans="2:7" x14ac:dyDescent="0.45">
      <c r="B238" s="10" t="s">
        <v>390</v>
      </c>
      <c r="C238">
        <v>58</v>
      </c>
      <c r="D238">
        <v>43.222222222222221</v>
      </c>
      <c r="E238">
        <v>55.444444444444443</v>
      </c>
      <c r="F238">
        <v>45.9</v>
      </c>
      <c r="G238">
        <v>49.606060606060609</v>
      </c>
    </row>
    <row r="239" spans="2:7" x14ac:dyDescent="0.45">
      <c r="B239" s="10" t="s">
        <v>406</v>
      </c>
      <c r="C239">
        <v>52.636363636363633</v>
      </c>
      <c r="D239">
        <v>42.333333333333336</v>
      </c>
      <c r="E239">
        <v>28.75</v>
      </c>
      <c r="F239">
        <v>42.333333333333336</v>
      </c>
      <c r="G239">
        <v>42.483870967741936</v>
      </c>
    </row>
    <row r="240" spans="2:7" x14ac:dyDescent="0.45">
      <c r="B240" s="10" t="s">
        <v>1279</v>
      </c>
      <c r="C240">
        <v>53.175675675675677</v>
      </c>
      <c r="D240">
        <v>48.962962962962962</v>
      </c>
      <c r="E240">
        <v>49.324324324324323</v>
      </c>
      <c r="F240">
        <v>53.732394366197184</v>
      </c>
      <c r="G240">
        <v>51.22</v>
      </c>
    </row>
    <row r="243" spans="3:7" x14ac:dyDescent="0.45">
      <c r="C243" s="6" t="s">
        <v>1294</v>
      </c>
      <c r="D243" s="6"/>
      <c r="E243" s="6"/>
      <c r="F243" s="6"/>
    </row>
    <row r="245" spans="3:7" x14ac:dyDescent="0.45">
      <c r="D245" s="9" t="s">
        <v>1293</v>
      </c>
      <c r="E245" s="9" t="s">
        <v>1292</v>
      </c>
    </row>
    <row r="246" spans="3:7" x14ac:dyDescent="0.45">
      <c r="D246" s="9" t="s">
        <v>1278</v>
      </c>
      <c r="E246" t="s">
        <v>357</v>
      </c>
      <c r="F246" t="s">
        <v>352</v>
      </c>
      <c r="G246" t="s">
        <v>1279</v>
      </c>
    </row>
    <row r="247" spans="3:7" x14ac:dyDescent="0.45">
      <c r="D247" s="11">
        <v>45624</v>
      </c>
      <c r="F247">
        <v>1</v>
      </c>
      <c r="G247">
        <v>1</v>
      </c>
    </row>
    <row r="248" spans="3:7" x14ac:dyDescent="0.45">
      <c r="D248" s="11">
        <v>45627</v>
      </c>
      <c r="E248">
        <v>1</v>
      </c>
      <c r="F248">
        <v>2</v>
      </c>
      <c r="G248">
        <v>3</v>
      </c>
    </row>
    <row r="249" spans="3:7" x14ac:dyDescent="0.45">
      <c r="D249" s="11">
        <v>45628</v>
      </c>
      <c r="E249">
        <v>1</v>
      </c>
      <c r="G249">
        <v>1</v>
      </c>
    </row>
    <row r="250" spans="3:7" x14ac:dyDescent="0.45">
      <c r="D250" s="11">
        <v>45629</v>
      </c>
      <c r="E250">
        <v>1</v>
      </c>
      <c r="G250">
        <v>1</v>
      </c>
    </row>
    <row r="251" spans="3:7" x14ac:dyDescent="0.45">
      <c r="D251" s="11">
        <v>45630</v>
      </c>
      <c r="E251">
        <v>1</v>
      </c>
      <c r="F251">
        <v>1</v>
      </c>
      <c r="G251">
        <v>2</v>
      </c>
    </row>
    <row r="252" spans="3:7" x14ac:dyDescent="0.45">
      <c r="D252" s="11">
        <v>45631</v>
      </c>
      <c r="E252">
        <v>1</v>
      </c>
      <c r="G252">
        <v>1</v>
      </c>
    </row>
    <row r="253" spans="3:7" x14ac:dyDescent="0.45">
      <c r="D253" s="11">
        <v>45632</v>
      </c>
      <c r="E253">
        <v>1</v>
      </c>
      <c r="G253">
        <v>1</v>
      </c>
    </row>
    <row r="254" spans="3:7" x14ac:dyDescent="0.45">
      <c r="D254" s="11">
        <v>45635</v>
      </c>
      <c r="F254">
        <v>1</v>
      </c>
      <c r="G254">
        <v>1</v>
      </c>
    </row>
    <row r="255" spans="3:7" x14ac:dyDescent="0.45">
      <c r="D255" s="11">
        <v>45636</v>
      </c>
      <c r="F255">
        <v>1</v>
      </c>
      <c r="G255">
        <v>1</v>
      </c>
    </row>
    <row r="256" spans="3:7" x14ac:dyDescent="0.45">
      <c r="D256" s="11">
        <v>45638</v>
      </c>
      <c r="F256">
        <v>1</v>
      </c>
      <c r="G256">
        <v>1</v>
      </c>
    </row>
    <row r="257" spans="4:7" x14ac:dyDescent="0.45">
      <c r="D257" s="11">
        <v>45640</v>
      </c>
      <c r="E257">
        <v>1</v>
      </c>
      <c r="G257">
        <v>1</v>
      </c>
    </row>
    <row r="258" spans="4:7" x14ac:dyDescent="0.45">
      <c r="D258" s="11">
        <v>45641</v>
      </c>
      <c r="E258">
        <v>1</v>
      </c>
      <c r="G258">
        <v>1</v>
      </c>
    </row>
    <row r="259" spans="4:7" x14ac:dyDescent="0.45">
      <c r="D259" s="11">
        <v>45642</v>
      </c>
      <c r="F259">
        <v>2</v>
      </c>
      <c r="G259">
        <v>2</v>
      </c>
    </row>
    <row r="260" spans="4:7" x14ac:dyDescent="0.45">
      <c r="D260" s="11">
        <v>45644</v>
      </c>
      <c r="E260">
        <v>1</v>
      </c>
      <c r="F260">
        <v>1</v>
      </c>
      <c r="G260">
        <v>2</v>
      </c>
    </row>
    <row r="261" spans="4:7" x14ac:dyDescent="0.45">
      <c r="D261" s="11">
        <v>45645</v>
      </c>
      <c r="F261">
        <v>1</v>
      </c>
      <c r="G261">
        <v>1</v>
      </c>
    </row>
    <row r="262" spans="4:7" x14ac:dyDescent="0.45">
      <c r="D262" s="11">
        <v>45646</v>
      </c>
      <c r="E262">
        <v>1</v>
      </c>
      <c r="F262">
        <v>1</v>
      </c>
      <c r="G262">
        <v>2</v>
      </c>
    </row>
    <row r="263" spans="4:7" x14ac:dyDescent="0.45">
      <c r="D263" s="11">
        <v>45647</v>
      </c>
      <c r="E263">
        <v>1</v>
      </c>
      <c r="G263">
        <v>1</v>
      </c>
    </row>
    <row r="264" spans="4:7" x14ac:dyDescent="0.45">
      <c r="D264" s="11">
        <v>45648</v>
      </c>
      <c r="E264">
        <v>1</v>
      </c>
      <c r="F264">
        <v>1</v>
      </c>
      <c r="G264">
        <v>2</v>
      </c>
    </row>
    <row r="265" spans="4:7" x14ac:dyDescent="0.45">
      <c r="D265" s="11">
        <v>45649</v>
      </c>
      <c r="F265">
        <v>1</v>
      </c>
      <c r="G265">
        <v>1</v>
      </c>
    </row>
    <row r="266" spans="4:7" x14ac:dyDescent="0.45">
      <c r="D266" s="11">
        <v>45650</v>
      </c>
      <c r="F266">
        <v>1</v>
      </c>
      <c r="G266">
        <v>1</v>
      </c>
    </row>
    <row r="267" spans="4:7" x14ac:dyDescent="0.45">
      <c r="D267" s="11">
        <v>45653</v>
      </c>
      <c r="E267">
        <v>2</v>
      </c>
      <c r="G267">
        <v>2</v>
      </c>
    </row>
    <row r="268" spans="4:7" x14ac:dyDescent="0.45">
      <c r="D268" s="11">
        <v>45654</v>
      </c>
      <c r="E268">
        <v>1</v>
      </c>
      <c r="G268">
        <v>1</v>
      </c>
    </row>
    <row r="269" spans="4:7" x14ac:dyDescent="0.45">
      <c r="D269" s="11">
        <v>45655</v>
      </c>
      <c r="E269">
        <v>2</v>
      </c>
      <c r="F269">
        <v>1</v>
      </c>
      <c r="G269">
        <v>3</v>
      </c>
    </row>
    <row r="270" spans="4:7" x14ac:dyDescent="0.45">
      <c r="D270" s="11">
        <v>45656</v>
      </c>
      <c r="E270">
        <v>1</v>
      </c>
      <c r="G270">
        <v>1</v>
      </c>
    </row>
    <row r="271" spans="4:7" x14ac:dyDescent="0.45">
      <c r="D271" s="11">
        <v>45657</v>
      </c>
      <c r="E271">
        <v>1</v>
      </c>
      <c r="G271">
        <v>1</v>
      </c>
    </row>
    <row r="272" spans="4:7" x14ac:dyDescent="0.45">
      <c r="D272" s="11">
        <v>45659</v>
      </c>
      <c r="E272">
        <v>1</v>
      </c>
      <c r="F272">
        <v>1</v>
      </c>
      <c r="G272">
        <v>2</v>
      </c>
    </row>
    <row r="273" spans="4:7" x14ac:dyDescent="0.45">
      <c r="D273" s="11">
        <v>45661</v>
      </c>
      <c r="E273">
        <v>1</v>
      </c>
      <c r="G273">
        <v>1</v>
      </c>
    </row>
    <row r="274" spans="4:7" x14ac:dyDescent="0.45">
      <c r="D274" s="11">
        <v>45663</v>
      </c>
      <c r="F274">
        <v>1</v>
      </c>
      <c r="G274">
        <v>1</v>
      </c>
    </row>
    <row r="275" spans="4:7" x14ac:dyDescent="0.45">
      <c r="D275" s="11">
        <v>45664</v>
      </c>
      <c r="F275">
        <v>1</v>
      </c>
      <c r="G275">
        <v>1</v>
      </c>
    </row>
    <row r="276" spans="4:7" x14ac:dyDescent="0.45">
      <c r="D276" s="11">
        <v>45665</v>
      </c>
      <c r="E276">
        <v>1</v>
      </c>
      <c r="G276">
        <v>1</v>
      </c>
    </row>
    <row r="277" spans="4:7" x14ac:dyDescent="0.45">
      <c r="D277" s="11">
        <v>45671</v>
      </c>
      <c r="F277">
        <v>1</v>
      </c>
      <c r="G277">
        <v>1</v>
      </c>
    </row>
    <row r="278" spans="4:7" x14ac:dyDescent="0.45">
      <c r="D278" s="11">
        <v>45673</v>
      </c>
      <c r="F278">
        <v>1</v>
      </c>
      <c r="G278">
        <v>1</v>
      </c>
    </row>
    <row r="279" spans="4:7" x14ac:dyDescent="0.45">
      <c r="D279" s="11">
        <v>45674</v>
      </c>
      <c r="F279">
        <v>1</v>
      </c>
      <c r="G279">
        <v>1</v>
      </c>
    </row>
    <row r="280" spans="4:7" x14ac:dyDescent="0.45">
      <c r="D280" s="11">
        <v>45675</v>
      </c>
      <c r="F280">
        <v>1</v>
      </c>
      <c r="G280">
        <v>1</v>
      </c>
    </row>
    <row r="281" spans="4:7" x14ac:dyDescent="0.45">
      <c r="D281" s="11">
        <v>45676</v>
      </c>
      <c r="F281">
        <v>1</v>
      </c>
      <c r="G281">
        <v>1</v>
      </c>
    </row>
    <row r="282" spans="4:7" x14ac:dyDescent="0.45">
      <c r="D282" s="11">
        <v>45677</v>
      </c>
      <c r="E282">
        <v>1</v>
      </c>
      <c r="G282">
        <v>1</v>
      </c>
    </row>
    <row r="283" spans="4:7" x14ac:dyDescent="0.45">
      <c r="D283" s="11">
        <v>45678</v>
      </c>
      <c r="E283">
        <v>2</v>
      </c>
      <c r="F283">
        <v>1</v>
      </c>
      <c r="G283">
        <v>3</v>
      </c>
    </row>
    <row r="284" spans="4:7" x14ac:dyDescent="0.45">
      <c r="D284" s="11">
        <v>45679</v>
      </c>
      <c r="E284">
        <v>2</v>
      </c>
      <c r="G284">
        <v>2</v>
      </c>
    </row>
    <row r="285" spans="4:7" x14ac:dyDescent="0.45">
      <c r="D285" s="11">
        <v>45680</v>
      </c>
      <c r="E285">
        <v>1</v>
      </c>
      <c r="G285">
        <v>1</v>
      </c>
    </row>
    <row r="286" spans="4:7" x14ac:dyDescent="0.45">
      <c r="D286" s="11">
        <v>45682</v>
      </c>
      <c r="F286">
        <v>2</v>
      </c>
      <c r="G286">
        <v>2</v>
      </c>
    </row>
    <row r="287" spans="4:7" x14ac:dyDescent="0.45">
      <c r="D287" s="11">
        <v>45683</v>
      </c>
      <c r="E287">
        <v>2</v>
      </c>
      <c r="G287">
        <v>2</v>
      </c>
    </row>
    <row r="288" spans="4:7" x14ac:dyDescent="0.45">
      <c r="D288" s="11">
        <v>45684</v>
      </c>
      <c r="F288">
        <v>1</v>
      </c>
      <c r="G288">
        <v>1</v>
      </c>
    </row>
    <row r="289" spans="4:7" x14ac:dyDescent="0.45">
      <c r="D289" s="11">
        <v>45687</v>
      </c>
      <c r="E289">
        <v>1</v>
      </c>
      <c r="G289">
        <v>1</v>
      </c>
    </row>
    <row r="290" spans="4:7" x14ac:dyDescent="0.45">
      <c r="D290" s="11">
        <v>45688</v>
      </c>
      <c r="F290">
        <v>1</v>
      </c>
      <c r="G290">
        <v>1</v>
      </c>
    </row>
    <row r="291" spans="4:7" x14ac:dyDescent="0.45">
      <c r="D291" s="11">
        <v>45690</v>
      </c>
      <c r="E291">
        <v>1</v>
      </c>
      <c r="F291">
        <v>1</v>
      </c>
      <c r="G291">
        <v>2</v>
      </c>
    </row>
    <row r="292" spans="4:7" x14ac:dyDescent="0.45">
      <c r="D292" s="11">
        <v>45692</v>
      </c>
      <c r="E292">
        <v>1</v>
      </c>
      <c r="G292">
        <v>1</v>
      </c>
    </row>
    <row r="293" spans="4:7" x14ac:dyDescent="0.45">
      <c r="D293" s="11">
        <v>45693</v>
      </c>
      <c r="E293">
        <v>1</v>
      </c>
      <c r="G293">
        <v>1</v>
      </c>
    </row>
    <row r="294" spans="4:7" x14ac:dyDescent="0.45">
      <c r="D294" s="11">
        <v>45696</v>
      </c>
      <c r="E294">
        <v>1</v>
      </c>
      <c r="G294">
        <v>1</v>
      </c>
    </row>
    <row r="295" spans="4:7" x14ac:dyDescent="0.45">
      <c r="D295" s="11">
        <v>45699</v>
      </c>
      <c r="E295">
        <v>1</v>
      </c>
      <c r="G295">
        <v>1</v>
      </c>
    </row>
    <row r="296" spans="4:7" x14ac:dyDescent="0.45">
      <c r="D296" s="11">
        <v>45700</v>
      </c>
      <c r="E296">
        <v>1</v>
      </c>
      <c r="F296">
        <v>2</v>
      </c>
      <c r="G296">
        <v>3</v>
      </c>
    </row>
    <row r="297" spans="4:7" x14ac:dyDescent="0.45">
      <c r="D297" s="11">
        <v>45701</v>
      </c>
      <c r="F297">
        <v>1</v>
      </c>
      <c r="G297">
        <v>1</v>
      </c>
    </row>
    <row r="298" spans="4:7" x14ac:dyDescent="0.45">
      <c r="D298" s="11">
        <v>45703</v>
      </c>
      <c r="F298">
        <v>1</v>
      </c>
      <c r="G298">
        <v>1</v>
      </c>
    </row>
    <row r="299" spans="4:7" x14ac:dyDescent="0.45">
      <c r="D299" s="11">
        <v>45707</v>
      </c>
      <c r="E299">
        <v>1</v>
      </c>
      <c r="G299">
        <v>1</v>
      </c>
    </row>
    <row r="300" spans="4:7" x14ac:dyDescent="0.45">
      <c r="D300" s="11">
        <v>45711</v>
      </c>
      <c r="E300">
        <v>1</v>
      </c>
      <c r="F300">
        <v>2</v>
      </c>
      <c r="G300">
        <v>3</v>
      </c>
    </row>
    <row r="301" spans="4:7" x14ac:dyDescent="0.45">
      <c r="D301" s="11">
        <v>45712</v>
      </c>
      <c r="E301">
        <v>1</v>
      </c>
      <c r="G301">
        <v>1</v>
      </c>
    </row>
    <row r="302" spans="4:7" x14ac:dyDescent="0.45">
      <c r="D302" s="11">
        <v>45713</v>
      </c>
      <c r="E302">
        <v>1</v>
      </c>
      <c r="G302">
        <v>1</v>
      </c>
    </row>
    <row r="303" spans="4:7" x14ac:dyDescent="0.45">
      <c r="D303" s="11">
        <v>45714</v>
      </c>
      <c r="F303">
        <v>1</v>
      </c>
      <c r="G303">
        <v>1</v>
      </c>
    </row>
    <row r="304" spans="4:7" x14ac:dyDescent="0.45">
      <c r="D304" s="11">
        <v>45716</v>
      </c>
      <c r="F304">
        <v>2</v>
      </c>
      <c r="G304">
        <v>2</v>
      </c>
    </row>
    <row r="305" spans="4:7" x14ac:dyDescent="0.45">
      <c r="D305" s="11">
        <v>45717</v>
      </c>
      <c r="E305">
        <v>1</v>
      </c>
      <c r="G305">
        <v>1</v>
      </c>
    </row>
    <row r="306" spans="4:7" x14ac:dyDescent="0.45">
      <c r="D306" s="11">
        <v>45718</v>
      </c>
      <c r="E306">
        <v>1</v>
      </c>
      <c r="G306">
        <v>1</v>
      </c>
    </row>
    <row r="307" spans="4:7" x14ac:dyDescent="0.45">
      <c r="D307" s="11">
        <v>45719</v>
      </c>
      <c r="F307">
        <v>1</v>
      </c>
      <c r="G307">
        <v>1</v>
      </c>
    </row>
    <row r="308" spans="4:7" x14ac:dyDescent="0.45">
      <c r="D308" s="11">
        <v>45721</v>
      </c>
      <c r="E308">
        <v>1</v>
      </c>
      <c r="F308">
        <v>1</v>
      </c>
      <c r="G308">
        <v>2</v>
      </c>
    </row>
    <row r="309" spans="4:7" x14ac:dyDescent="0.45">
      <c r="D309" s="11">
        <v>45722</v>
      </c>
      <c r="F309">
        <v>1</v>
      </c>
      <c r="G309">
        <v>1</v>
      </c>
    </row>
    <row r="310" spans="4:7" x14ac:dyDescent="0.45">
      <c r="D310" s="11">
        <v>45723</v>
      </c>
      <c r="E310">
        <v>2</v>
      </c>
      <c r="F310">
        <v>1</v>
      </c>
      <c r="G310">
        <v>3</v>
      </c>
    </row>
    <row r="311" spans="4:7" x14ac:dyDescent="0.45">
      <c r="D311" s="11">
        <v>45724</v>
      </c>
      <c r="E311">
        <v>1</v>
      </c>
      <c r="G311">
        <v>1</v>
      </c>
    </row>
    <row r="312" spans="4:7" x14ac:dyDescent="0.45">
      <c r="D312" s="11">
        <v>45725</v>
      </c>
      <c r="E312">
        <v>1</v>
      </c>
      <c r="G312">
        <v>1</v>
      </c>
    </row>
    <row r="313" spans="4:7" x14ac:dyDescent="0.45">
      <c r="D313" s="11">
        <v>45727</v>
      </c>
      <c r="F313">
        <v>1</v>
      </c>
      <c r="G313">
        <v>1</v>
      </c>
    </row>
    <row r="314" spans="4:7" x14ac:dyDescent="0.45">
      <c r="D314" s="11">
        <v>45728</v>
      </c>
      <c r="F314">
        <v>2</v>
      </c>
      <c r="G314">
        <v>2</v>
      </c>
    </row>
    <row r="315" spans="4:7" x14ac:dyDescent="0.45">
      <c r="D315" s="11">
        <v>45729</v>
      </c>
      <c r="F315">
        <v>1</v>
      </c>
      <c r="G315">
        <v>1</v>
      </c>
    </row>
    <row r="316" spans="4:7" x14ac:dyDescent="0.45">
      <c r="D316" s="11">
        <v>45731</v>
      </c>
      <c r="E316">
        <v>1</v>
      </c>
      <c r="F316">
        <v>1</v>
      </c>
      <c r="G316">
        <v>2</v>
      </c>
    </row>
    <row r="317" spans="4:7" x14ac:dyDescent="0.45">
      <c r="D317" s="11">
        <v>45732</v>
      </c>
      <c r="E317">
        <v>1</v>
      </c>
      <c r="G317">
        <v>1</v>
      </c>
    </row>
    <row r="318" spans="4:7" x14ac:dyDescent="0.45">
      <c r="D318" s="11">
        <v>45733</v>
      </c>
      <c r="F318">
        <v>1</v>
      </c>
      <c r="G318">
        <v>1</v>
      </c>
    </row>
    <row r="319" spans="4:7" x14ac:dyDescent="0.45">
      <c r="D319" s="11">
        <v>45734</v>
      </c>
      <c r="F319">
        <v>1</v>
      </c>
      <c r="G319">
        <v>1</v>
      </c>
    </row>
    <row r="320" spans="4:7" x14ac:dyDescent="0.45">
      <c r="D320" s="11">
        <v>45737</v>
      </c>
      <c r="F320">
        <v>1</v>
      </c>
      <c r="G320">
        <v>1</v>
      </c>
    </row>
    <row r="321" spans="4:7" x14ac:dyDescent="0.45">
      <c r="D321" s="11">
        <v>45738</v>
      </c>
      <c r="F321">
        <v>1</v>
      </c>
      <c r="G321">
        <v>1</v>
      </c>
    </row>
    <row r="322" spans="4:7" x14ac:dyDescent="0.45">
      <c r="D322" s="11">
        <v>45739</v>
      </c>
      <c r="F322">
        <v>1</v>
      </c>
      <c r="G322">
        <v>1</v>
      </c>
    </row>
    <row r="323" spans="4:7" x14ac:dyDescent="0.45">
      <c r="D323" s="11">
        <v>45740</v>
      </c>
      <c r="F323">
        <v>2</v>
      </c>
      <c r="G323">
        <v>2</v>
      </c>
    </row>
    <row r="324" spans="4:7" x14ac:dyDescent="0.45">
      <c r="D324" s="11">
        <v>45742</v>
      </c>
      <c r="E324">
        <v>1</v>
      </c>
      <c r="G324">
        <v>1</v>
      </c>
    </row>
    <row r="325" spans="4:7" x14ac:dyDescent="0.45">
      <c r="D325" s="11">
        <v>45745</v>
      </c>
      <c r="E325">
        <v>1</v>
      </c>
      <c r="F325">
        <v>1</v>
      </c>
      <c r="G325">
        <v>2</v>
      </c>
    </row>
    <row r="326" spans="4:7" x14ac:dyDescent="0.45">
      <c r="D326" s="11">
        <v>45749</v>
      </c>
      <c r="E326">
        <v>1</v>
      </c>
      <c r="G326">
        <v>1</v>
      </c>
    </row>
    <row r="327" spans="4:7" x14ac:dyDescent="0.45">
      <c r="D327" s="11">
        <v>45750</v>
      </c>
      <c r="E327">
        <v>1</v>
      </c>
      <c r="G327">
        <v>1</v>
      </c>
    </row>
    <row r="328" spans="4:7" x14ac:dyDescent="0.45">
      <c r="D328" s="11">
        <v>45752</v>
      </c>
      <c r="E328">
        <v>2</v>
      </c>
      <c r="F328">
        <v>1</v>
      </c>
      <c r="G328">
        <v>3</v>
      </c>
    </row>
    <row r="329" spans="4:7" x14ac:dyDescent="0.45">
      <c r="D329" s="11">
        <v>45753</v>
      </c>
      <c r="E329">
        <v>1</v>
      </c>
      <c r="G329">
        <v>1</v>
      </c>
    </row>
    <row r="330" spans="4:7" x14ac:dyDescent="0.45">
      <c r="D330" s="11">
        <v>45755</v>
      </c>
      <c r="F330">
        <v>1</v>
      </c>
      <c r="G330">
        <v>1</v>
      </c>
    </row>
    <row r="331" spans="4:7" x14ac:dyDescent="0.45">
      <c r="D331" s="11">
        <v>45756</v>
      </c>
      <c r="F331">
        <v>1</v>
      </c>
      <c r="G331">
        <v>1</v>
      </c>
    </row>
    <row r="332" spans="4:7" x14ac:dyDescent="0.45">
      <c r="D332" s="11">
        <v>45757</v>
      </c>
      <c r="F332">
        <v>1</v>
      </c>
      <c r="G332">
        <v>1</v>
      </c>
    </row>
    <row r="333" spans="4:7" x14ac:dyDescent="0.45">
      <c r="D333" s="11">
        <v>45758</v>
      </c>
      <c r="E333">
        <v>1</v>
      </c>
      <c r="F333">
        <v>1</v>
      </c>
      <c r="G333">
        <v>2</v>
      </c>
    </row>
    <row r="334" spans="4:7" x14ac:dyDescent="0.45">
      <c r="D334" s="11">
        <v>45760</v>
      </c>
      <c r="E334">
        <v>3</v>
      </c>
      <c r="G334">
        <v>3</v>
      </c>
    </row>
    <row r="335" spans="4:7" x14ac:dyDescent="0.45">
      <c r="D335" s="11">
        <v>45761</v>
      </c>
      <c r="E335">
        <v>1</v>
      </c>
      <c r="G335">
        <v>1</v>
      </c>
    </row>
    <row r="336" spans="4:7" x14ac:dyDescent="0.45">
      <c r="D336" s="11">
        <v>45762</v>
      </c>
      <c r="E336">
        <v>1</v>
      </c>
      <c r="G336">
        <v>1</v>
      </c>
    </row>
    <row r="337" spans="4:7" x14ac:dyDescent="0.45">
      <c r="D337" s="11">
        <v>45763</v>
      </c>
      <c r="E337">
        <v>1</v>
      </c>
      <c r="F337">
        <v>1</v>
      </c>
      <c r="G337">
        <v>2</v>
      </c>
    </row>
    <row r="338" spans="4:7" x14ac:dyDescent="0.45">
      <c r="D338" s="11">
        <v>45770</v>
      </c>
      <c r="F338">
        <v>1</v>
      </c>
      <c r="G338">
        <v>1</v>
      </c>
    </row>
    <row r="339" spans="4:7" x14ac:dyDescent="0.45">
      <c r="D339" s="11">
        <v>45772</v>
      </c>
      <c r="F339">
        <v>1</v>
      </c>
      <c r="G339">
        <v>1</v>
      </c>
    </row>
    <row r="340" spans="4:7" x14ac:dyDescent="0.45">
      <c r="D340" s="11">
        <v>45774</v>
      </c>
      <c r="F340">
        <v>1</v>
      </c>
      <c r="G340">
        <v>1</v>
      </c>
    </row>
    <row r="341" spans="4:7" x14ac:dyDescent="0.45">
      <c r="D341" s="11">
        <v>45775</v>
      </c>
      <c r="E341">
        <v>1</v>
      </c>
      <c r="G341">
        <v>1</v>
      </c>
    </row>
    <row r="342" spans="4:7" x14ac:dyDescent="0.45">
      <c r="D342" s="11">
        <v>45779</v>
      </c>
      <c r="F342">
        <v>2</v>
      </c>
      <c r="G342">
        <v>2</v>
      </c>
    </row>
    <row r="343" spans="4:7" x14ac:dyDescent="0.45">
      <c r="D343" s="11">
        <v>45780</v>
      </c>
      <c r="F343">
        <v>1</v>
      </c>
      <c r="G343">
        <v>1</v>
      </c>
    </row>
    <row r="344" spans="4:7" x14ac:dyDescent="0.45">
      <c r="D344" s="11">
        <v>45783</v>
      </c>
      <c r="E344">
        <v>2</v>
      </c>
      <c r="G344">
        <v>2</v>
      </c>
    </row>
    <row r="345" spans="4:7" x14ac:dyDescent="0.45">
      <c r="D345" s="11">
        <v>45786</v>
      </c>
      <c r="E345">
        <v>1</v>
      </c>
      <c r="F345">
        <v>2</v>
      </c>
      <c r="G345">
        <v>3</v>
      </c>
    </row>
    <row r="346" spans="4:7" x14ac:dyDescent="0.45">
      <c r="D346" s="11">
        <v>45787</v>
      </c>
      <c r="E346">
        <v>3</v>
      </c>
      <c r="F346">
        <v>1</v>
      </c>
      <c r="G346">
        <v>4</v>
      </c>
    </row>
    <row r="347" spans="4:7" x14ac:dyDescent="0.45">
      <c r="D347" s="11">
        <v>45788</v>
      </c>
      <c r="F347">
        <v>1</v>
      </c>
      <c r="G347">
        <v>1</v>
      </c>
    </row>
    <row r="348" spans="4:7" x14ac:dyDescent="0.45">
      <c r="D348" s="11">
        <v>45789</v>
      </c>
      <c r="E348">
        <v>1</v>
      </c>
      <c r="F348">
        <v>1</v>
      </c>
      <c r="G348">
        <v>2</v>
      </c>
    </row>
    <row r="349" spans="4:7" x14ac:dyDescent="0.45">
      <c r="D349" s="11">
        <v>45791</v>
      </c>
      <c r="E349">
        <v>1</v>
      </c>
      <c r="G349">
        <v>1</v>
      </c>
    </row>
    <row r="350" spans="4:7" x14ac:dyDescent="0.45">
      <c r="D350" s="11">
        <v>45794</v>
      </c>
      <c r="E350">
        <v>1</v>
      </c>
      <c r="G350">
        <v>1</v>
      </c>
    </row>
    <row r="351" spans="4:7" x14ac:dyDescent="0.45">
      <c r="D351" s="11">
        <v>45797</v>
      </c>
      <c r="F351">
        <v>2</v>
      </c>
      <c r="G351">
        <v>2</v>
      </c>
    </row>
    <row r="352" spans="4:7" x14ac:dyDescent="0.45">
      <c r="D352" s="11">
        <v>45804</v>
      </c>
      <c r="F352">
        <v>2</v>
      </c>
      <c r="G352">
        <v>2</v>
      </c>
    </row>
    <row r="353" spans="2:7" x14ac:dyDescent="0.45">
      <c r="D353" s="11">
        <v>45805</v>
      </c>
      <c r="E353">
        <v>1</v>
      </c>
      <c r="G353">
        <v>1</v>
      </c>
    </row>
    <row r="354" spans="2:7" x14ac:dyDescent="0.45">
      <c r="D354" s="11">
        <v>45806</v>
      </c>
      <c r="F354">
        <v>1</v>
      </c>
      <c r="G354">
        <v>1</v>
      </c>
    </row>
    <row r="355" spans="2:7" x14ac:dyDescent="0.45">
      <c r="D355" s="11" t="s">
        <v>1279</v>
      </c>
      <c r="E355">
        <v>75</v>
      </c>
      <c r="F355">
        <v>78</v>
      </c>
      <c r="G355">
        <v>153</v>
      </c>
    </row>
    <row r="358" spans="2:7" x14ac:dyDescent="0.45">
      <c r="B358" s="6"/>
      <c r="C358" s="6" t="s">
        <v>1264</v>
      </c>
      <c r="D358" s="6"/>
      <c r="E358" s="6"/>
    </row>
    <row r="360" spans="2:7" x14ac:dyDescent="0.45">
      <c r="C360" s="9" t="s">
        <v>1278</v>
      </c>
      <c r="D360" t="s">
        <v>1280</v>
      </c>
    </row>
    <row r="361" spans="2:7" x14ac:dyDescent="0.45">
      <c r="C361" s="10" t="s">
        <v>844</v>
      </c>
      <c r="D361">
        <v>18093.7</v>
      </c>
    </row>
    <row r="362" spans="2:7" x14ac:dyDescent="0.45">
      <c r="C362" s="10" t="s">
        <v>1231</v>
      </c>
      <c r="D362">
        <v>16071.68</v>
      </c>
    </row>
    <row r="363" spans="2:7" x14ac:dyDescent="0.45">
      <c r="C363" s="10" t="s">
        <v>552</v>
      </c>
      <c r="D363">
        <v>16394.8</v>
      </c>
    </row>
    <row r="364" spans="2:7" x14ac:dyDescent="0.45">
      <c r="C364" s="10" t="s">
        <v>1179</v>
      </c>
      <c r="D364">
        <v>16668.330000000002</v>
      </c>
    </row>
    <row r="365" spans="2:7" x14ac:dyDescent="0.45">
      <c r="C365" s="10" t="s">
        <v>421</v>
      </c>
      <c r="D365">
        <v>18267.55</v>
      </c>
    </row>
    <row r="366" spans="2:7" x14ac:dyDescent="0.45">
      <c r="C366" s="10" t="s">
        <v>1279</v>
      </c>
      <c r="D366">
        <v>85496.060000000012</v>
      </c>
    </row>
  </sheetData>
  <mergeCells count="2">
    <mergeCell ref="C189:H189"/>
    <mergeCell ref="C208:I208"/>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election activeCell="A8" sqref="A8"/>
    </sheetView>
  </sheetViews>
  <sheetFormatPr defaultRowHeight="14.25" x14ac:dyDescent="0.45"/>
  <sheetData>
    <row r="1" spans="1:1" x14ac:dyDescent="0.45">
      <c r="A1" s="1" t="s">
        <v>1257</v>
      </c>
    </row>
    <row r="2" spans="1:1" x14ac:dyDescent="0.45">
      <c r="A2" t="s">
        <v>1258</v>
      </c>
    </row>
    <row r="3" spans="1:1" x14ac:dyDescent="0.45">
      <c r="A3" t="s">
        <v>1259</v>
      </c>
    </row>
    <row r="4" spans="1:1" x14ac:dyDescent="0.45">
      <c r="A4" t="s">
        <v>1260</v>
      </c>
    </row>
    <row r="5" spans="1:1" x14ac:dyDescent="0.45">
      <c r="A5" t="s">
        <v>1261</v>
      </c>
    </row>
    <row r="6" spans="1:1" x14ac:dyDescent="0.45">
      <c r="A6" t="s">
        <v>1262</v>
      </c>
    </row>
    <row r="7" spans="1:1" x14ac:dyDescent="0.45">
      <c r="A7" t="s">
        <v>1263</v>
      </c>
    </row>
    <row r="8" spans="1:1" x14ac:dyDescent="0.45">
      <c r="A8" t="s">
        <v>1264</v>
      </c>
    </row>
    <row r="9" spans="1:1" x14ac:dyDescent="0.45">
      <c r="A9" t="s">
        <v>1265</v>
      </c>
    </row>
    <row r="10" spans="1:1" x14ac:dyDescent="0.45">
      <c r="A10" t="s">
        <v>1266</v>
      </c>
    </row>
    <row r="11" spans="1:1" x14ac:dyDescent="0.45">
      <c r="A11" t="s">
        <v>1267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Conceptual Questions</vt:lpstr>
      <vt:lpstr>Practical Q1 - Dataset</vt:lpstr>
      <vt:lpstr>Practical Q1 - Formulas</vt:lpstr>
      <vt:lpstr>Practical Q2 - Dataset</vt:lpstr>
      <vt:lpstr>Sheet1</vt:lpstr>
      <vt:lpstr>Practical Q2 - EDA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Venkatesh Venky</cp:lastModifiedBy>
  <dcterms:created xsi:type="dcterms:W3CDTF">2025-05-30T11:33:58Z</dcterms:created>
  <dcterms:modified xsi:type="dcterms:W3CDTF">2026-02-13T06:16:10Z</dcterms:modified>
</cp:coreProperties>
</file>